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<sst xmlns="http://schemas.openxmlformats.org/spreadsheetml/2006/main" count="3845" uniqueCount="1635">
  <si>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</si>
  <si>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</si>
  <si>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</si>
  <si>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</si>
  <si>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</si>
  <si>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</si>
  <si>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</si>
  <si>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</si>
  <si>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</si>
  <si>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</si>
  <si>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</si>
  <si>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</si>
  <si>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</si>
  <si>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</si>
  <si>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</si>
  <si>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</si>
  <si>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</si>
  <si>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</si>
  <si>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</si>
  <si>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</si>
  <si>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</si>
  <si>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</si>
  <si>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</si>
  <si>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</si>
  <si>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</si>
  <si>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</si>
  <si>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</si>
  <si>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</si>
  <si>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</si>
  <si>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</si>
  <si>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</si>
  <si>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</si>
  <si>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</si>
  <si>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</si>
  <si>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</si>
  <si>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</si>
  <si>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</si>
  <si>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</si>
  <si>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</si>
  <si>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</si>
  <si>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</si>
  <si>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</si>
  <si>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</si>
  <si>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</si>
  <si>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</si>
  <si>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</si>
  <si>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</si>
  <si>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</si>
  <si>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</si>
  <si>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</si>
  <si>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</si>
  <si>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</si>
  <si>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</si>
  <si>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</si>
  <si>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</si>
  <si>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</si>
  <si>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</si>
  <si>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</si>
  <si>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</si>
  <si>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</si>
  <si>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</si>
  <si>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</si>
  <si>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</si>
  <si>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</si>
  <si>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</si>
  <si>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</si>
  <si>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</si>
  <si>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</si>
  <si>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</si>
  <si>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</si>
  <si>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</si>
  <si>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</si>
  <si>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</si>
  <si>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</si>
  <si>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</si>
  <si>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</si>
  <si>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</si>
  <si>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</si>
  <si>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</si>
  <si>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</si>
  <si>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</si>
  <si>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</si>
  <si>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</si>
  <si>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</si>
  <si>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</si>
  <si>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</si>
  <si>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</si>
  <si>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</si>
  <si>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</si>
  <si>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</si>
  <si>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</si>
  <si>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</si>
  <si>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</si>
  <si>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</si>
  <si>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</si>
  <si>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</si>
  <si>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</si>
  <si>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</si>
  <si>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</si>
  <si>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</si>
  <si>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</si>
  <si>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</si>
  <si>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</si>
  <si>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</si>
  <si>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</si>
  <si>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</si>
  <si>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</si>
  <si>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</si>
  <si>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</si>
  <si>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</si>
  <si>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</si>
  <si>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</si>
  <si>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</si>
  <si>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</si>
  <si>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</si>
  <si>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</si>
  <si>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</si>
  <si>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</si>
  <si>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</si>
  <si>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</si>
  <si>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</si>
  <si>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</si>
  <si>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</si>
  <si>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</si>
  <si>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</si>
  <si>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</si>
  <si>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</si>
  <si>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</si>
  <si>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</si>
  <si>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</si>
  <si>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</si>
  <si>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</si>
  <si>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</si>
  <si>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</si>
  <si>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</si>
  <si>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</si>
  <si>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</si>
  <si>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</si>
  <si>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</si>
  <si>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</si>
  <si>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</si>
  <si>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</si>
  <si>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</si>
  <si>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</si>
  <si>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</si>
  <si>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</si>
  <si>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</si>
  <si>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</si>
  <si>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</si>
  <si>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</si>
  <si>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</si>
  <si>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</si>
  <si>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</si>
  <si>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</si>
  <si>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</si>
  <si>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</si>
  <si>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</si>
  <si>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</si>
  <si>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</si>
  <si>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</si>
  <si>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</si>
  <si>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</si>
  <si>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</si>
  <si>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</si>
  <si>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</si>
  <si>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</si>
  <si>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</si>
  <si>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</si>
  <si>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</si>
  <si>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</si>
  <si>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</si>
  <si>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</si>
  <si>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</si>
  <si>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</si>
  <si>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</si>
  <si>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</si>
  <si>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</si>
  <si>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</si>
  <si>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</si>
  <si>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</si>
  <si>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</si>
  <si>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</si>
  <si>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</si>
  <si>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</si>
  <si>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</si>
  <si>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</si>
  <si>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</si>
  <si>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</si>
  <si>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</si>
  <si>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</si>
  <si>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</si>
  <si>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</si>
  <si>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</si>
  <si>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</si>
  <si>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</si>
  <si>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</si>
  <si>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</si>
  <si>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</si>
  <si>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</si>
  <si>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</si>
  <si>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</si>
  <si>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</si>
  <si>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</si>
  <si>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</si>
  <si>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</si>
  <si>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</si>
  <si>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</si>
  <si>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</si>
  <si>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</si>
  <si>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</si>
  <si>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</si>
  <si>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</si>
  <si>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</si>
  <si>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</si>
  <si>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</si>
  <si>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</si>
  <si>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</si>
  <si>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</si>
  <si>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</si>
  <si>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</si>
  <si>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</si>
  <si>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</si>
  <si>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</si>
  <si>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</si>
  <si>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</si>
  <si>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</si>
  <si>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</si>
  <si>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</si>
  <si>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</si>
  <si>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</si>
  <si>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</si>
  <si>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</si>
  <si>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</si>
  <si>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</si>
  <si>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</si>
  <si>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</si>
  <si>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</si>
  <si>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</si>
  <si>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</si>
  <si>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</si>
  <si>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</si>
  <si>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</si>
  <si>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</si>
  <si>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</si>
  <si>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</si>
  <si>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</si>
  <si>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</si>
  <si>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</si>
  <si>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</si>
  <si>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</si>
  <si>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</si>
  <si>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</si>
  <si>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</si>
  <si>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</si>
  <si>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</si>
  <si>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</si>
  <si>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</si>
  <si>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</si>
  <si>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</si>
  <si>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</si>
  <si>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</si>
  <si>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</si>
  <si>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</si>
  <si>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</si>
  <si>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</si>
  <si>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</si>
  <si>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</si>
  <si>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</si>
  <si>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</si>
  <si>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</si>
  <si>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</si>
  <si>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</si>
  <si>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</si>
  <si>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</si>
  <si>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</si>
  <si>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</si>
  <si>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</si>
  <si>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</si>
  <si>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</si>
  <si>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</si>
  <si>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</si>
  <si>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</si>
  <si>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</si>
  <si>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</si>
  <si>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</si>
  <si>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</si>
  <si>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</si>
  <si>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</si>
  <si>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</si>
  <si>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</si>
  <si>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</si>
  <si>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</si>
  <si>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</si>
  <si>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</si>
  <si>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</si>
  <si>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</si>
  <si>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</si>
  <si>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</si>
  <si>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</si>
  <si>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</si>
  <si>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</si>
  <si>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</si>
  <si>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</si>
  <si>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</si>
  <si>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</si>
  <si>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</si>
  <si>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</si>
  <si>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</si>
  <si>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</si>
  <si>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</si>
  <si>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</si>
  <si>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</si>
  <si>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</si>
  <si>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</si>
  <si>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</si>
  <si>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</si>
  <si>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</si>
  <si>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</si>
  <si>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</si>
  <si>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</si>
  <si>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</si>
  <si>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</si>
  <si>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</si>
  <si>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</si>
  <si>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</si>
  <si>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</si>
  <si>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</si>
  <si>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</si>
  <si>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</si>
  <si>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</si>
  <si>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</si>
  <si>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</si>
  <si>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</si>
  <si>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</si>
  <si>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</si>
  <si>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</si>
  <si>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</si>
  <si>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</si>
  <si>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</si>
  <si>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</si>
  <si>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</si>
  <si>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</si>
  <si>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</si>
  <si>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</si>
  <si>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</si>
  <si>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</si>
  <si>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</si>
  <si>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</si>
  <si>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</si>
  <si>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</si>
  <si>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</si>
  <si>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</si>
  <si>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</si>
  <si>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</si>
  <si>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</si>
  <si>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</si>
  <si>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</si>
  <si>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</si>
  <si>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</si>
  <si>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</si>
  <si>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</si>
  <si>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</si>
  <si>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</si>
  <si>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</si>
  <si>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</si>
  <si>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</si>
  <si>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</si>
  <si>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</si>
  <si>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</si>
  <si>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</si>
  <si>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</si>
  <si>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</si>
  <si>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</si>
  <si>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</si>
  <si>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</si>
  <si>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</si>
  <si>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</si>
  <si>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</si>
  <si>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</si>
  <si>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</si>
  <si>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</si>
  <si>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</si>
  <si>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</si>
  <si>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</si>
  <si>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</si>
  <si>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</si>
  <si>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</si>
  <si>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</si>
  <si>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</si>
  <si>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</si>
  <si>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</si>
  <si>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</si>
  <si>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</si>
  <si>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</si>
  <si>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</si>
  <si>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</si>
  <si>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</si>
  <si>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</si>
  <si>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</si>
  <si>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</si>
  <si>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</si>
  <si>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</si>
  <si>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</si>
  <si>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</si>
  <si>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</si>
  <si>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</si>
  <si>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</si>
  <si>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</si>
  <si>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</si>
  <si>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</si>
  <si>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</si>
  <si>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</si>
  <si>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</si>
  <si>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</si>
  <si>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</si>
  <si>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</si>
  <si>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</si>
  <si>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</si>
  <si>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</si>
  <si>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</si>
  <si>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</si>
  <si>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</si>
  <si>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</si>
  <si>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</si>
  <si>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</si>
  <si>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</si>
  <si>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</si>
  <si>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</si>
  <si>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</si>
  <si>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</si>
  <si>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</si>
  <si>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</si>
  <si>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</si>
  <si>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</si>
  <si>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</si>
  <si>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</si>
  <si>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</si>
  <si>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</si>
  <si>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</si>
  <si>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</si>
  <si>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</si>
  <si>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</si>
  <si>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</si>
  <si>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</si>
  <si>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</si>
  <si>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</si>
  <si>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</si>
  <si>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</si>
  <si>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</si>
  <si>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</si>
  <si>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</si>
  <si>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</si>
  <si>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</si>
  <si>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</si>
  <si>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</si>
  <si>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</si>
  <si>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</si>
  <si>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</si>
  <si>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</si>
  <si>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</si>
  <si>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</si>
  <si>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</si>
  <si>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</si>
  <si>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</si>
  <si>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</si>
  <si>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</si>
  <si>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</si>
  <si>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</si>
  <si>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</si>
  <si>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</si>
  <si>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</si>
  <si>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</si>
  <si>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</si>
  <si>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</si>
  <si>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</si>
  <si>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</si>
  <si>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</si>
  <si>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</si>
  <si>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</si>
  <si>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</si>
  <si>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</si>
  <si>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</si>
  <si>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</si>
  <si>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</si>
  <si>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</si>
  <si>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</si>
  <si>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</si>
  <si>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</si>
  <si>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</si>
  <si>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</si>
  <si>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</si>
  <si>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</si>
  <si>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</si>
  <si>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</si>
  <si>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</si>
  <si>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</si>
  <si>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</si>
  <si>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</si>
  <si>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</si>
  <si>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</si>
  <si>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</si>
  <si>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</si>
  <si>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</si>
  <si>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</si>
  <si>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</si>
  <si>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060C</t>
  </si>
  <si>
    <t xml:space="preserve">،</t>
  </si>
  <si>
    <t xml:space="preserve">ARABIC_SEMICOLON</t>
  </si>
  <si>
    <t xml:space="preserve">61b</t>
  </si>
  <si>
    <t xml:space="preserve">061B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</si>
  <si>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</si>
  <si>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</si>
  <si>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</si>
  <si>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</si>
  <si>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</si>
  <si>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0620</t>
  </si>
  <si>
    <t xml:space="preserve">ؠ</t>
  </si>
  <si>
    <t xml:space="preserve">ARABIC_HAMZA</t>
  </si>
  <si>
    <t xml:space="preserve">0621</t>
  </si>
  <si>
    <t xml:space="preserve">ء</t>
  </si>
  <si>
    <t xml:space="preserve">ARABIC_ALEF_MADDA_A</t>
  </si>
  <si>
    <t xml:space="preserve">0622</t>
  </si>
  <si>
    <t xml:space="preserve">آ</t>
  </si>
  <si>
    <t xml:space="preserve">ARABIC_ALEF_HAMZA_A</t>
  </si>
  <si>
    <t xml:space="preserve">0623</t>
  </si>
  <si>
    <t xml:space="preserve">أ</t>
  </si>
  <si>
    <t xml:space="preserve">ARABIC_WAW_HAMZA_A</t>
  </si>
  <si>
    <t xml:space="preserve">0624</t>
  </si>
  <si>
    <t xml:space="preserve">ؤ</t>
  </si>
  <si>
    <t xml:space="preserve">ARABIC_ALEF_HAMZA_B</t>
  </si>
  <si>
    <t xml:space="preserve">0625</t>
  </si>
  <si>
    <t xml:space="preserve">إ</t>
  </si>
  <si>
    <t xml:space="preserve">ARABIC_YEH_HAMZA_A</t>
  </si>
  <si>
    <t xml:space="preserve">0626</t>
  </si>
  <si>
    <t xml:space="preserve">ئ</t>
  </si>
  <si>
    <t xml:space="preserve">ARABIC_ALEF</t>
  </si>
  <si>
    <t xml:space="preserve">0627</t>
  </si>
  <si>
    <t xml:space="preserve">ا</t>
  </si>
  <si>
    <t xml:space="preserve">ARABIC_BEH</t>
  </si>
  <si>
    <t xml:space="preserve">0628</t>
  </si>
  <si>
    <t xml:space="preserve">ب</t>
  </si>
  <si>
    <t xml:space="preserve">ARABIC_TEH_MARBUTA</t>
  </si>
  <si>
    <t xml:space="preserve">0629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</si>
  <si>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</si>
  <si>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</si>
  <si>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</si>
  <si>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</si>
  <si>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</si>
  <si>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</si>
  <si>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</si>
  <si>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</si>
  <si>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</si>
  <si>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</si>
  <si>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</si>
  <si>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</si>
  <si>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</si>
  <si>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</si>
  <si>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</si>
  <si>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</si>
  <si>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</si>
  <si>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</si>
  <si>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</si>
  <si>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</si>
  <si>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0630</t>
  </si>
  <si>
    <t xml:space="preserve">ذ</t>
  </si>
  <si>
    <t xml:space="preserve">ARABIC_REH</t>
  </si>
  <si>
    <t xml:space="preserve">0631</t>
  </si>
  <si>
    <t xml:space="preserve">ر</t>
  </si>
  <si>
    <t xml:space="preserve">ARABIC_ZAIN</t>
  </si>
  <si>
    <t xml:space="preserve">0632</t>
  </si>
  <si>
    <t xml:space="preserve">ز</t>
  </si>
  <si>
    <t xml:space="preserve">ARABIC_SEEN</t>
  </si>
  <si>
    <t xml:space="preserve">0633</t>
  </si>
  <si>
    <t xml:space="preserve">س</t>
  </si>
  <si>
    <t xml:space="preserve">ARABIC_SHEEN</t>
  </si>
  <si>
    <t xml:space="preserve">0634</t>
  </si>
  <si>
    <t xml:space="preserve">ش</t>
  </si>
  <si>
    <t xml:space="preserve">ARABIC_SAD</t>
  </si>
  <si>
    <t xml:space="preserve">0635</t>
  </si>
  <si>
    <t xml:space="preserve">ص</t>
  </si>
  <si>
    <t xml:space="preserve">ARABIC_DAD</t>
  </si>
  <si>
    <t xml:space="preserve">0636</t>
  </si>
  <si>
    <t xml:space="preserve">ض</t>
  </si>
  <si>
    <t xml:space="preserve">ARABIC_TAH</t>
  </si>
  <si>
    <t xml:space="preserve">0637</t>
  </si>
  <si>
    <t xml:space="preserve">ط</t>
  </si>
  <si>
    <t xml:space="preserve">ARABIC_ZAH</t>
  </si>
  <si>
    <t xml:space="preserve">0638</t>
  </si>
  <si>
    <t xml:space="preserve">ظ</t>
  </si>
  <si>
    <t xml:space="preserve">ARABIC_AIN</t>
  </si>
  <si>
    <t xml:space="preserve">0639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</si>
  <si>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</si>
  <si>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</si>
  <si>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</si>
  <si>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</si>
  <si>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</si>
  <si>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</si>
  <si>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</si>
  <si>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</si>
  <si>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</si>
  <si>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</si>
  <si>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</si>
  <si>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</si>
  <si>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</si>
  <si>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</si>
  <si>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</si>
  <si>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</si>
  <si>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</si>
  <si>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</si>
  <si>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</si>
  <si>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</si>
  <si>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0640</t>
  </si>
  <si>
    <t xml:space="preserve">ـ</t>
  </si>
  <si>
    <t xml:space="preserve">ARABIC_FEH</t>
  </si>
  <si>
    <t xml:space="preserve">0641</t>
  </si>
  <si>
    <t xml:space="preserve">ف</t>
  </si>
  <si>
    <t xml:space="preserve">ARABIC_QAF</t>
  </si>
  <si>
    <t xml:space="preserve">0642</t>
  </si>
  <si>
    <t xml:space="preserve">ق</t>
  </si>
  <si>
    <t xml:space="preserve">ARABIC_KAF</t>
  </si>
  <si>
    <t xml:space="preserve">0643</t>
  </si>
  <si>
    <t xml:space="preserve">ك</t>
  </si>
  <si>
    <t xml:space="preserve">ARABIC_LAM</t>
  </si>
  <si>
    <t xml:space="preserve">0644</t>
  </si>
  <si>
    <t xml:space="preserve">ل</t>
  </si>
  <si>
    <t xml:space="preserve">ARABIC_MEEM</t>
  </si>
  <si>
    <t xml:space="preserve">0645</t>
  </si>
  <si>
    <t xml:space="preserve">م</t>
  </si>
  <si>
    <t xml:space="preserve">ARABIC_NOON</t>
  </si>
  <si>
    <t xml:space="preserve">0646</t>
  </si>
  <si>
    <t xml:space="preserve">ن</t>
  </si>
  <si>
    <t xml:space="preserve">ARABIC_HEH</t>
  </si>
  <si>
    <t xml:space="preserve">0647</t>
  </si>
  <si>
    <t xml:space="preserve">ه</t>
  </si>
  <si>
    <t xml:space="preserve">ARABIC_WAW</t>
  </si>
  <si>
    <t xml:space="preserve">0648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</si>
  <si>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</si>
  <si>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</si>
  <si>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</si>
  <si>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</si>
  <si>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</si>
  <si>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</si>
  <si>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</si>
  <si>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</si>
  <si>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</si>
  <si>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</si>
  <si>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</si>
  <si>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</si>
  <si>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</si>
  <si>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</si>
  <si>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</si>
  <si>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</si>
  <si>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</si>
  <si>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</si>
  <si>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</si>
  <si>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</si>
  <si>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</si>
  <si>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</si>
  <si>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</si>
  <si>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</si>
  <si>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</si>
  <si>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</si>
  <si>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</si>
  <si>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</si>
  <si>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</si>
  <si>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</si>
  <si>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</si>
  <si>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</si>
  <si>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</si>
  <si>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</si>
  <si>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</si>
  <si>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</si>
  <si>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</si>
  <si>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</si>
  <si>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</si>
  <si>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</si>
  <si>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</si>
  <si>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</si>
  <si>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</si>
  <si>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</si>
  <si>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</si>
  <si>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</si>
  <si>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</si>
  <si>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</si>
  <si>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</si>
  <si>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</si>
  <si>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</si>
  <si>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</si>
  <si>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</si>
  <si>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</si>
  <si>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</si>
  <si>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</si>
  <si>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</si>
  <si>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</si>
  <si>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</si>
  <si>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</si>
  <si>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</si>
  <si>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</si>
  <si>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</si>
  <si>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</si>
  <si>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</si>
  <si>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</si>
  <si>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</si>
  <si>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</si>
  <si>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</si>
  <si>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</si>
  <si>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</si>
  <si>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</si>
  <si>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</si>
  <si>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</si>
  <si>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</si>
  <si>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</si>
  <si>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</si>
  <si>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</si>
  <si>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</si>
  <si>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</si>
  <si>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</si>
  <si>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</si>
  <si>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</si>
  <si>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</si>
  <si>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</si>
  <si>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</si>
  <si>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</si>
  <si>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</si>
  <si>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</si>
  <si>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</si>
  <si>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</si>
  <si>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</si>
  <si>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</si>
  <si>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</si>
  <si>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</si>
  <si>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</si>
  <si>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</si>
  <si>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</si>
  <si>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</si>
  <si>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</si>
  <si>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</si>
  <si>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</si>
  <si>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</si>
  <si>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</si>
  <si>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</si>
  <si>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</si>
  <si>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</si>
  <si>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</si>
  <si>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</si>
  <si>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</si>
  <si>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</si>
  <si>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</si>
  <si>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</si>
  <si>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</si>
  <si>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</si>
  <si>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</si>
  <si>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</si>
  <si>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</si>
  <si>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</si>
  <si>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</si>
  <si>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</si>
  <si>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</si>
  <si>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</si>
  <si>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</si>
  <si>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</si>
  <si>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</si>
  <si>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</si>
  <si>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</si>
  <si>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</si>
  <si>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</si>
  <si>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</si>
  <si>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</si>
  <si>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</si>
  <si>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</si>
  <si>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</si>
  <si>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</si>
  <si>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</si>
  <si>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</si>
  <si>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</si>
  <si>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</si>
  <si>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</si>
  <si>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</si>
  <si>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</si>
  <si>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</si>
  <si>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</si>
  <si>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</si>
  <si>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</si>
  <si>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</si>
  <si>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</si>
  <si>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</si>
  <si>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</si>
  <si>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</si>
  <si>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</si>
  <si>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</si>
  <si>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</si>
  <si>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</si>
  <si>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</si>
  <si>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</si>
  <si>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</si>
  <si>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</si>
  <si>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</si>
  <si>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</si>
  <si>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</si>
  <si>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</si>
  <si>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</si>
  <si>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</si>
  <si>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</si>
  <si>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</si>
  <si>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</si>
  <si>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</si>
  <si>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</si>
  <si>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</si>
  <si>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</si>
  <si>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</si>
  <si>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</si>
  <si>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</si>
  <si>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</si>
  <si>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</si>
  <si>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</si>
  <si>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</si>
  <si>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</si>
  <si>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</si>
  <si>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</si>
  <si>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</si>
  <si>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</si>
  <si>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</si>
  <si>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</si>
  <si>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</si>
  <si>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</si>
  <si>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</si>
  <si>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</si>
  <si>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</si>
  <si>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</si>
  <si>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</si>
  <si>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</si>
  <si>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</si>
  <si>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</si>
  <si>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</si>
  <si>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</si>
  <si>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</si>
  <si>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</si>
  <si>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</si>
  <si>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</si>
  <si>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</si>
  <si>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</si>
  <si>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</si>
  <si>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</si>
  <si>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</si>
  <si>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</si>
  <si>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</si>
  <si>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</si>
  <si>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</si>
  <si>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</si>
  <si>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</si>
  <si>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</si>
  <si>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</si>
  <si>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</si>
  <si>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</si>
  <si>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</si>
  <si>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</si>
  <si>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</si>
  <si>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</si>
  <si>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</si>
  <si>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</si>
  <si>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</si>
  <si>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</si>
  <si>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</si>
  <si>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</si>
  <si>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</si>
  <si>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</si>
  <si>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</si>
  <si>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</si>
  <si>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</si>
  <si>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</si>
  <si>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</si>
  <si>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</si>
  <si>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</si>
  <si>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</si>
  <si>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</si>
  <si>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</si>
  <si>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</si>
  <si>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</si>
  <si>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</si>
  <si>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</si>
  <si>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</si>
  <si>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</si>
  <si>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</si>
  <si>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</si>
  <si>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</si>
  <si>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</si>
  <si>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</si>
  <si>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</si>
  <si>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</si>
  <si>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</si>
  <si>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</si>
  <si>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</si>
  <si>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</si>
  <si>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</si>
  <si>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</si>
  <si>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</si>
  <si>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</si>
  <si>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</si>
  <si>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</si>
  <si>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</si>
  <si>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</si>
  <si>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</si>
  <si>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</si>
  <si>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</si>
  <si>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</si>
  <si>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</si>
  <si>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</si>
  <si>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</si>
  <si>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</si>
  <si>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</si>
  <si>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</si>
  <si>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</si>
  <si>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</si>
  <si>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</si>
  <si>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</si>
  <si>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</si>
  <si>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</si>
  <si>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</si>
  <si>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</si>
  <si>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</si>
  <si>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</si>
  <si>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</si>
  <si>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</si>
  <si>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</si>
  <si>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</si>
  <si>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PRIVATE_AI</t>
  </si>
  <si>
    <t xml:space="preserve">E300</t>
  </si>
  <si>
    <t xml:space="preserve">offset 0x11000</t>
  </si>
  <si>
    <t xml:space="preserve">PRIVATE_WORLD</t>
  </si>
  <si>
    <t xml:space="preserve">E310</t>
  </si>
  <si>
    <t xml:space="preserve">PRIVATE_DISP_BRIGHT</t>
  </si>
  <si>
    <t xml:space="preserve">E311</t>
  </si>
  <si>
    <t xml:space="preserve">PRIVATE_DISP_DARK</t>
  </si>
  <si>
    <t xml:space="preserve">E315</t>
  </si>
  <si>
    <t xml:space="preserve">PRIVATE_DISP_DARKER</t>
  </si>
  <si>
    <t xml:space="preserve">E316</t>
  </si>
  <si>
    <t xml:space="preserve">PRIVATE_DISP_HALF</t>
  </si>
  <si>
    <t xml:space="preserve">E317</t>
  </si>
  <si>
    <t xml:space="preserve">PRIVATE_DISP_BRIGHTER</t>
  </si>
  <si>
    <t xml:space="preserve">E318</t>
  </si>
  <si>
    <t xml:space="preserve">PRIVATE_HOME</t>
  </si>
  <si>
    <t xml:space="preserve">E3E0</t>
  </si>
  <si>
    <t xml:space="preserve">PRIVATE_MEH</t>
  </si>
  <si>
    <t xml:space="preserve">E410</t>
  </si>
  <si>
    <t xml:space="preserve">PRIVATE_LIGHT</t>
  </si>
  <si>
    <t xml:space="preserve">E4A1</t>
  </si>
  <si>
    <t xml:space="preserve">PRIVATE_HYPER</t>
  </si>
  <si>
    <t xml:space="preserve">E4AB</t>
  </si>
  <si>
    <t xml:space="preserve">FILE_OPEN</t>
  </si>
  <si>
    <t xml:space="preserve">e4C2</t>
  </si>
  <si>
    <t xml:space="preserve">CLIPBOARD_COPY</t>
  </si>
  <si>
    <t xml:space="preserve">e4CB</t>
  </si>
  <si>
    <t xml:space="preserve">PRIVATE_NOTE</t>
  </si>
  <si>
    <t xml:space="preserve">E4dd</t>
  </si>
  <si>
    <t xml:space="preserve">PRIVATE_FIND</t>
  </si>
  <si>
    <t xml:space="preserve">E50E</t>
  </si>
  <si>
    <t xml:space="preserve">PRIVATE_LOCK</t>
  </si>
  <si>
    <t xml:space="preserve">E512</t>
  </si>
  <si>
    <t xml:space="preserve">PRIVATE_SETTINGS</t>
  </si>
  <si>
    <t xml:space="preserve">E527</t>
  </si>
  <si>
    <t xml:space="preserve">PRIVATE_MUTE</t>
  </si>
  <si>
    <t xml:space="preserve">e568</t>
  </si>
  <si>
    <t xml:space="preserve">PRIVATE_VOL_DOWN</t>
  </si>
  <si>
    <t xml:space="preserve">e569</t>
  </si>
  <si>
    <t xml:space="preserve">PRIVATE_VOL_UP</t>
  </si>
  <si>
    <t xml:space="preserve">e56a</t>
  </si>
  <si>
    <t xml:space="preserve">PRIVATE_CALC</t>
  </si>
  <si>
    <t xml:space="preserve">E5A9</t>
  </si>
  <si>
    <t xml:space="preserve">PRIVATE_FLOPPY</t>
  </si>
  <si>
    <t xml:space="preserve">E5AB</t>
  </si>
  <si>
    <t xml:space="preserve">PRIVATE_PC</t>
  </si>
  <si>
    <t xml:space="preserve">e5B3</t>
  </si>
  <si>
    <t xml:space="preserve">PRIVATE_HDD</t>
  </si>
  <si>
    <t xml:space="preserve">e5B4</t>
  </si>
  <si>
    <t xml:space="preserve">PRIVATE_SCREEN</t>
  </si>
  <si>
    <t xml:space="preserve">e5B5</t>
  </si>
  <si>
    <t xml:space="preserve">PRIVATE_PRINTER</t>
  </si>
  <si>
    <t xml:space="preserve">e5B6</t>
  </si>
  <si>
    <t xml:space="preserve">PRIVATE_FAX</t>
  </si>
  <si>
    <t xml:space="preserve">e5B7</t>
  </si>
  <si>
    <t xml:space="preserve">PRIVATE_CD</t>
  </si>
  <si>
    <t xml:space="preserve">e5B8</t>
  </si>
  <si>
    <t xml:space="preserve">PRIVATE_DOCUMENT</t>
  </si>
  <si>
    <t xml:space="preserve">e5B9</t>
  </si>
  <si>
    <t xml:space="preserve">PRIVATE_MIXED_DOCUMENT</t>
  </si>
  <si>
    <t xml:space="preserve">e5Ba</t>
  </si>
  <si>
    <t xml:space="preserve">PRIVATE_IMAGE_DOCUMENT</t>
  </si>
  <si>
    <t xml:space="preserve">e5Bb</t>
  </si>
  <si>
    <t xml:space="preserve">PRIVATE_IMAGE</t>
  </si>
  <si>
    <t xml:space="preserve">e5bc</t>
  </si>
  <si>
    <t xml:space="preserve">CLIPBOARD_PASTE</t>
  </si>
  <si>
    <t xml:space="preserve">E5CA</t>
  </si>
  <si>
    <t xml:space="preserve">PRIVATE_MINIMIZE</t>
  </si>
  <si>
    <t xml:space="preserve">E5D5</t>
  </si>
  <si>
    <t xml:space="preserve">PRIVATE_MAXIMIZE</t>
  </si>
  <si>
    <t xml:space="preserve">E5D6</t>
  </si>
  <si>
    <t xml:space="preserve">PRIVATE_WINDOW</t>
  </si>
  <si>
    <t xml:space="preserve">E5D7</t>
  </si>
  <si>
    <t xml:space="preserve">PRIVATE_RELOAD</t>
  </si>
  <si>
    <t xml:space="preserve">E5D8</t>
  </si>
  <si>
    <t xml:space="preserve">PRIVATE_DELETE</t>
  </si>
  <si>
    <t xml:space="preserve">E5D9</t>
  </si>
  <si>
    <t xml:space="preserve">PRIVATE_FONT_INC</t>
  </si>
  <si>
    <t xml:space="preserve">E5DA</t>
  </si>
  <si>
    <t xml:space="preserve">PRIVATE_FONT_DEC</t>
  </si>
  <si>
    <t xml:space="preserve">E5DB</t>
  </si>
  <si>
    <t xml:space="preserve">PRIVATE_EMOJI_1F600</t>
  </si>
  <si>
    <t xml:space="preserve">offset 0x10000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</si>
  <si>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</si>
  <si>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</si>
  <si>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</si>
  <si>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</si>
  <si>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</si>
  <si>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</si>
  <si>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</si>
  <si>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</si>
  <si>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</si>
  <si>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</si>
  <si>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</si>
  <si>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</si>
  <si>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</si>
  <si>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</si>
  <si>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</si>
  <si>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</si>
  <si>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</si>
  <si>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</si>
  <si>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</si>
  <si>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</si>
  <si>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</si>
  <si>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</si>
  <si>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</si>
  <si>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</si>
  <si>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</si>
  <si>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</si>
  <si>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</si>
  <si>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</si>
  <si>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</si>
  <si>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</si>
  <si>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</si>
  <si>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</si>
  <si>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</si>
  <si>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</si>
  <si>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</si>
  <si>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</si>
  <si>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</si>
  <si>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</si>
  <si>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</si>
  <si>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</si>
  <si>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</si>
  <si>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</si>
  <si>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</si>
  <si>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</si>
  <si>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</si>
  <si>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</si>
  <si>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</si>
  <si>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</si>
  <si>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</si>
  <si>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</si>
  <si>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</si>
  <si>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</si>
  <si>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</si>
  <si>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</si>
  <si>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</si>
  <si>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</si>
  <si>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</si>
  <si>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</si>
  <si>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</si>
  <si>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</si>
  <si>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</si>
  <si>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</si>
  <si>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</si>
  <si>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</si>
  <si>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</si>
  <si>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</si>
  <si>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</si>
  <si>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</si>
  <si>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</si>
  <si>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offset 0xfd00</t>
  </si>
  <si>
    <t xml:space="preserve">offset 0x10100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</si>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</sst>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30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FA500"/>
        <bgColor rgb="FFFF8C00"/>
      </patternFill>
    </fill>
    <fill>
      <patternFill patternType="solid">
        <fgColor rgb="FF32CD32"/>
        <bgColor rgb="FF81D41A"/>
      </patternFill>
    </fill>
    <fill>
      <patternFill patternType="solid">
        <fgColor rgb="FF00CED1"/>
        <bgColor rgb="FF00FFFF"/>
      </patternFill>
    </fill>
    <fill>
      <patternFill patternType="solid">
        <fgColor rgb="FFFFA07A"/>
        <bgColor rgb="FFFFB66C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FA07A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5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6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7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4500"/>
      <rgbColor rgb="FF32CD32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FF69B4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A07A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25"/>
  <sheetViews>
    <sheetView showFormulas="false" showGridLines="true" showRowColHeaders="true" showZeros="true" rightToLeft="false" tabSelected="false" showOutlineSymbols="true" defaultGridColor="true" view="normal" topLeftCell="A609" colorId="64" zoomScale="120" zoomScaleNormal="120" zoomScalePageLayoutView="100" workbookViewId="0">
      <selection pane="topLeft" activeCell="A618" activeCellId="0" sqref="A618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DEC2HEX(C2,4)</f>
        <v>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DEC2HEX(C3,4)</f>
        <v>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DEC2HEX(C4,4)</f>
        <v>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DEC2HEX(C5,4)</f>
        <v>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DEC2HEX(C6,4)</f>
        <v>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DEC2HEX(C7,4)</f>
        <v>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DEC2HEX(C8,4)</f>
        <v>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DEC2HEX(C9,4)</f>
        <v>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DEC2HEX(C10,4)</f>
        <v>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DEC2HEX(C11,4)</f>
        <v>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DEC2HEX(C12,4)</f>
        <v>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DEC2HEX(C13,4)</f>
        <v>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DEC2HEX(C14,4)</f>
        <v>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DEC2HEX(C15,4)</f>
        <v>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DEC2HEX(C16,4)</f>
        <v>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DEC2HEX(C17,4)</f>
        <v>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DEC2HEX(C18,4)</f>
        <v>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DEC2HEX(C19,4)</f>
        <v>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DEC2HEX(C20,4)</f>
        <v>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DEC2HEX(C21,4)</f>
        <v>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DEC2HEX(C22,4)</f>
        <v>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DEC2HEX(C23,4)</f>
        <v>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DEC2HEX(C24,4)</f>
        <v>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DEC2HEX(C25,4)</f>
        <v>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DEC2HEX(C26,4)</f>
        <v>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DEC2HEX(C27,4)</f>
        <v>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DEC2HEX(C28,4)</f>
        <v>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DEC2HEX(C29,4)</f>
        <v>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DEC2HEX(C30,4)</f>
        <v>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DEC2HEX(C31,4)</f>
        <v>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DEC2HEX(C32,4)</f>
        <v>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DEC2HEX(C33,4)</f>
        <v>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DEC2HEX(C34,4)</f>
        <v>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DEC2HEX(C35,4)</f>
        <v>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DEC2HEX(C36,4)</f>
        <v>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DEC2HEX(C37,4)</f>
        <v>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DEC2HEX(C38,4)</f>
        <v>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DEC2HEX(C39,4)</f>
        <v>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DEC2HEX(C40,4)</f>
        <v>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DEC2HEX(C41,4)</f>
        <v>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DEC2HEX(C42,4)</f>
        <v>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DEC2HEX(C43,4)</f>
        <v>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DEC2HEX(C44,4)</f>
        <v>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DEC2HEX(C45,4)</f>
        <v>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DEC2HEX(C46,4)</f>
        <v>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DEC2HEX(C47,4)</f>
        <v>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DEC2HEX(C48,4)</f>
        <v>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DEC2HEX(C49,4)</f>
        <v>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DEC2HEX(C50,4)</f>
        <v>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DEC2HEX(C51,4)</f>
        <v>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DEC2HEX(C52,4)</f>
        <v>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DEC2HEX(C53,4)</f>
        <v>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DEC2HEX(C54,4)</f>
        <v>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DEC2HEX(C55,4)</f>
        <v>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DEC2HEX(C56,4)</f>
        <v>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DEC2HEX(C57,4)</f>
        <v>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DEC2HEX(C58,4)</f>
        <v>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DEC2HEX(C59,4)</f>
        <v>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DEC2HEX(C60,4)</f>
        <v>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DEC2HEX(C61,4)</f>
        <v>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DEC2HEX(C62,4)</f>
        <v>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DEC2HEX(C63,4)</f>
        <v>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DEC2HEX(C64,4)</f>
        <v>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DEC2HEX(C65,4)</f>
        <v>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DEC2HEX(C66,4)</f>
        <v>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DEC2HEX(C67,4)</f>
        <v>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DEC2HEX(C68,4)</f>
        <v>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DEC2HEX(C69,4)</f>
        <v>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DEC2HEX(C70,4)</f>
        <v>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DEC2HEX(C71,4)</f>
        <v>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DEC2HEX(C72,4)</f>
        <v>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DEC2HEX(C73,4)</f>
        <v>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DEC2HEX(C74,4)</f>
        <v>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DEC2HEX(C75,4)</f>
        <v>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DEC2HEX(C76,4)</f>
        <v>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DEC2HEX(C77,4)</f>
        <v>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DEC2HEX(C78,4)</f>
        <v>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DEC2HEX(C79,4)</f>
        <v>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DEC2HEX(C80,4)</f>
        <v>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DEC2HEX(C81,4)</f>
        <v>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DEC2HEX(C82,4)</f>
        <v>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DEC2HEX(C83,4)</f>
        <v>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DEC2HEX(C84,4)</f>
        <v>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DEC2HEX(C85,4)</f>
        <v>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DEC2HEX(C86,4)</f>
        <v>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DEC2HEX(C87,4)</f>
        <v>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DEC2HEX(C88,4)</f>
        <v>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DEC2HEX(C89,4)</f>
        <v>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DEC2HEX(C90,4)</f>
        <v>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DEC2HEX(C91,4)</f>
        <v>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DEC2HEX(C92,4)</f>
        <v>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DEC2HEX(C93,4)</f>
        <v>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DEC2HEX(C94,4)</f>
        <v>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DEC2HEX(C95,4)</f>
        <v>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DEC2HEX(C96,4)</f>
        <v>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DEC2HEX(C97,4)</f>
        <v>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DEC2HEX(C98,4)</f>
        <v>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DEC2HEX(C99,4)</f>
        <v>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DEC2HEX(C100,4)</f>
        <v>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DEC2HEX(C101,4)</f>
        <v>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DEC2HEX(C102,4)</f>
        <v>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DEC2HEX(C103,4)</f>
        <v>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DEC2HEX(C104,4)</f>
        <v>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DEC2HEX(C105,4)</f>
        <v>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DEC2HEX(C106,4)</f>
        <v>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DEC2HEX(C107,4)</f>
        <v>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DEC2HEX(C108,4)</f>
        <v>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DEC2HEX(C109,4)</f>
        <v>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DEC2HEX(C110,4)</f>
        <v>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DEC2HEX(C111,4)</f>
        <v>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DEC2HEX(C112,4)</f>
        <v>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DEC2HEX(C113,4)</f>
        <v>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DEC2HEX(C114,4)</f>
        <v>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DEC2HEX(C115,4)</f>
        <v>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DEC2HEX(C116,4)</f>
        <v>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DEC2HEX(C117,4)</f>
        <v>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DEC2HEX(C118,4)</f>
        <v>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DEC2HEX(C119,4)</f>
        <v>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DEC2HEX(C120,4)</f>
        <v>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DEC2HEX(C121,4)</f>
        <v>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DEC2HEX(C122,4)</f>
        <v>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DEC2HEX(C123,4)</f>
        <v>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DEC2HEX(C124,4)</f>
        <v>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DEC2HEX(C125,4)</f>
        <v>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DEC2HEX(C126,4)</f>
        <v>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DEC2HEX(C127,4)</f>
        <v>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DEC2HEX(C128,4)</f>
        <v>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DEC2HEX(C129,4)</f>
        <v>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DEC2HEX(C130,4)</f>
        <v>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DEC2HEX(C131,4)</f>
        <v>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DEC2HEX(C132,4)</f>
        <v>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DEC2HEX(C133,4)</f>
        <v>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DEC2HEX(C134,4)</f>
        <v>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DEC2HEX(C135,4)</f>
        <v>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DEC2HEX(C136,4)</f>
        <v>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DEC2HEX(C137,4)</f>
        <v>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DEC2HEX(C138,4)</f>
        <v>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DEC2HEX(C139,4)</f>
        <v>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DEC2HEX(C140,4)</f>
        <v>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DEC2HEX(C141,4)</f>
        <v>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DEC2HEX(C142,4)</f>
        <v>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DEC2HEX(C143,4)</f>
        <v>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DEC2HEX(C144,4)</f>
        <v>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DEC2HEX(C145,4)</f>
        <v>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DEC2HEX(C146,4)</f>
        <v>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DEC2HEX(C147,4)</f>
        <v>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DEC2HEX(C148,4)</f>
        <v>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DEC2HEX(C149,4)</f>
        <v>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DEC2HEX(C150,4)</f>
        <v>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DEC2HEX(C151,4)</f>
        <v>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DEC2HEX(C152,4)</f>
        <v>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DEC2HEX(C153,4)</f>
        <v>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DEC2HEX(C154,4)</f>
        <v>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DEC2HEX(C155,4)</f>
        <v>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DEC2HEX(C156,4)</f>
        <v>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DEC2HEX(C157,4)</f>
        <v>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DEC2HEX(C158,4)</f>
        <v>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DEC2HEX(C159,4)</f>
        <v>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DEC2HEX(C160,4)</f>
        <v>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DEC2HEX(C161,4)</f>
        <v>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DEC2HEX(C162,4)</f>
        <v>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DEC2HEX(C163,4)</f>
        <v>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DEC2HEX(C164,4)</f>
        <v>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DEC2HEX(C165,4)</f>
        <v>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DEC2HEX(C166,4)</f>
        <v>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DEC2HEX(C167,4)</f>
        <v>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DEC2HEX(C168,4)</f>
        <v>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DEC2HEX(C169,4)</f>
        <v>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DEC2HEX(C170,4)</f>
        <v>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DEC2HEX(C171,4)</f>
        <v>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DEC2HEX(C172,4)</f>
        <v>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DEC2HEX(C173,4)</f>
        <v>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DEC2HEX(C174,4)</f>
        <v>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DEC2HEX(C175,4)</f>
        <v>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DEC2HEX(C176,4)</f>
        <v>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DEC2HEX(C177,4)</f>
        <v>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DEC2HEX(C178,4)</f>
        <v>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DEC2HEX(C179,4)</f>
        <v>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DEC2HEX(C180,4)</f>
        <v>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DEC2HEX(C181,4)</f>
        <v>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DEC2HEX(C182,4)</f>
        <v>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DEC2HEX(C183,4)</f>
        <v>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DEC2HEX(C184,4)</f>
        <v>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DEC2HEX(C185,4)</f>
        <v>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DEC2HEX(C186,4)</f>
        <v>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DEC2HEX(C187,4)</f>
        <v>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DEC2HEX(C188,4)</f>
        <v>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DEC2HEX(C189,4)</f>
        <v>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DEC2HEX(C190,4)</f>
        <v>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DEC2HEX(C191,4)</f>
        <v>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DEC2HEX(C192,4)</f>
        <v>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DEC2HEX(C193,4)</f>
        <v>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DEC2HEX(C194,4)</f>
        <v>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DEC2HEX(C195,4)</f>
        <v>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DEC2HEX(C196,4)</f>
        <v>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DEC2HEX(C197,4)</f>
        <v>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DEC2HEX(C198,4)</f>
        <v>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DEC2HEX(C199,4)</f>
        <v>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DEC2HEX(C200,4)</f>
        <v>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DEC2HEX(C201,4)</f>
        <v>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DEC2HEX(C202,4)</f>
        <v>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DEC2HEX(C203,4)</f>
        <v>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DEC2HEX(C204,4)</f>
        <v>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DEC2HEX(C205,4)</f>
        <v>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DEC2HEX(C206,4)</f>
        <v>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DEC2HEX(C207,4)</f>
        <v>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DEC2HEX(C208,4)</f>
        <v>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DEC2HEX(C209,4)</f>
        <v>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DEC2HEX(C210,4)</f>
        <v>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DEC2HEX(C211,4)</f>
        <v>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DEC2HEX(C212,4)</f>
        <v>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DEC2HEX(C213,4)</f>
        <v>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DEC2HEX(C214,4)</f>
        <v>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DEC2HEX(C215,4)</f>
        <v>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DEC2HEX(C216,4)</f>
        <v>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DEC2HEX(C217,4)</f>
        <v>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DEC2HEX(C218,4)</f>
        <v>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DEC2HEX(C219,4)</f>
        <v>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DEC2HEX(C220,4)</f>
        <v>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DEC2HEX(C221,4)</f>
        <v>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DEC2HEX(C222,4)</f>
        <v>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DEC2HEX(C223,4)</f>
        <v>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DEC2HEX(C224,4)</f>
        <v>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DEC2HEX(C225,4)</f>
        <v>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DEC2HEX(C226,4)</f>
        <v>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DEC2HEX(C227,4)</f>
        <v>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DEC2HEX(C228,4)</f>
        <v>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DEC2HEX(C229,4)</f>
        <v>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DEC2HEX(C230,4)</f>
        <v>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DEC2HEX(C231,4)</f>
        <v>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DEC2HEX(C232,4)</f>
        <v>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DEC2HEX(C233,4)</f>
        <v>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DEC2HEX(C234,4)</f>
        <v>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DEC2HEX(C235,4)</f>
        <v>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DEC2HEX(C236,4)</f>
        <v>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DEC2HEX(C237,4)</f>
        <v>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DEC2HEX(C238,4)</f>
        <v>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DEC2HEX(C239,4)</f>
        <v>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DEC2HEX(C240,4)</f>
        <v>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DEC2HEX(C241,4)</f>
        <v>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DEC2HEX(C242,4)</f>
        <v>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DEC2HEX(C243,4)</f>
        <v>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DEC2HEX(C244,4)</f>
        <v>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DEC2HEX(C245,4)</f>
        <v>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DEC2HEX(C246,4)</f>
        <v>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DEC2HEX(C247,4)</f>
        <v>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DEC2HEX(C248,4)</f>
        <v>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DEC2HEX(C249,4)</f>
        <v>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DEC2HEX(C250,4)</f>
        <v>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DEC2HEX(C251,4)</f>
        <v>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DEC2HEX(C252,4)</f>
        <v>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DEC2HEX(C253,4)</f>
        <v>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DEC2HEX(C254,4)</f>
        <v>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DEC2HEX(C255,4)</f>
        <v>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DEC2HEX(C256,4)</f>
        <v>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DEC2HEX(C257,4)</f>
        <v>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DEC2HEX(C258,4)</f>
        <v>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DEC2HEX(C259,4)</f>
        <v>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DEC2HEX(C260,4)</f>
        <v>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DEC2HEX(C261,4)</f>
        <v>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DEC2HEX(C262,4)</f>
        <v>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DEC2HEX(C263,4)</f>
        <v>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DEC2HEX(C264,4)</f>
        <v>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DEC2HEX(C265,4)</f>
        <v>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DEC2HEX(C266,4)</f>
        <v>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DEC2HEX(C267,4)</f>
        <v>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DEC2HEX(C268,4)</f>
        <v>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DEC2HEX(C269,4)</f>
        <v>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DEC2HEX(C270,4)</f>
        <v>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DEC2HEX(C271,4)</f>
        <v>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DEC2HEX(C272,4)</f>
        <v>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DEC2HEX(C273,4)</f>
        <v>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DEC2HEX(C274,4)</f>
        <v>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DEC2HEX(C275,4)</f>
        <v>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DEC2HEX(C276,4)</f>
        <v>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DEC2HEX(C277,4)</f>
        <v>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DEC2HEX(C278,4)</f>
        <v>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DEC2HEX(C279,4)</f>
        <v>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DEC2HEX(C280,4)</f>
        <v>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DEC2HEX(C281,4)</f>
        <v>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DEC2HEX(C282,4)</f>
        <v>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DEC2HEX(C283,4)</f>
        <v>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DEC2HEX(C284,4)</f>
        <v>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DEC2HEX(C285,4)</f>
        <v>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DEC2HEX(C286,4)</f>
        <v>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DEC2HEX(C287,4)</f>
        <v>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DEC2HEX(C288,4)</f>
        <v>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DEC2HEX(C289,4)</f>
        <v>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DEC2HEX(C290,4)</f>
        <v>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DEC2HEX(C291,4)</f>
        <v>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DEC2HEX(C292,4)</f>
        <v>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DEC2HEX(C293,4)</f>
        <v>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DEC2HEX(C294,4)</f>
        <v>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DEC2HEX(C295,4)</f>
        <v>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DEC2HEX(C296,4)</f>
        <v>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DEC2HEX(C297,4)</f>
        <v>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DEC2HEX(C298,4)</f>
        <v>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DEC2HEX(C299,4)</f>
        <v>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DEC2HEX(C300,4)</f>
        <v>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DEC2HEX(C301,4)</f>
        <v>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DEC2HEX(C302,4)</f>
        <v>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DEC2HEX(C303,4)</f>
        <v>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DEC2HEX(C304,4)</f>
        <v>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DEC2HEX(C305,4)</f>
        <v>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DEC2HEX(C306,4)</f>
        <v>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DEC2HEX(C307,4)</f>
        <v>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DEC2HEX(C308,4)</f>
        <v>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DEC2HEX(C309,4)</f>
        <v>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DEC2HEX(C310,4)</f>
        <v>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DEC2HEX(C311,4)</f>
        <v>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DEC2HEX(C312,4)</f>
        <v>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DEC2HEX(C313,4)</f>
        <v>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DEC2HEX(C314,4)</f>
        <v>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DEC2HEX(C315,4)</f>
        <v>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DEC2HEX(C316,4)</f>
        <v>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DEC2HEX(C317,4)</f>
        <v>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DEC2HEX(C318,4)</f>
        <v>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DEC2HEX(C319,4)</f>
        <v>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DEC2HEX(C320,4)</f>
        <v>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DEC2HEX(C321,4)</f>
        <v>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DEC2HEX(C322,4)</f>
        <v>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DEC2HEX(C323,4)</f>
        <v>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DEC2HEX(C324,4)</f>
        <v>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DEC2HEX(C325,4)</f>
        <v>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DEC2HEX(C326,4)</f>
        <v>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DEC2HEX(C327,4)</f>
        <v>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DEC2HEX(C328,4)</f>
        <v>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DEC2HEX(C329,4)</f>
        <v>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DEC2HEX(C330,4)</f>
        <v>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DEC2HEX(C331,4)</f>
        <v>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DEC2HEX(C332,4)</f>
        <v>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DEC2HEX(C333,4)</f>
        <v>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DEC2HEX(C334,4)</f>
        <v>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DEC2HEX(C335,4)</f>
        <v>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DEC2HEX(C336,4)</f>
        <v>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DEC2HEX(C337,4)</f>
        <v>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DEC2HEX(C338,4)</f>
        <v>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DEC2HEX(C339,4)</f>
        <v>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DEC2HEX(C340,4)</f>
        <v>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DEC2HEX(C341,4)</f>
        <v>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DEC2HEX(C342,4)</f>
        <v>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DEC2HEX(C343,4)</f>
        <v>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DEC2HEX(C344,4)</f>
        <v>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DEC2HEX(C345,4)</f>
        <v>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DEC2HEX(C346,4)</f>
        <v>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DEC2HEX(C347,4)</f>
        <v>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DEC2HEX(C348,4)</f>
        <v>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DEC2HEX(C349,4)</f>
        <v>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DEC2HEX(C350,4)</f>
        <v>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DEC2HEX(C351,4)</f>
        <v>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DEC2HEX(C352,4)</f>
        <v>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DEC2HEX(C353,4)</f>
        <v>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DEC2HEX(C354,4)</f>
        <v>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DEC2HEX(C355,4)</f>
        <v>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DEC2HEX(C356,4)</f>
        <v>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DEC2HEX(C357,4)</f>
        <v>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DEC2HEX(C358,4)</f>
        <v>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DEC2HEX(C359,4)</f>
        <v>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DEC2HEX(C360,4)</f>
        <v>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DEC2HEX(C361,4)</f>
        <v>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DEC2HEX(C362,4)</f>
        <v>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DEC2HEX(C363,4)</f>
        <v>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DEC2HEX(C364,4)</f>
        <v>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DEC2HEX(C365,4)</f>
        <v>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DEC2HEX(C366,4)</f>
        <v>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DEC2HEX(C367,4)</f>
        <v>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DEC2HEX(C368,4)</f>
        <v>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DEC2HEX(C369,4)</f>
        <v>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DEC2HEX(C370,4)</f>
        <v>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DEC2HEX(C371,4)</f>
        <v>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DEC2HEX(C372,4)</f>
        <v>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DEC2HEX(C373,4)</f>
        <v>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DEC2HEX(C374,4)</f>
        <v>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DEC2HEX(C375,4)</f>
        <v>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DEC2HEX(C376,4)</f>
        <v>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DEC2HEX(C377,4)</f>
        <v>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DEC2HEX(C378,4)</f>
        <v>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DEC2HEX(C379,4)</f>
        <v>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DEC2HEX(C380,4)</f>
        <v>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DEC2HEX(C381,4)</f>
        <v>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DEC2HEX(C382,4)</f>
        <v>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DEC2HEX(C383,4)</f>
        <v>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DEC2HEX(C384,4)</f>
        <v>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DEC2HEX(C385,4)</f>
        <v>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DEC2HEX(C386,4)</f>
        <v>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DEC2HEX(C387,4)</f>
        <v>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DEC2HEX(C388,4)</f>
        <v>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DEC2HEX(C389,4)</f>
        <v>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DEC2HEX(C390,4)</f>
        <v>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DEC2HEX(C391,4)</f>
        <v>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DEC2HEX(C392,4)</f>
        <v>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DEC2HEX(C393,4)</f>
        <v>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DEC2HEX(C394,4)</f>
        <v>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DEC2HEX(C395,4)</f>
        <v>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DEC2HEX(C396,4)</f>
        <v>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DEC2HEX(C397,4)</f>
        <v>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DEC2HEX(C398,4)</f>
        <v>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DEC2HEX(C399,4)</f>
        <v>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DEC2HEX(C400,4)</f>
        <v>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DEC2HEX(C401,4)</f>
        <v>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DEC2HEX(C402,4)</f>
        <v>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DEC2HEX(C403,4)</f>
        <v>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DEC2HEX(C404,4)</f>
        <v>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DEC2HEX(C405,4)</f>
        <v>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DEC2HEX(C406,4)</f>
        <v>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DEC2HEX(C407,4)</f>
        <v>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DEC2HEX(C408,4)</f>
        <v>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DEC2HEX(C409,4)</f>
        <v>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DEC2HEX(C410,4)</f>
        <v>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DEC2HEX(C411,4)</f>
        <v>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DEC2HEX(C412,4)</f>
        <v>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DEC2HEX(C413,4)</f>
        <v>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DEC2HEX(C414,4)</f>
        <v>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DEC2HEX(C415,4)</f>
        <v>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DEC2HEX(C416,4)</f>
        <v>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DEC2HEX(C417,4)</f>
        <v>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DEC2HEX(C418,4)</f>
        <v>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DEC2HEX(C419,4)</f>
        <v>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DEC2HEX(C420,4)</f>
        <v>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DEC2HEX(C421,4)</f>
        <v>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DEC2HEX(C422,4)</f>
        <v>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DEC2HEX(C423,4)</f>
        <v>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DEC2HEX(C424,4)</f>
        <v>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DEC2HEX(C425,4)</f>
        <v>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DEC2HEX(C426,4)</f>
        <v>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DEC2HEX(C427,4)</f>
        <v>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DEC2HEX(C428,4)</f>
        <v>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DEC2HEX(C429,4)</f>
        <v>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DEC2HEX(C430,4)</f>
        <v>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DEC2HEX(C431,4)</f>
        <v>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DEC2HEX(C432,4)</f>
        <v>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DEC2HEX(C433,4)</f>
        <v>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DEC2HEX(C434,4)</f>
        <v>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DEC2HEX(C435,4)</f>
        <v>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DEC2HEX(C436,4)</f>
        <v>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DEC2HEX(C437,4)</f>
        <v>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DEC2HEX(C438,4)</f>
        <v>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DEC2HEX(C439,4)</f>
        <v>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DEC2HEX(C440,4)</f>
        <v>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DEC2HEX(C441,4)</f>
        <v>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DEC2HEX(C442,4)</f>
        <v>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DEC2HEX(C443,4)</f>
        <v>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DEC2HEX(C444,4)</f>
        <v>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DEC2HEX(C445,4)</f>
        <v>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DEC2HEX(C446,4)</f>
        <v>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DEC2HEX(C447,4)</f>
        <v>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DEC2HEX(C448,4)</f>
        <v>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DEC2HEX(C449,4)</f>
        <v>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DEC2HEX(C450,4)</f>
        <v>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DEC2HEX(C451,4)</f>
        <v>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DEC2HEX(C452,4)</f>
        <v>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DEC2HEX(C453,4)</f>
        <v>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DEC2HEX(C454,4)</f>
        <v>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DEC2HEX(C455,4)</f>
        <v>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DEC2HEX(C456,4)</f>
        <v>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DEC2HEX(C457,4)</f>
        <v>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DEC2HEX(C458,4)</f>
        <v>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DEC2HEX(C459,4)</f>
        <v>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DEC2HEX(C460,4)</f>
        <v>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DEC2HEX(C461,4)</f>
        <v>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DEC2HEX(C462,4)</f>
        <v>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DEC2HEX(C463,4)</f>
        <v>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DEC2HEX(C464,4)</f>
        <v>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DEC2HEX(C465,4)</f>
        <v>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DEC2HEX(C466,4)</f>
        <v>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DEC2HEX(C467,4)</f>
        <v>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DEC2HEX(C468,4)</f>
        <v>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DEC2HEX(C469,4)</f>
        <v>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DEC2HEX(C470,4)</f>
        <v>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DEC2HEX(C471,4)</f>
        <v>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DEC2HEX(C472,4)</f>
        <v>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DEC2HEX(C473,4)</f>
        <v>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DEC2HEX(C474,4)</f>
        <v>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DEC2HEX(C475,4)</f>
        <v>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DEC2HEX(C476,4)</f>
        <v>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DEC2HEX(C477,4)</f>
        <v>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DEC2HEX(C478,4)</f>
        <v>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DEC2HEX(C479,4)</f>
        <v>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DEC2HEX(C480,4)</f>
        <v>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DEC2HEX(C481,4)</f>
        <v>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DEC2HEX(C482,4)</f>
        <v>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DEC2HEX(C483,4)</f>
        <v>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DEC2HEX(C484,4)</f>
        <v>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DEC2HEX(C485,4)</f>
        <v>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DEC2HEX(C486,4)</f>
        <v>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DEC2HEX(C487,4)</f>
        <v>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DEC2HEX(C488,4)</f>
        <v>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DEC2HEX(C489,4)</f>
        <v>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DEC2HEX(C490,4)</f>
        <v>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DEC2HEX(C491,4)</f>
        <v>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DEC2HEX(C492,4)</f>
        <v>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DEC2HEX(C493,4)</f>
        <v>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DEC2HEX(C494,4)</f>
        <v>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DEC2HEX(C495,4)</f>
        <v>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DEC2HEX(C496,4)</f>
        <v>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DEC2HEX(C497,4)</f>
        <v>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DEC2HEX(C498,4)</f>
        <v>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DEC2HEX(C499,4)</f>
        <v>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DEC2HEX(C500,4)</f>
        <v>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DEC2HEX(C501,4)</f>
        <v>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DEC2HEX(C502,4)</f>
        <v>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DEC2HEX(C503,4)</f>
        <v>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DEC2HEX(C504,4)</f>
        <v>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DEC2HEX(C505,4)</f>
        <v>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">
        <v>505</v>
      </c>
      <c r="E506" s="10" t="s">
        <v>506</v>
      </c>
      <c r="F506" s="7" t="n">
        <v>291</v>
      </c>
    </row>
    <row r="507" customFormat="false" ht="15" hidden="false" customHeight="false" outlineLevel="0" collapsed="false">
      <c r="A507" s="7" t="s">
        <v>507</v>
      </c>
      <c r="B507" s="9" t="s">
        <v>508</v>
      </c>
      <c r="C507" s="7" t="n">
        <v>1563</v>
      </c>
      <c r="D507" s="9" t="s">
        <v>509</v>
      </c>
      <c r="E507" s="10" t="s">
        <v>510</v>
      </c>
      <c r="F507" s="7" t="n">
        <v>15</v>
      </c>
    </row>
    <row r="508" customFormat="false" ht="15" hidden="false" customHeight="false" outlineLevel="0" collapsed="false">
      <c r="A508" s="7" t="s">
        <v>511</v>
      </c>
      <c r="B508" s="9" t="s">
        <v>512</v>
      </c>
      <c r="C508" s="7" t="n">
        <v>1567</v>
      </c>
      <c r="D508" s="9" t="s">
        <v>512</v>
      </c>
      <c r="E508" s="10" t="s">
        <v>513</v>
      </c>
      <c r="F508" s="7" t="n">
        <v>4</v>
      </c>
    </row>
    <row r="509" customFormat="false" ht="15" hidden="false" customHeight="false" outlineLevel="0" collapsed="false">
      <c r="A509" s="7" t="s">
        <v>514</v>
      </c>
      <c r="B509" s="9" t="n">
        <v>620</v>
      </c>
      <c r="C509" s="7" t="n">
        <v>1568</v>
      </c>
      <c r="D509" s="9" t="s">
        <v>515</v>
      </c>
      <c r="E509" s="10" t="s">
        <v>516</v>
      </c>
      <c r="F509" s="7" t="n">
        <v>1</v>
      </c>
    </row>
    <row r="510" customFormat="false" ht="15" hidden="false" customHeight="false" outlineLevel="0" collapsed="false">
      <c r="A510" s="7" t="s">
        <v>517</v>
      </c>
      <c r="B510" s="9" t="n">
        <v>621</v>
      </c>
      <c r="C510" s="7" t="n">
        <v>1569</v>
      </c>
      <c r="D510" s="9" t="s">
        <v>518</v>
      </c>
      <c r="E510" s="10" t="s">
        <v>519</v>
      </c>
      <c r="F510" s="7" t="n">
        <v>1</v>
      </c>
    </row>
    <row r="511" customFormat="false" ht="15" hidden="false" customHeight="false" outlineLevel="0" collapsed="false">
      <c r="A511" s="7" t="s">
        <v>520</v>
      </c>
      <c r="B511" s="9" t="n">
        <v>622</v>
      </c>
      <c r="C511" s="7" t="n">
        <v>1570</v>
      </c>
      <c r="D511" s="9" t="s">
        <v>521</v>
      </c>
      <c r="E511" s="10" t="s">
        <v>522</v>
      </c>
      <c r="F511" s="7" t="n">
        <v>1</v>
      </c>
    </row>
    <row r="512" customFormat="false" ht="15" hidden="false" customHeight="false" outlineLevel="0" collapsed="false">
      <c r="A512" s="7" t="s">
        <v>523</v>
      </c>
      <c r="B512" s="9" t="n">
        <v>623</v>
      </c>
      <c r="C512" s="7" t="n">
        <v>1571</v>
      </c>
      <c r="D512" s="9" t="s">
        <v>524</v>
      </c>
      <c r="E512" s="10" t="s">
        <v>525</v>
      </c>
      <c r="F512" s="7" t="n">
        <v>1</v>
      </c>
    </row>
    <row r="513" customFormat="false" ht="15" hidden="false" customHeight="false" outlineLevel="0" collapsed="false">
      <c r="A513" s="7" t="s">
        <v>526</v>
      </c>
      <c r="B513" s="9" t="n">
        <v>624</v>
      </c>
      <c r="C513" s="7" t="n">
        <v>1572</v>
      </c>
      <c r="D513" s="9" t="s">
        <v>527</v>
      </c>
      <c r="E513" s="10" t="s">
        <v>528</v>
      </c>
      <c r="F513" s="7" t="n">
        <v>1</v>
      </c>
    </row>
    <row r="514" customFormat="false" ht="15" hidden="false" customHeight="false" outlineLevel="0" collapsed="false">
      <c r="A514" s="7" t="s">
        <v>529</v>
      </c>
      <c r="B514" s="9" t="n">
        <v>625</v>
      </c>
      <c r="C514" s="7" t="n">
        <v>1573</v>
      </c>
      <c r="D514" s="9" t="s">
        <v>530</v>
      </c>
      <c r="E514" s="10" t="s">
        <v>531</v>
      </c>
      <c r="F514" s="7" t="n">
        <v>1</v>
      </c>
    </row>
    <row r="515" customFormat="false" ht="15" hidden="false" customHeight="false" outlineLevel="0" collapsed="false">
      <c r="A515" s="7" t="s">
        <v>532</v>
      </c>
      <c r="B515" s="9" t="n">
        <v>626</v>
      </c>
      <c r="C515" s="7" t="n">
        <v>1574</v>
      </c>
      <c r="D515" s="9" t="s">
        <v>533</v>
      </c>
      <c r="E515" s="10" t="s">
        <v>534</v>
      </c>
      <c r="F515" s="7" t="n">
        <v>1</v>
      </c>
    </row>
    <row r="516" customFormat="false" ht="15" hidden="false" customHeight="false" outlineLevel="0" collapsed="false">
      <c r="A516" s="7" t="s">
        <v>535</v>
      </c>
      <c r="B516" s="9" t="n">
        <v>627</v>
      </c>
      <c r="C516" s="7" t="n">
        <v>1575</v>
      </c>
      <c r="D516" s="9" t="s">
        <v>536</v>
      </c>
      <c r="E516" s="10" t="s">
        <v>537</v>
      </c>
      <c r="F516" s="7" t="n">
        <v>1</v>
      </c>
    </row>
    <row r="517" customFormat="false" ht="15" hidden="false" customHeight="false" outlineLevel="0" collapsed="false">
      <c r="A517" s="7" t="s">
        <v>538</v>
      </c>
      <c r="B517" s="9" t="n">
        <v>628</v>
      </c>
      <c r="C517" s="7" t="n">
        <v>1576</v>
      </c>
      <c r="D517" s="9" t="s">
        <v>539</v>
      </c>
      <c r="E517" s="10" t="s">
        <v>540</v>
      </c>
      <c r="F517" s="7" t="n">
        <v>1</v>
      </c>
    </row>
    <row r="518" customFormat="false" ht="15" hidden="false" customHeight="false" outlineLevel="0" collapsed="false">
      <c r="A518" s="7" t="s">
        <v>541</v>
      </c>
      <c r="B518" s="9" t="n">
        <v>629</v>
      </c>
      <c r="C518" s="7" t="n">
        <v>1577</v>
      </c>
      <c r="D518" s="9" t="s">
        <v>542</v>
      </c>
      <c r="E518" s="10" t="s">
        <v>543</v>
      </c>
      <c r="F518" s="7" t="n">
        <v>1</v>
      </c>
    </row>
    <row r="519" customFormat="false" ht="15" hidden="false" customHeight="false" outlineLevel="0" collapsed="false">
      <c r="A519" s="7" t="s">
        <v>544</v>
      </c>
      <c r="B519" s="9" t="s">
        <v>545</v>
      </c>
      <c r="C519" s="7" t="n">
        <v>1578</v>
      </c>
      <c r="D519" s="9" t="s">
        <v>545</v>
      </c>
      <c r="E519" s="10" t="s">
        <v>546</v>
      </c>
      <c r="F519" s="7" t="n">
        <v>1</v>
      </c>
    </row>
    <row r="520" customFormat="false" ht="15" hidden="false" customHeight="false" outlineLevel="0" collapsed="false">
      <c r="A520" s="7" t="s">
        <v>547</v>
      </c>
      <c r="B520" s="9" t="s">
        <v>548</v>
      </c>
      <c r="C520" s="7" t="n">
        <v>1579</v>
      </c>
      <c r="D520" s="9" t="s">
        <v>548</v>
      </c>
      <c r="E520" s="10" t="s">
        <v>549</v>
      </c>
      <c r="F520" s="7" t="n">
        <v>1</v>
      </c>
    </row>
    <row r="521" customFormat="false" ht="15" hidden="false" customHeight="false" outlineLevel="0" collapsed="false">
      <c r="A521" s="7" t="s">
        <v>550</v>
      </c>
      <c r="B521" s="9" t="s">
        <v>551</v>
      </c>
      <c r="C521" s="7" t="n">
        <v>1580</v>
      </c>
      <c r="D521" s="9" t="s">
        <v>551</v>
      </c>
      <c r="E521" s="10" t="s">
        <v>552</v>
      </c>
      <c r="F521" s="7" t="n">
        <v>1</v>
      </c>
    </row>
    <row r="522" customFormat="false" ht="15" hidden="false" customHeight="false" outlineLevel="0" collapsed="false">
      <c r="A522" s="7" t="s">
        <v>553</v>
      </c>
      <c r="B522" s="9" t="s">
        <v>554</v>
      </c>
      <c r="C522" s="7" t="n">
        <v>1581</v>
      </c>
      <c r="D522" s="9" t="s">
        <v>554</v>
      </c>
      <c r="E522" s="10" t="s">
        <v>555</v>
      </c>
      <c r="F522" s="7" t="n">
        <v>1</v>
      </c>
    </row>
    <row r="523" customFormat="false" ht="15" hidden="false" customHeight="false" outlineLevel="0" collapsed="false">
      <c r="A523" s="7" t="s">
        <v>556</v>
      </c>
      <c r="B523" s="9" t="s">
        <v>557</v>
      </c>
      <c r="C523" s="7" t="n">
        <v>1582</v>
      </c>
      <c r="D523" s="9" t="s">
        <v>557</v>
      </c>
      <c r="E523" s="10" t="s">
        <v>558</v>
      </c>
      <c r="F523" s="7" t="n">
        <v>1</v>
      </c>
    </row>
    <row r="524" customFormat="false" ht="15" hidden="false" customHeight="false" outlineLevel="0" collapsed="false">
      <c r="A524" s="7" t="s">
        <v>559</v>
      </c>
      <c r="B524" s="9" t="s">
        <v>560</v>
      </c>
      <c r="C524" s="7" t="n">
        <v>1583</v>
      </c>
      <c r="D524" s="9" t="s">
        <v>560</v>
      </c>
      <c r="E524" s="10" t="s">
        <v>561</v>
      </c>
      <c r="F524" s="7" t="n">
        <v>1</v>
      </c>
    </row>
    <row r="525" customFormat="false" ht="15" hidden="false" customHeight="false" outlineLevel="0" collapsed="false">
      <c r="A525" s="7" t="s">
        <v>562</v>
      </c>
      <c r="B525" s="9" t="n">
        <v>630</v>
      </c>
      <c r="C525" s="7" t="n">
        <v>1584</v>
      </c>
      <c r="D525" s="9" t="s">
        <v>563</v>
      </c>
      <c r="E525" s="10" t="s">
        <v>564</v>
      </c>
      <c r="F525" s="7" t="n">
        <v>1</v>
      </c>
    </row>
    <row r="526" customFormat="false" ht="15" hidden="false" customHeight="false" outlineLevel="0" collapsed="false">
      <c r="A526" s="7" t="s">
        <v>565</v>
      </c>
      <c r="B526" s="9" t="n">
        <v>631</v>
      </c>
      <c r="C526" s="7" t="n">
        <v>1585</v>
      </c>
      <c r="D526" s="9" t="s">
        <v>566</v>
      </c>
      <c r="E526" s="10" t="s">
        <v>567</v>
      </c>
      <c r="F526" s="7" t="n">
        <v>1</v>
      </c>
    </row>
    <row r="527" customFormat="false" ht="15" hidden="false" customHeight="false" outlineLevel="0" collapsed="false">
      <c r="A527" s="7" t="s">
        <v>568</v>
      </c>
      <c r="B527" s="9" t="n">
        <v>632</v>
      </c>
      <c r="C527" s="7" t="n">
        <v>1586</v>
      </c>
      <c r="D527" s="9" t="s">
        <v>569</v>
      </c>
      <c r="E527" s="10" t="s">
        <v>570</v>
      </c>
      <c r="F527" s="7" t="n">
        <v>1</v>
      </c>
    </row>
    <row r="528" customFormat="false" ht="15" hidden="false" customHeight="false" outlineLevel="0" collapsed="false">
      <c r="A528" s="7" t="s">
        <v>571</v>
      </c>
      <c r="B528" s="9" t="n">
        <v>633</v>
      </c>
      <c r="C528" s="7" t="n">
        <v>1587</v>
      </c>
      <c r="D528" s="9" t="s">
        <v>572</v>
      </c>
      <c r="E528" s="10" t="s">
        <v>573</v>
      </c>
      <c r="F528" s="7" t="n">
        <v>1</v>
      </c>
    </row>
    <row r="529" customFormat="false" ht="15" hidden="false" customHeight="false" outlineLevel="0" collapsed="false">
      <c r="A529" s="7" t="s">
        <v>574</v>
      </c>
      <c r="B529" s="9" t="n">
        <v>634</v>
      </c>
      <c r="C529" s="7" t="n">
        <v>1588</v>
      </c>
      <c r="D529" s="9" t="s">
        <v>575</v>
      </c>
      <c r="E529" s="10" t="s">
        <v>576</v>
      </c>
      <c r="F529" s="7" t="n">
        <v>1</v>
      </c>
    </row>
    <row r="530" customFormat="false" ht="15" hidden="false" customHeight="false" outlineLevel="0" collapsed="false">
      <c r="A530" s="7" t="s">
        <v>577</v>
      </c>
      <c r="B530" s="9" t="n">
        <v>635</v>
      </c>
      <c r="C530" s="7" t="n">
        <v>1589</v>
      </c>
      <c r="D530" s="9" t="s">
        <v>578</v>
      </c>
      <c r="E530" s="10" t="s">
        <v>579</v>
      </c>
      <c r="F530" s="7" t="n">
        <v>1</v>
      </c>
    </row>
    <row r="531" customFormat="false" ht="15" hidden="false" customHeight="false" outlineLevel="0" collapsed="false">
      <c r="A531" s="7" t="s">
        <v>580</v>
      </c>
      <c r="B531" s="9" t="n">
        <v>636</v>
      </c>
      <c r="C531" s="7" t="n">
        <v>1590</v>
      </c>
      <c r="D531" s="9" t="s">
        <v>581</v>
      </c>
      <c r="E531" s="10" t="s">
        <v>582</v>
      </c>
      <c r="F531" s="7" t="n">
        <v>1</v>
      </c>
    </row>
    <row r="532" customFormat="false" ht="15" hidden="false" customHeight="false" outlineLevel="0" collapsed="false">
      <c r="A532" s="7" t="s">
        <v>583</v>
      </c>
      <c r="B532" s="9" t="n">
        <v>637</v>
      </c>
      <c r="C532" s="7" t="n">
        <v>1591</v>
      </c>
      <c r="D532" s="9" t="s">
        <v>584</v>
      </c>
      <c r="E532" s="10" t="s">
        <v>585</v>
      </c>
      <c r="F532" s="7" t="n">
        <v>1</v>
      </c>
    </row>
    <row r="533" customFormat="false" ht="15" hidden="false" customHeight="false" outlineLevel="0" collapsed="false">
      <c r="A533" s="7" t="s">
        <v>586</v>
      </c>
      <c r="B533" s="9" t="n">
        <v>638</v>
      </c>
      <c r="C533" s="7" t="n">
        <v>1592</v>
      </c>
      <c r="D533" s="9" t="s">
        <v>587</v>
      </c>
      <c r="E533" s="10" t="s">
        <v>588</v>
      </c>
      <c r="F533" s="7" t="n">
        <v>1</v>
      </c>
    </row>
    <row r="534" customFormat="false" ht="15" hidden="false" customHeight="false" outlineLevel="0" collapsed="false">
      <c r="A534" s="7" t="s">
        <v>589</v>
      </c>
      <c r="B534" s="9" t="n">
        <v>639</v>
      </c>
      <c r="C534" s="7" t="n">
        <v>1593</v>
      </c>
      <c r="D534" s="9" t="s">
        <v>590</v>
      </c>
      <c r="E534" s="10" t="s">
        <v>591</v>
      </c>
      <c r="F534" s="7" t="n">
        <v>1</v>
      </c>
    </row>
    <row r="535" customFormat="false" ht="15" hidden="false" customHeight="false" outlineLevel="0" collapsed="false">
      <c r="A535" s="7" t="s">
        <v>592</v>
      </c>
      <c r="B535" s="9" t="s">
        <v>593</v>
      </c>
      <c r="C535" s="7" t="n">
        <v>1594</v>
      </c>
      <c r="D535" s="9" t="s">
        <v>593</v>
      </c>
      <c r="E535" s="10" t="s">
        <v>594</v>
      </c>
      <c r="F535" s="7" t="n">
        <v>1</v>
      </c>
    </row>
    <row r="536" customFormat="false" ht="15" hidden="false" customHeight="false" outlineLevel="0" collapsed="false">
      <c r="A536" s="7" t="s">
        <v>595</v>
      </c>
      <c r="B536" s="9" t="s">
        <v>596</v>
      </c>
      <c r="C536" s="7" t="n">
        <v>1595</v>
      </c>
      <c r="D536" s="9" t="s">
        <v>596</v>
      </c>
      <c r="E536" s="10" t="s">
        <v>597</v>
      </c>
      <c r="F536" s="7" t="n">
        <v>1</v>
      </c>
    </row>
    <row r="537" customFormat="false" ht="15" hidden="false" customHeight="false" outlineLevel="0" collapsed="false">
      <c r="A537" s="7" t="s">
        <v>598</v>
      </c>
      <c r="B537" s="9" t="s">
        <v>599</v>
      </c>
      <c r="C537" s="7" t="n">
        <v>1596</v>
      </c>
      <c r="D537" s="9" t="s">
        <v>599</v>
      </c>
      <c r="E537" s="10" t="s">
        <v>600</v>
      </c>
      <c r="F537" s="7" t="n">
        <v>1</v>
      </c>
    </row>
    <row r="538" customFormat="false" ht="15" hidden="false" customHeight="false" outlineLevel="0" collapsed="false">
      <c r="A538" s="7" t="s">
        <v>601</v>
      </c>
      <c r="B538" s="9" t="s">
        <v>602</v>
      </c>
      <c r="C538" s="7" t="n">
        <v>1597</v>
      </c>
      <c r="D538" s="9" t="s">
        <v>602</v>
      </c>
      <c r="E538" s="10" t="s">
        <v>603</v>
      </c>
      <c r="F538" s="7" t="n">
        <v>1</v>
      </c>
    </row>
    <row r="539" customFormat="false" ht="15" hidden="false" customHeight="false" outlineLevel="0" collapsed="false">
      <c r="A539" s="7" t="s">
        <v>604</v>
      </c>
      <c r="B539" s="9" t="s">
        <v>605</v>
      </c>
      <c r="C539" s="7" t="n">
        <v>1598</v>
      </c>
      <c r="D539" s="9" t="s">
        <v>605</v>
      </c>
      <c r="E539" s="10" t="s">
        <v>606</v>
      </c>
      <c r="F539" s="7" t="n">
        <v>1</v>
      </c>
    </row>
    <row r="540" customFormat="false" ht="15" hidden="false" customHeight="false" outlineLevel="0" collapsed="false">
      <c r="A540" s="7" t="s">
        <v>607</v>
      </c>
      <c r="B540" s="9" t="s">
        <v>608</v>
      </c>
      <c r="C540" s="7" t="n">
        <v>1599</v>
      </c>
      <c r="D540" s="9" t="s">
        <v>608</v>
      </c>
      <c r="E540" s="10" t="s">
        <v>609</v>
      </c>
      <c r="F540" s="7" t="n">
        <v>1</v>
      </c>
    </row>
    <row r="541" customFormat="false" ht="15" hidden="false" customHeight="false" outlineLevel="0" collapsed="false">
      <c r="A541" s="7" t="s">
        <v>610</v>
      </c>
      <c r="B541" s="9" t="n">
        <v>640</v>
      </c>
      <c r="C541" s="7" t="n">
        <v>1600</v>
      </c>
      <c r="D541" s="9" t="s">
        <v>611</v>
      </c>
      <c r="E541" s="10" t="s">
        <v>612</v>
      </c>
      <c r="F541" s="7" t="n">
        <v>1</v>
      </c>
    </row>
    <row r="542" customFormat="false" ht="15" hidden="false" customHeight="false" outlineLevel="0" collapsed="false">
      <c r="A542" s="7" t="s">
        <v>613</v>
      </c>
      <c r="B542" s="9" t="n">
        <v>641</v>
      </c>
      <c r="C542" s="7" t="n">
        <v>1601</v>
      </c>
      <c r="D542" s="9" t="s">
        <v>614</v>
      </c>
      <c r="E542" s="10" t="s">
        <v>615</v>
      </c>
      <c r="F542" s="7" t="n">
        <v>1</v>
      </c>
    </row>
    <row r="543" customFormat="false" ht="15" hidden="false" customHeight="false" outlineLevel="0" collapsed="false">
      <c r="A543" s="7" t="s">
        <v>616</v>
      </c>
      <c r="B543" s="9" t="n">
        <v>642</v>
      </c>
      <c r="C543" s="7" t="n">
        <v>1602</v>
      </c>
      <c r="D543" s="9" t="s">
        <v>617</v>
      </c>
      <c r="E543" s="10" t="s">
        <v>618</v>
      </c>
      <c r="F543" s="7" t="n">
        <v>1</v>
      </c>
    </row>
    <row r="544" customFormat="false" ht="15" hidden="false" customHeight="false" outlineLevel="0" collapsed="false">
      <c r="A544" s="7" t="s">
        <v>619</v>
      </c>
      <c r="B544" s="9" t="n">
        <v>643</v>
      </c>
      <c r="C544" s="7" t="n">
        <v>1603</v>
      </c>
      <c r="D544" s="9" t="s">
        <v>620</v>
      </c>
      <c r="E544" s="10" t="s">
        <v>621</v>
      </c>
      <c r="F544" s="7" t="n">
        <v>1</v>
      </c>
    </row>
    <row r="545" customFormat="false" ht="15" hidden="false" customHeight="false" outlineLevel="0" collapsed="false">
      <c r="A545" s="7" t="s">
        <v>622</v>
      </c>
      <c r="B545" s="9" t="n">
        <v>644</v>
      </c>
      <c r="C545" s="7" t="n">
        <v>1604</v>
      </c>
      <c r="D545" s="9" t="s">
        <v>623</v>
      </c>
      <c r="E545" s="10" t="s">
        <v>624</v>
      </c>
      <c r="F545" s="7" t="n">
        <v>1</v>
      </c>
    </row>
    <row r="546" customFormat="false" ht="15" hidden="false" customHeight="false" outlineLevel="0" collapsed="false">
      <c r="A546" s="7" t="s">
        <v>625</v>
      </c>
      <c r="B546" s="9" t="n">
        <v>645</v>
      </c>
      <c r="C546" s="7" t="n">
        <v>1605</v>
      </c>
      <c r="D546" s="9" t="s">
        <v>626</v>
      </c>
      <c r="E546" s="10" t="s">
        <v>627</v>
      </c>
      <c r="F546" s="7" t="n">
        <v>1</v>
      </c>
    </row>
    <row r="547" customFormat="false" ht="15" hidden="false" customHeight="false" outlineLevel="0" collapsed="false">
      <c r="A547" s="7" t="s">
        <v>628</v>
      </c>
      <c r="B547" s="9" t="n">
        <v>646</v>
      </c>
      <c r="C547" s="7" t="n">
        <v>1606</v>
      </c>
      <c r="D547" s="9" t="s">
        <v>629</v>
      </c>
      <c r="E547" s="10" t="s">
        <v>630</v>
      </c>
      <c r="F547" s="7" t="n">
        <v>1</v>
      </c>
    </row>
    <row r="548" customFormat="false" ht="15" hidden="false" customHeight="false" outlineLevel="0" collapsed="false">
      <c r="A548" s="7" t="s">
        <v>631</v>
      </c>
      <c r="B548" s="9" t="n">
        <v>647</v>
      </c>
      <c r="C548" s="7" t="n">
        <v>1607</v>
      </c>
      <c r="D548" s="9" t="s">
        <v>632</v>
      </c>
      <c r="E548" s="10" t="s">
        <v>633</v>
      </c>
      <c r="F548" s="7" t="n">
        <v>1</v>
      </c>
    </row>
    <row r="549" customFormat="false" ht="15" hidden="false" customHeight="false" outlineLevel="0" collapsed="false">
      <c r="A549" s="7" t="s">
        <v>634</v>
      </c>
      <c r="B549" s="9" t="n">
        <v>648</v>
      </c>
      <c r="C549" s="7" t="n">
        <v>1608</v>
      </c>
      <c r="D549" s="9" t="s">
        <v>635</v>
      </c>
      <c r="E549" s="10" t="s">
        <v>636</v>
      </c>
      <c r="F549" s="7" t="n">
        <v>1</v>
      </c>
    </row>
    <row r="550" customFormat="false" ht="15" hidden="false" customHeight="false" outlineLevel="0" collapsed="false">
      <c r="A550" s="7" t="s">
        <v>637</v>
      </c>
      <c r="B550" s="8" t="n">
        <v>649</v>
      </c>
      <c r="C550" s="7" t="n">
        <f aca="false">HEX2DEC(B550)</f>
        <v>1609</v>
      </c>
      <c r="D550" s="9" t="str">
        <f aca="false">DEC2HEX(C550,4)</f>
        <v>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638</v>
      </c>
      <c r="B551" s="8" t="s">
        <v>639</v>
      </c>
      <c r="C551" s="7" t="n">
        <f aca="false">HEX2DEC(B551)</f>
        <v>1610</v>
      </c>
      <c r="D551" s="9" t="str">
        <f aca="false">DEC2HEX(C551,4)</f>
        <v>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640</v>
      </c>
      <c r="B552" s="8" t="s">
        <v>641</v>
      </c>
      <c r="C552" s="7" t="n">
        <f aca="false">HEX2DEC(B552)</f>
        <v>1611</v>
      </c>
      <c r="D552" s="9" t="str">
        <f aca="false">DEC2HEX(C552,4)</f>
        <v>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642</v>
      </c>
      <c r="B553" s="8" t="s">
        <v>643</v>
      </c>
      <c r="C553" s="7" t="n">
        <f aca="false">HEX2DEC(B553)</f>
        <v>1612</v>
      </c>
      <c r="D553" s="9" t="str">
        <f aca="false">DEC2HEX(C553,4)</f>
        <v>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644</v>
      </c>
      <c r="B554" s="8" t="s">
        <v>645</v>
      </c>
      <c r="C554" s="7" t="n">
        <f aca="false">HEX2DEC(B554)</f>
        <v>1613</v>
      </c>
      <c r="D554" s="9" t="str">
        <f aca="false">DEC2HEX(C554,4)</f>
        <v>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646</v>
      </c>
      <c r="B555" s="8" t="s">
        <v>647</v>
      </c>
      <c r="C555" s="7" t="n">
        <f aca="false">HEX2DEC(B555)</f>
        <v>1614</v>
      </c>
      <c r="D555" s="9" t="str">
        <f aca="false">DEC2HEX(C555,4)</f>
        <v>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648</v>
      </c>
      <c r="B556" s="8" t="s">
        <v>649</v>
      </c>
      <c r="C556" s="7" t="n">
        <f aca="false">HEX2DEC(B556)</f>
        <v>1615</v>
      </c>
      <c r="D556" s="9" t="str">
        <f aca="false">DEC2HEX(C556,4)</f>
        <v>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650</v>
      </c>
      <c r="B557" s="8" t="s">
        <v>651</v>
      </c>
      <c r="C557" s="7" t="n">
        <f aca="false">HEX2DEC(B557)</f>
        <v>1616</v>
      </c>
      <c r="D557" s="9" t="str">
        <f aca="false">DEC2HEX(C557,4)</f>
        <v>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652</v>
      </c>
      <c r="B558" s="8" t="s">
        <v>653</v>
      </c>
      <c r="C558" s="7" t="n">
        <f aca="false">HEX2DEC(B558)</f>
        <v>1617</v>
      </c>
      <c r="D558" s="9" t="str">
        <f aca="false">DEC2HEX(C558,4)</f>
        <v>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654</v>
      </c>
      <c r="B559" s="8" t="s">
        <v>655</v>
      </c>
      <c r="C559" s="7" t="n">
        <f aca="false">HEX2DEC(B559)</f>
        <v>1618</v>
      </c>
      <c r="D559" s="9" t="str">
        <f aca="false">DEC2HEX(C559,4)</f>
        <v>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656</v>
      </c>
      <c r="B560" s="8" t="n">
        <v>660</v>
      </c>
      <c r="C560" s="7" t="n">
        <f aca="false">HEX2DEC(B560)</f>
        <v>1632</v>
      </c>
      <c r="D560" s="9" t="str">
        <f aca="false">DEC2HEX(C560,4)</f>
        <v>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657</v>
      </c>
      <c r="B561" s="8" t="n">
        <v>661</v>
      </c>
      <c r="C561" s="7" t="n">
        <f aca="false">HEX2DEC(B561)</f>
        <v>1633</v>
      </c>
      <c r="D561" s="9" t="str">
        <f aca="false">DEC2HEX(C561,4)</f>
        <v>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658</v>
      </c>
      <c r="B562" s="8" t="n">
        <v>662</v>
      </c>
      <c r="C562" s="7" t="n">
        <f aca="false">HEX2DEC(B562)</f>
        <v>1634</v>
      </c>
      <c r="D562" s="9" t="str">
        <f aca="false">DEC2HEX(C562,4)</f>
        <v>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659</v>
      </c>
      <c r="B563" s="8" t="n">
        <v>663</v>
      </c>
      <c r="C563" s="7" t="n">
        <f aca="false">HEX2DEC(B563)</f>
        <v>1635</v>
      </c>
      <c r="D563" s="9" t="str">
        <f aca="false">DEC2HEX(C563,4)</f>
        <v>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660</v>
      </c>
      <c r="B564" s="8" t="n">
        <v>664</v>
      </c>
      <c r="C564" s="7" t="n">
        <f aca="false">HEX2DEC(B564)</f>
        <v>1636</v>
      </c>
      <c r="D564" s="9" t="str">
        <f aca="false">DEC2HEX(C564,4)</f>
        <v>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661</v>
      </c>
      <c r="B565" s="8" t="n">
        <v>665</v>
      </c>
      <c r="C565" s="7" t="n">
        <f aca="false">HEX2DEC(B565)</f>
        <v>1637</v>
      </c>
      <c r="D565" s="9" t="str">
        <f aca="false">DEC2HEX(C565,4)</f>
        <v>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662</v>
      </c>
      <c r="B566" s="8" t="n">
        <v>666</v>
      </c>
      <c r="C566" s="7" t="n">
        <f aca="false">HEX2DEC(B566)</f>
        <v>1638</v>
      </c>
      <c r="D566" s="9" t="str">
        <f aca="false">DEC2HEX(C566,4)</f>
        <v>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663</v>
      </c>
      <c r="B567" s="8" t="n">
        <v>667</v>
      </c>
      <c r="C567" s="7" t="n">
        <f aca="false">HEX2DEC(B567)</f>
        <v>1639</v>
      </c>
      <c r="D567" s="9" t="str">
        <f aca="false">DEC2HEX(C567,4)</f>
        <v>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664</v>
      </c>
      <c r="B568" s="8" t="n">
        <v>668</v>
      </c>
      <c r="C568" s="7" t="n">
        <f aca="false">HEX2DEC(B568)</f>
        <v>1640</v>
      </c>
      <c r="D568" s="9" t="str">
        <f aca="false">DEC2HEX(C568,4)</f>
        <v>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665</v>
      </c>
      <c r="B569" s="8" t="n">
        <v>669</v>
      </c>
      <c r="C569" s="7" t="n">
        <f aca="false">HEX2DEC(B569)</f>
        <v>1641</v>
      </c>
      <c r="D569" s="9" t="str">
        <f aca="false">DEC2HEX(C569,4)</f>
        <v>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666</v>
      </c>
      <c r="B570" s="8" t="n">
        <v>1100</v>
      </c>
      <c r="C570" s="7" t="n">
        <f aca="false">HEX2DEC(B570)</f>
        <v>4352</v>
      </c>
      <c r="D570" s="9" t="str">
        <f aca="false">DEC2HEX(C570,4)</f>
        <v>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667</v>
      </c>
      <c r="B571" s="8" t="n">
        <v>1101</v>
      </c>
      <c r="C571" s="7" t="n">
        <f aca="false">HEX2DEC(B571)</f>
        <v>4353</v>
      </c>
      <c r="D571" s="9" t="str">
        <f aca="false">DEC2HEX(C571,4)</f>
        <v>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668</v>
      </c>
      <c r="B572" s="8" t="n">
        <v>1102</v>
      </c>
      <c r="C572" s="7" t="n">
        <f aca="false">HEX2DEC(B572)</f>
        <v>4354</v>
      </c>
      <c r="D572" s="9" t="str">
        <f aca="false">DEC2HEX(C572,4)</f>
        <v>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669</v>
      </c>
      <c r="B573" s="8" t="n">
        <v>1103</v>
      </c>
      <c r="C573" s="7" t="n">
        <f aca="false">HEX2DEC(B573)</f>
        <v>4355</v>
      </c>
      <c r="D573" s="9" t="str">
        <f aca="false">DEC2HEX(C573,4)</f>
        <v>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670</v>
      </c>
      <c r="B574" s="8" t="n">
        <v>1104</v>
      </c>
      <c r="C574" s="7" t="n">
        <f aca="false">HEX2DEC(B574)</f>
        <v>4356</v>
      </c>
      <c r="D574" s="9" t="str">
        <f aca="false">DEC2HEX(C574,4)</f>
        <v>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671</v>
      </c>
      <c r="B575" s="8" t="n">
        <v>1105</v>
      </c>
      <c r="C575" s="7" t="n">
        <f aca="false">HEX2DEC(B575)</f>
        <v>4357</v>
      </c>
      <c r="D575" s="9" t="str">
        <f aca="false">DEC2HEX(C575,4)</f>
        <v>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672</v>
      </c>
      <c r="B576" s="8" t="n">
        <v>1106</v>
      </c>
      <c r="C576" s="7" t="n">
        <f aca="false">HEX2DEC(B576)</f>
        <v>4358</v>
      </c>
      <c r="D576" s="9" t="str">
        <f aca="false">DEC2HEX(C576,4)</f>
        <v>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673</v>
      </c>
      <c r="B577" s="8" t="n">
        <v>1107</v>
      </c>
      <c r="C577" s="7" t="n">
        <f aca="false">HEX2DEC(B577)</f>
        <v>4359</v>
      </c>
      <c r="D577" s="9" t="str">
        <f aca="false">DEC2HEX(C577,4)</f>
        <v>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674</v>
      </c>
      <c r="B578" s="8" t="n">
        <v>1108</v>
      </c>
      <c r="C578" s="7" t="n">
        <f aca="false">HEX2DEC(B578)</f>
        <v>4360</v>
      </c>
      <c r="D578" s="9" t="str">
        <f aca="false">DEC2HEX(C578,4)</f>
        <v>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675</v>
      </c>
      <c r="B579" s="8" t="n">
        <v>1109</v>
      </c>
      <c r="C579" s="7" t="n">
        <f aca="false">HEX2DEC(B579)</f>
        <v>4361</v>
      </c>
      <c r="D579" s="9" t="str">
        <f aca="false">DEC2HEX(C579,4)</f>
        <v>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676</v>
      </c>
      <c r="B580" s="8" t="s">
        <v>677</v>
      </c>
      <c r="C580" s="7" t="n">
        <f aca="false">HEX2DEC(B580)</f>
        <v>4362</v>
      </c>
      <c r="D580" s="9" t="str">
        <f aca="false">DEC2HEX(C580,4)</f>
        <v>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678</v>
      </c>
      <c r="B581" s="8" t="s">
        <v>679</v>
      </c>
      <c r="C581" s="7" t="n">
        <f aca="false">HEX2DEC(B581)</f>
        <v>4363</v>
      </c>
      <c r="D581" s="9" t="str">
        <f aca="false">DEC2HEX(C581,4)</f>
        <v>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680</v>
      </c>
      <c r="B582" s="8" t="s">
        <v>681</v>
      </c>
      <c r="C582" s="7" t="n">
        <f aca="false">HEX2DEC(B582)</f>
        <v>4364</v>
      </c>
      <c r="D582" s="9" t="str">
        <f aca="false">DEC2HEX(C582,4)</f>
        <v>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682</v>
      </c>
      <c r="B583" s="8" t="s">
        <v>683</v>
      </c>
      <c r="C583" s="7" t="n">
        <f aca="false">HEX2DEC(B583)</f>
        <v>4365</v>
      </c>
      <c r="D583" s="9" t="str">
        <f aca="false">DEC2HEX(C583,4)</f>
        <v>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684</v>
      </c>
      <c r="B584" s="8" t="s">
        <v>685</v>
      </c>
      <c r="C584" s="7" t="n">
        <f aca="false">HEX2DEC(B584)</f>
        <v>4366</v>
      </c>
      <c r="D584" s="9" t="str">
        <f aca="false">DEC2HEX(C584,4)</f>
        <v>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686</v>
      </c>
      <c r="B585" s="8" t="s">
        <v>687</v>
      </c>
      <c r="C585" s="7" t="n">
        <f aca="false">HEX2DEC(B585)</f>
        <v>4367</v>
      </c>
      <c r="D585" s="9" t="str">
        <f aca="false">DEC2HEX(C585,4)</f>
        <v>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688</v>
      </c>
      <c r="B586" s="8" t="n">
        <v>1110</v>
      </c>
      <c r="C586" s="7" t="n">
        <f aca="false">HEX2DEC(B586)</f>
        <v>4368</v>
      </c>
      <c r="D586" s="9" t="str">
        <f aca="false">DEC2HEX(C586,4)</f>
        <v>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689</v>
      </c>
      <c r="B587" s="8" t="n">
        <v>1111</v>
      </c>
      <c r="C587" s="7" t="n">
        <f aca="false">HEX2DEC(B587)</f>
        <v>4369</v>
      </c>
      <c r="D587" s="9" t="str">
        <f aca="false">DEC2HEX(C587,4)</f>
        <v>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690</v>
      </c>
      <c r="B588" s="8" t="n">
        <v>1112</v>
      </c>
      <c r="C588" s="7" t="n">
        <f aca="false">HEX2DEC(B588)</f>
        <v>4370</v>
      </c>
      <c r="D588" s="9" t="str">
        <f aca="false">DEC2HEX(C588,4)</f>
        <v>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691</v>
      </c>
      <c r="B589" s="8" t="n">
        <v>1161</v>
      </c>
      <c r="C589" s="7" t="n">
        <f aca="false">HEX2DEC(B589)</f>
        <v>4449</v>
      </c>
      <c r="D589" s="9" t="str">
        <f aca="false">DEC2HEX(C589,4)</f>
        <v>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692</v>
      </c>
      <c r="B590" s="8" t="n">
        <v>1162</v>
      </c>
      <c r="C590" s="7" t="n">
        <f aca="false">HEX2DEC(B590)</f>
        <v>4450</v>
      </c>
      <c r="D590" s="9" t="str">
        <f aca="false">DEC2HEX(C590,4)</f>
        <v>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693</v>
      </c>
      <c r="B591" s="8" t="n">
        <v>1163</v>
      </c>
      <c r="C591" s="7" t="n">
        <f aca="false">HEX2DEC(B591)</f>
        <v>4451</v>
      </c>
      <c r="D591" s="9" t="str">
        <f aca="false">DEC2HEX(C591,4)</f>
        <v>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694</v>
      </c>
      <c r="B592" s="8" t="n">
        <v>1164</v>
      </c>
      <c r="C592" s="7" t="n">
        <f aca="false">HEX2DEC(B592)</f>
        <v>4452</v>
      </c>
      <c r="D592" s="9" t="str">
        <f aca="false">DEC2HEX(C592,4)</f>
        <v>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695</v>
      </c>
      <c r="B593" s="8" t="n">
        <v>1165</v>
      </c>
      <c r="C593" s="7" t="n">
        <f aca="false">HEX2DEC(B593)</f>
        <v>4453</v>
      </c>
      <c r="D593" s="9" t="str">
        <f aca="false">DEC2HEX(C593,4)</f>
        <v>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696</v>
      </c>
      <c r="B594" s="8" t="n">
        <v>1166</v>
      </c>
      <c r="C594" s="7" t="n">
        <f aca="false">HEX2DEC(B594)</f>
        <v>4454</v>
      </c>
      <c r="D594" s="9" t="str">
        <f aca="false">DEC2HEX(C594,4)</f>
        <v>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697</v>
      </c>
      <c r="B595" s="8" t="n">
        <v>1167</v>
      </c>
      <c r="C595" s="7" t="n">
        <f aca="false">HEX2DEC(B595)</f>
        <v>4455</v>
      </c>
      <c r="D595" s="9" t="str">
        <f aca="false">DEC2HEX(C595,4)</f>
        <v>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698</v>
      </c>
      <c r="B596" s="8" t="n">
        <v>1168</v>
      </c>
      <c r="C596" s="7" t="n">
        <f aca="false">HEX2DEC(B596)</f>
        <v>4456</v>
      </c>
      <c r="D596" s="9" t="str">
        <f aca="false">DEC2HEX(C596,4)</f>
        <v>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699</v>
      </c>
      <c r="B597" s="8" t="n">
        <v>1169</v>
      </c>
      <c r="C597" s="7" t="n">
        <f aca="false">HEX2DEC(B597)</f>
        <v>4457</v>
      </c>
      <c r="D597" s="9" t="str">
        <f aca="false">DEC2HEX(C597,4)</f>
        <v>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700</v>
      </c>
      <c r="B598" s="8" t="s">
        <v>701</v>
      </c>
      <c r="C598" s="7" t="n">
        <f aca="false">HEX2DEC(B598)</f>
        <v>4461</v>
      </c>
      <c r="D598" s="9" t="str">
        <f aca="false">DEC2HEX(C598,4)</f>
        <v>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702</v>
      </c>
      <c r="B599" s="8" t="s">
        <v>703</v>
      </c>
      <c r="C599" s="7" t="n">
        <f aca="false">HEX2DEC(B599)</f>
        <v>4462</v>
      </c>
      <c r="D599" s="9" t="str">
        <f aca="false">DEC2HEX(C599,4)</f>
        <v>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704</v>
      </c>
      <c r="B600" s="8" t="n">
        <v>1172</v>
      </c>
      <c r="C600" s="7" t="n">
        <f aca="false">HEX2DEC(B600)</f>
        <v>4466</v>
      </c>
      <c r="D600" s="9" t="str">
        <f aca="false">DEC2HEX(C600,4)</f>
        <v>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705</v>
      </c>
      <c r="B601" s="8" t="n">
        <v>1173</v>
      </c>
      <c r="C601" s="7" t="n">
        <f aca="false">HEX2DEC(B601)</f>
        <v>4467</v>
      </c>
      <c r="D601" s="9" t="str">
        <f aca="false">DEC2HEX(C601,4)</f>
        <v>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706</v>
      </c>
      <c r="B602" s="8" t="n">
        <v>1175</v>
      </c>
      <c r="C602" s="7" t="n">
        <f aca="false">HEX2DEC(B602)</f>
        <v>4469</v>
      </c>
      <c r="D602" s="9" t="str">
        <f aca="false">DEC2HEX(C602,4)</f>
        <v>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707</v>
      </c>
      <c r="B603" s="8" t="s">
        <v>708</v>
      </c>
      <c r="C603" s="7" t="n">
        <f aca="false">HEX2DEC(B603)</f>
        <v>7838</v>
      </c>
      <c r="D603" s="9" t="str">
        <f aca="false">DEC2HEX(C603,4)</f>
        <v>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709</v>
      </c>
      <c r="B604" s="8" t="s">
        <v>710</v>
      </c>
      <c r="C604" s="7" t="n">
        <f aca="false">HEX2DEC(B604)</f>
        <v>8362</v>
      </c>
      <c r="D604" s="9" t="str">
        <f aca="false">DEC2HEX(C604,4)</f>
        <v>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711</v>
      </c>
      <c r="B605" s="8" t="s">
        <v>712</v>
      </c>
      <c r="C605" s="7" t="n">
        <f aca="false">HEX2DEC(B605)</f>
        <v>8363</v>
      </c>
      <c r="D605" s="9" t="str">
        <f aca="false">DEC2HEX(C605,4)</f>
        <v>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713</v>
      </c>
      <c r="B606" s="8" t="s">
        <v>714</v>
      </c>
      <c r="C606" s="7" t="n">
        <f aca="false">HEX2DEC(B606)</f>
        <v>8364</v>
      </c>
      <c r="D606" s="9" t="str">
        <f aca="false">DEC2HEX(C606,4)</f>
        <v>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715</v>
      </c>
      <c r="B607" s="8" t="s">
        <v>716</v>
      </c>
      <c r="C607" s="7" t="n">
        <f aca="false">HEX2DEC(B607)</f>
        <v>8372</v>
      </c>
      <c r="D607" s="9" t="str">
        <f aca="false">DEC2HEX(C607,4)</f>
        <v>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717</v>
      </c>
      <c r="B608" s="8" t="s">
        <v>718</v>
      </c>
      <c r="C608" s="7" t="n">
        <f aca="false">HEX2DEC(B608)</f>
        <v>8470</v>
      </c>
      <c r="D608" s="9" t="str">
        <f aca="false">DEC2HEX(C608,4)</f>
        <v>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719</v>
      </c>
      <c r="B609" s="11" t="n">
        <v>2318</v>
      </c>
      <c r="C609" s="7" t="n">
        <f aca="false">HEX2DEC(B609)</f>
        <v>8984</v>
      </c>
      <c r="D609" s="9" t="str">
        <f aca="false">DEC2HEX(C609,4)</f>
        <v>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720</v>
      </c>
      <c r="B610" s="11" t="n">
        <v>2325</v>
      </c>
      <c r="C610" s="7" t="n">
        <f aca="false">HEX2DEC(B610)</f>
        <v>8997</v>
      </c>
      <c r="D610" s="9" t="str">
        <f aca="false">DEC2HEX(C610,4)</f>
        <v>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721</v>
      </c>
      <c r="B611" s="11" t="n">
        <v>2326</v>
      </c>
      <c r="C611" s="7" t="n">
        <f aca="false">HEX2DEC(B611)</f>
        <v>8998</v>
      </c>
      <c r="D611" s="9" t="str">
        <f aca="false">DEC2HEX(C611,4)</f>
        <v>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722</v>
      </c>
      <c r="B612" s="11" t="s">
        <v>723</v>
      </c>
      <c r="C612" s="7" t="n">
        <f aca="false">HEX2DEC(B612)</f>
        <v>9003</v>
      </c>
      <c r="D612" s="9" t="str">
        <f aca="false">DEC2HEX(C612,4)</f>
        <v>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724</v>
      </c>
      <c r="B613" s="11" t="n">
        <v>2387</v>
      </c>
      <c r="C613" s="7" t="n">
        <f aca="false">HEX2DEC(B613)</f>
        <v>9095</v>
      </c>
      <c r="D613" s="9" t="str">
        <f aca="false">DEC2HEX(C613,4)</f>
        <v>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725</v>
      </c>
      <c r="B614" s="11" t="n">
        <v>2388</v>
      </c>
      <c r="C614" s="7" t="n">
        <f aca="false">HEX2DEC(B614)</f>
        <v>9096</v>
      </c>
      <c r="D614" s="9" t="str">
        <f aca="false">DEC2HEX(C614,4)</f>
        <v>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726</v>
      </c>
      <c r="B615" s="11" t="s">
        <v>727</v>
      </c>
      <c r="C615" s="7" t="n">
        <f aca="false">HEX2DEC(B615)</f>
        <v>9099</v>
      </c>
      <c r="D615" s="9" t="str">
        <f aca="false">DEC2HEX(C615,4)</f>
        <v>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728</v>
      </c>
      <c r="B616" s="11" t="n">
        <v>2399</v>
      </c>
      <c r="C616" s="7" t="n">
        <f aca="false">HEX2DEC(B616)</f>
        <v>9113</v>
      </c>
      <c r="D616" s="9" t="str">
        <f aca="false">DEC2HEX(C616,4)</f>
        <v>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729</v>
      </c>
      <c r="B617" s="11" t="s">
        <v>730</v>
      </c>
      <c r="C617" s="7" t="n">
        <f aca="false">HEX2DEC(B617)</f>
        <v>9644</v>
      </c>
      <c r="D617" s="9" t="str">
        <f aca="false">DEC2HEX(C617,4)</f>
        <v>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731</v>
      </c>
      <c r="B618" s="11" t="n">
        <v>2611</v>
      </c>
      <c r="C618" s="7" t="n">
        <f aca="false">HEX2DEC(B618)</f>
        <v>9745</v>
      </c>
      <c r="D618" s="9" t="str">
        <f aca="false">DEC2HEX(C618,4)</f>
        <v>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732</v>
      </c>
      <c r="B619" s="11" t="n">
        <v>2654</v>
      </c>
      <c r="C619" s="7" t="n">
        <f aca="false">HEX2DEC(B619)</f>
        <v>9812</v>
      </c>
      <c r="D619" s="9" t="str">
        <f aca="false">DEC2HEX(C619,4)</f>
        <v>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733</v>
      </c>
      <c r="B620" s="11" t="n">
        <v>2655</v>
      </c>
      <c r="C620" s="7" t="n">
        <f aca="false">HEX2DEC(B620)</f>
        <v>9813</v>
      </c>
      <c r="D620" s="9" t="str">
        <f aca="false">DEC2HEX(C620,4)</f>
        <v>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734</v>
      </c>
      <c r="B621" s="11" t="n">
        <v>2656</v>
      </c>
      <c r="C621" s="7" t="n">
        <f aca="false">HEX2DEC(B621)</f>
        <v>9814</v>
      </c>
      <c r="D621" s="9" t="str">
        <f aca="false">DEC2HEX(C621,4)</f>
        <v>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735</v>
      </c>
      <c r="B622" s="11" t="n">
        <v>2657</v>
      </c>
      <c r="C622" s="7" t="n">
        <f aca="false">HEX2DEC(B622)</f>
        <v>9815</v>
      </c>
      <c r="D622" s="9" t="str">
        <f aca="false">DEC2HEX(C622,4)</f>
        <v>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736</v>
      </c>
      <c r="B623" s="11" t="n">
        <v>2658</v>
      </c>
      <c r="C623" s="7" t="n">
        <f aca="false">HEX2DEC(B623)</f>
        <v>9816</v>
      </c>
      <c r="D623" s="9" t="str">
        <f aca="false">DEC2HEX(C623,4)</f>
        <v>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737</v>
      </c>
      <c r="B624" s="11" t="n">
        <v>2659</v>
      </c>
      <c r="C624" s="7" t="n">
        <f aca="false">HEX2DEC(B624)</f>
        <v>9817</v>
      </c>
      <c r="D624" s="9" t="str">
        <f aca="false">DEC2HEX(C624,4)</f>
        <v>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738</v>
      </c>
      <c r="B625" s="11" t="s">
        <v>739</v>
      </c>
      <c r="C625" s="7" t="n">
        <f aca="false">HEX2DEC(B625)</f>
        <v>9818</v>
      </c>
      <c r="D625" s="9" t="str">
        <f aca="false">DEC2HEX(C625,4)</f>
        <v>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740</v>
      </c>
      <c r="B626" s="11" t="s">
        <v>741</v>
      </c>
      <c r="C626" s="7" t="n">
        <f aca="false">HEX2DEC(B626)</f>
        <v>9819</v>
      </c>
      <c r="D626" s="9" t="str">
        <f aca="false">DEC2HEX(C626,4)</f>
        <v>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742</v>
      </c>
      <c r="B627" s="11" t="s">
        <v>743</v>
      </c>
      <c r="C627" s="7" t="n">
        <f aca="false">HEX2DEC(B627)</f>
        <v>9820</v>
      </c>
      <c r="D627" s="9" t="str">
        <f aca="false">DEC2HEX(C627,4)</f>
        <v>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744</v>
      </c>
      <c r="B628" s="11" t="s">
        <v>745</v>
      </c>
      <c r="C628" s="7" t="n">
        <f aca="false">HEX2DEC(B628)</f>
        <v>9821</v>
      </c>
      <c r="D628" s="9" t="str">
        <f aca="false">DEC2HEX(C628,4)</f>
        <v>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746</v>
      </c>
      <c r="B629" s="11" t="s">
        <v>747</v>
      </c>
      <c r="C629" s="7" t="n">
        <f aca="false">HEX2DEC(B629)</f>
        <v>9822</v>
      </c>
      <c r="D629" s="9" t="str">
        <f aca="false">DEC2HEX(C629,4)</f>
        <v>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748</v>
      </c>
      <c r="B630" s="11" t="s">
        <v>749</v>
      </c>
      <c r="C630" s="7" t="n">
        <f aca="false">HEX2DEC(B630)</f>
        <v>9823</v>
      </c>
      <c r="D630" s="9" t="str">
        <f aca="false">DEC2HEX(C630,4)</f>
        <v>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750</v>
      </c>
      <c r="B631" s="11" t="n">
        <v>2702</v>
      </c>
      <c r="C631" s="7" t="n">
        <f aca="false">HEX2DEC(B631)</f>
        <v>9986</v>
      </c>
      <c r="D631" s="9" t="str">
        <f aca="false">DEC2HEX(C631,4)</f>
        <v>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751</v>
      </c>
      <c r="B632" s="8" t="n">
        <v>2756</v>
      </c>
      <c r="C632" s="7" t="n">
        <f aca="false">HEX2DEC(B632)</f>
        <v>10070</v>
      </c>
      <c r="D632" s="9" t="str">
        <f aca="false">DEC2HEX(C632,4)</f>
        <v>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752</v>
      </c>
      <c r="B633" s="8" t="s">
        <v>753</v>
      </c>
      <c r="C633" s="7" t="n">
        <f aca="false">HEX2DEC(B633)</f>
        <v>11119</v>
      </c>
      <c r="D633" s="9" t="str">
        <f aca="false">DEC2HEX(C633,4)</f>
        <v>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754</v>
      </c>
      <c r="B634" s="8" t="s">
        <v>755</v>
      </c>
      <c r="C634" s="7" t="n">
        <f aca="false">HEX2DEC(B634)</f>
        <v>11120</v>
      </c>
      <c r="D634" s="9" t="str">
        <f aca="false">DEC2HEX(C634,4)</f>
        <v>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756</v>
      </c>
      <c r="B635" s="8" t="s">
        <v>757</v>
      </c>
      <c r="C635" s="7" t="n">
        <f aca="false">HEX2DEC(B635)</f>
        <v>11121</v>
      </c>
      <c r="D635" s="9" t="str">
        <f aca="false">DEC2HEX(C635,4)</f>
        <v>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758</v>
      </c>
      <c r="B636" s="8" t="s">
        <v>759</v>
      </c>
      <c r="C636" s="7" t="n">
        <f aca="false">HEX2DEC(B636)</f>
        <v>11122</v>
      </c>
      <c r="D636" s="9" t="str">
        <f aca="false">DEC2HEX(C636,4)</f>
        <v>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760</v>
      </c>
      <c r="B637" s="8" t="s">
        <v>761</v>
      </c>
      <c r="C637" s="7" t="n">
        <f aca="false">HEX2DEC(B637)</f>
        <v>11123</v>
      </c>
      <c r="D637" s="9" t="str">
        <f aca="false">DEC2HEX(C637,4)</f>
        <v>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762</v>
      </c>
      <c r="B638" s="11" t="s">
        <v>763</v>
      </c>
      <c r="C638" s="7" t="n">
        <f aca="false">HEX2DEC(B638)</f>
        <v>11134</v>
      </c>
      <c r="D638" s="9" t="str">
        <f aca="false">DEC2HEX(C638,4)</f>
        <v>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764</v>
      </c>
      <c r="B639" s="8" t="s">
        <v>765</v>
      </c>
      <c r="C639" s="7" t="n">
        <f aca="false">HEX2DEC(B639)</f>
        <v>11148</v>
      </c>
      <c r="D639" s="9" t="str">
        <f aca="false">DEC2HEX(C639,4)</f>
        <v>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766</v>
      </c>
      <c r="B640" s="8" t="s">
        <v>767</v>
      </c>
      <c r="C640" s="7" t="n">
        <f aca="false">HEX2DEC(B640)</f>
        <v>11150</v>
      </c>
      <c r="D640" s="9" t="str">
        <f aca="false">DEC2HEX(C640,4)</f>
        <v>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768</v>
      </c>
      <c r="B641" s="11" t="s">
        <v>769</v>
      </c>
      <c r="C641" s="7" t="n">
        <f aca="false">HEX2DEC(B641)</f>
        <v>11168</v>
      </c>
      <c r="D641" s="9" t="str">
        <f aca="false">DEC2HEX(C641,4)</f>
        <v>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7" t="s">
        <v>770</v>
      </c>
      <c r="B642" s="8" t="n">
        <v>3001</v>
      </c>
      <c r="C642" s="7" t="n">
        <f aca="false">HEX2DEC(B642)</f>
        <v>12289</v>
      </c>
      <c r="D642" s="9" t="str">
        <f aca="false">DEC2HEX(C642,4)</f>
        <v>3001</v>
      </c>
      <c r="E642" s="10" t="str">
        <f aca="false">_xlfn.UNICHAR(C642)</f>
        <v>、</v>
      </c>
      <c r="F642" s="7" t="n">
        <f aca="false">C642-C641</f>
        <v>1121</v>
      </c>
    </row>
    <row r="643" customFormat="false" ht="15" hidden="false" customHeight="false" outlineLevel="0" collapsed="false">
      <c r="A643" s="7" t="s">
        <v>771</v>
      </c>
      <c r="B643" s="8" t="n">
        <v>3002</v>
      </c>
      <c r="C643" s="7" t="n">
        <f aca="false">HEX2DEC(B643)</f>
        <v>12290</v>
      </c>
      <c r="D643" s="9" t="str">
        <f aca="false">DEC2HEX(C643,4)</f>
        <v>3002</v>
      </c>
      <c r="E643" s="10" t="str">
        <f aca="false">_xlfn.UNICHAR(C643)</f>
        <v>。</v>
      </c>
      <c r="F643" s="7" t="n">
        <f aca="false">C643-C642</f>
        <v>1</v>
      </c>
    </row>
    <row r="644" customFormat="false" ht="15" hidden="false" customHeight="false" outlineLevel="0" collapsed="false">
      <c r="A644" s="7" t="s">
        <v>772</v>
      </c>
      <c r="B644" s="8" t="s">
        <v>773</v>
      </c>
      <c r="C644" s="7" t="n">
        <f aca="false">HEX2DEC(B644)</f>
        <v>12296</v>
      </c>
      <c r="D644" s="9" t="str">
        <f aca="false">DEC2HEX(C644,4)</f>
        <v>3008</v>
      </c>
      <c r="E644" s="10" t="str">
        <f aca="false">_xlfn.UNICHAR(C644)</f>
        <v>〈</v>
      </c>
      <c r="F644" s="7" t="n">
        <f aca="false">C644-C643</f>
        <v>6</v>
      </c>
    </row>
    <row r="645" customFormat="false" ht="15" hidden="false" customHeight="false" outlineLevel="0" collapsed="false">
      <c r="A645" s="7" t="s">
        <v>774</v>
      </c>
      <c r="B645" s="8" t="s">
        <v>775</v>
      </c>
      <c r="C645" s="7" t="n">
        <f aca="false">HEX2DEC(B645)</f>
        <v>12297</v>
      </c>
      <c r="D645" s="9" t="str">
        <f aca="false">DEC2HEX(C645,4)</f>
        <v>3009</v>
      </c>
      <c r="E645" s="10" t="str">
        <f aca="false">_xlfn.UNICHAR(C645)</f>
        <v>〉</v>
      </c>
      <c r="F645" s="7" t="n">
        <f aca="false">C645-C644</f>
        <v>1</v>
      </c>
    </row>
    <row r="646" customFormat="false" ht="15" hidden="false" customHeight="false" outlineLevel="0" collapsed="false">
      <c r="A646" s="7" t="s">
        <v>776</v>
      </c>
      <c r="B646" s="8" t="s">
        <v>777</v>
      </c>
      <c r="C646" s="7" t="n">
        <f aca="false">HEX2DEC(B646)</f>
        <v>12298</v>
      </c>
      <c r="D646" s="9" t="str">
        <f aca="false">DEC2HEX(C646,4)</f>
        <v>300A</v>
      </c>
      <c r="E646" s="10" t="str">
        <f aca="false">_xlfn.UNICHAR(C646)</f>
        <v>《</v>
      </c>
      <c r="F646" s="7" t="n">
        <f aca="false">C646-C645</f>
        <v>1</v>
      </c>
    </row>
    <row r="647" customFormat="false" ht="15" hidden="false" customHeight="false" outlineLevel="0" collapsed="false">
      <c r="A647" s="7" t="s">
        <v>778</v>
      </c>
      <c r="B647" s="8" t="s">
        <v>779</v>
      </c>
      <c r="C647" s="7" t="n">
        <f aca="false">HEX2DEC(B647)</f>
        <v>12299</v>
      </c>
      <c r="D647" s="9" t="str">
        <f aca="false">DEC2HEX(C647,4)</f>
        <v>300B</v>
      </c>
      <c r="E647" s="10" t="str">
        <f aca="false">_xlfn.UNICHAR(C647)</f>
        <v>》</v>
      </c>
      <c r="F647" s="7" t="n">
        <f aca="false">C647-C646</f>
        <v>1</v>
      </c>
    </row>
    <row r="648" customFormat="false" ht="15" hidden="false" customHeight="false" outlineLevel="0" collapsed="false">
      <c r="A648" s="7" t="s">
        <v>780</v>
      </c>
      <c r="B648" s="8" t="s">
        <v>781</v>
      </c>
      <c r="C648" s="7" t="n">
        <f aca="false">HEX2DEC(B648)</f>
        <v>12300</v>
      </c>
      <c r="D648" s="9" t="str">
        <f aca="false">DEC2HEX(C648,4)</f>
        <v>300C</v>
      </c>
      <c r="E648" s="10" t="str">
        <f aca="false">_xlfn.UNICHAR(C648)</f>
        <v>「</v>
      </c>
      <c r="F648" s="7" t="n">
        <f aca="false">C648-C647</f>
        <v>1</v>
      </c>
    </row>
    <row r="649" customFormat="false" ht="15" hidden="false" customHeight="false" outlineLevel="0" collapsed="false">
      <c r="A649" s="7" t="s">
        <v>782</v>
      </c>
      <c r="B649" s="8" t="s">
        <v>783</v>
      </c>
      <c r="C649" s="7" t="n">
        <f aca="false">HEX2DEC(B649)</f>
        <v>12301</v>
      </c>
      <c r="D649" s="9" t="str">
        <f aca="false">DEC2HEX(C649,4)</f>
        <v>300D</v>
      </c>
      <c r="E649" s="10" t="str">
        <f aca="false">_xlfn.UNICHAR(C649)</f>
        <v>」</v>
      </c>
      <c r="F649" s="7" t="n">
        <f aca="false">C649-C648</f>
        <v>1</v>
      </c>
    </row>
    <row r="650" customFormat="false" ht="15" hidden="false" customHeight="false" outlineLevel="0" collapsed="false">
      <c r="A650" s="7" t="s">
        <v>784</v>
      </c>
      <c r="B650" s="8" t="s">
        <v>785</v>
      </c>
      <c r="C650" s="7" t="n">
        <f aca="false">HEX2DEC(B650)</f>
        <v>12302</v>
      </c>
      <c r="D650" s="9" t="str">
        <f aca="false">DEC2HEX(C650,4)</f>
        <v>300E</v>
      </c>
      <c r="E650" s="10" t="str">
        <f aca="false">_xlfn.UNICHAR(C650)</f>
        <v>『</v>
      </c>
      <c r="F650" s="7" t="n">
        <f aca="false">C650-C649</f>
        <v>1</v>
      </c>
    </row>
    <row r="651" customFormat="false" ht="15" hidden="false" customHeight="false" outlineLevel="0" collapsed="false">
      <c r="A651" s="7" t="s">
        <v>786</v>
      </c>
      <c r="B651" s="8" t="s">
        <v>787</v>
      </c>
      <c r="C651" s="7" t="n">
        <f aca="false">HEX2DEC(B651)</f>
        <v>12303</v>
      </c>
      <c r="D651" s="9" t="str">
        <f aca="false">DEC2HEX(C651,4)</f>
        <v>300F</v>
      </c>
      <c r="E651" s="10" t="str">
        <f aca="false">_xlfn.UNICHAR(C651)</f>
        <v>』</v>
      </c>
      <c r="F651" s="7" t="n">
        <f aca="false">C651-C650</f>
        <v>1</v>
      </c>
    </row>
    <row r="652" customFormat="false" ht="15" hidden="false" customHeight="false" outlineLevel="0" collapsed="false">
      <c r="A652" s="7" t="s">
        <v>788</v>
      </c>
      <c r="B652" s="8" t="s">
        <v>789</v>
      </c>
      <c r="C652" s="7" t="n">
        <f aca="false">HEX2DEC(B652)</f>
        <v>12304</v>
      </c>
      <c r="D652" s="9" t="str">
        <f aca="false">DEC2HEX(C652,4)</f>
        <v>3010</v>
      </c>
      <c r="E652" s="10" t="str">
        <f aca="false">_xlfn.UNICHAR(C652)</f>
        <v>【</v>
      </c>
      <c r="F652" s="7" t="n">
        <f aca="false">C652-C651</f>
        <v>1</v>
      </c>
    </row>
    <row r="653" customFormat="false" ht="15" hidden="false" customHeight="false" outlineLevel="0" collapsed="false">
      <c r="A653" s="7" t="s">
        <v>790</v>
      </c>
      <c r="B653" s="8" t="s">
        <v>791</v>
      </c>
      <c r="C653" s="7" t="n">
        <f aca="false">HEX2DEC(B653)</f>
        <v>12305</v>
      </c>
      <c r="D653" s="9" t="str">
        <f aca="false">DEC2HEX(C653,4)</f>
        <v>3011</v>
      </c>
      <c r="E653" s="10" t="str">
        <f aca="false">_xlfn.UNICHAR(C653)</f>
        <v>】</v>
      </c>
      <c r="F653" s="7" t="n">
        <f aca="false">C653-C652</f>
        <v>1</v>
      </c>
    </row>
    <row r="654" customFormat="false" ht="15" hidden="false" customHeight="false" outlineLevel="0" collapsed="false">
      <c r="A654" s="7" t="s">
        <v>792</v>
      </c>
      <c r="B654" s="8" t="n">
        <v>3041</v>
      </c>
      <c r="C654" s="7" t="n">
        <f aca="false">HEX2DEC(B654)</f>
        <v>12353</v>
      </c>
      <c r="D654" s="9" t="str">
        <f aca="false">DEC2HEX(C654,4)</f>
        <v>3041</v>
      </c>
      <c r="E654" s="10" t="str">
        <f aca="false">_xlfn.UNICHAR(C654)</f>
        <v>ぁ</v>
      </c>
      <c r="F654" s="7" t="n">
        <f aca="false">C654-C653</f>
        <v>48</v>
      </c>
    </row>
    <row r="655" customFormat="false" ht="15" hidden="false" customHeight="false" outlineLevel="0" collapsed="false">
      <c r="A655" s="7" t="s">
        <v>793</v>
      </c>
      <c r="B655" s="8" t="n">
        <v>3042</v>
      </c>
      <c r="C655" s="7" t="n">
        <f aca="false">HEX2DEC(B655)</f>
        <v>12354</v>
      </c>
      <c r="D655" s="9" t="str">
        <f aca="false">DEC2HEX(C655,4)</f>
        <v>3042</v>
      </c>
      <c r="E655" s="10" t="str">
        <f aca="false">_xlfn.UNICHAR(C655)</f>
        <v>あ</v>
      </c>
      <c r="F655" s="7" t="n">
        <f aca="false">C655-C654</f>
        <v>1</v>
      </c>
    </row>
    <row r="656" customFormat="false" ht="15" hidden="false" customHeight="false" outlineLevel="0" collapsed="false">
      <c r="A656" s="7" t="s">
        <v>794</v>
      </c>
      <c r="B656" s="8" t="n">
        <v>3043</v>
      </c>
      <c r="C656" s="7" t="n">
        <f aca="false">HEX2DEC(B656)</f>
        <v>12355</v>
      </c>
      <c r="D656" s="9" t="str">
        <f aca="false">DEC2HEX(C656,4)</f>
        <v>3043</v>
      </c>
      <c r="E656" s="10" t="str">
        <f aca="false">_xlfn.UNICHAR(C656)</f>
        <v>ぃ</v>
      </c>
      <c r="F656" s="7" t="n">
        <f aca="false">C656-C655</f>
        <v>1</v>
      </c>
    </row>
    <row r="657" customFormat="false" ht="15" hidden="false" customHeight="false" outlineLevel="0" collapsed="false">
      <c r="A657" s="7" t="s">
        <v>795</v>
      </c>
      <c r="B657" s="8" t="n">
        <v>3044</v>
      </c>
      <c r="C657" s="7" t="n">
        <f aca="false">HEX2DEC(B657)</f>
        <v>12356</v>
      </c>
      <c r="D657" s="9" t="str">
        <f aca="false">DEC2HEX(C657,4)</f>
        <v>3044</v>
      </c>
      <c r="E657" s="10" t="str">
        <f aca="false">_xlfn.UNICHAR(C657)</f>
        <v>い</v>
      </c>
      <c r="F657" s="7" t="n">
        <f aca="false">C657-C656</f>
        <v>1</v>
      </c>
    </row>
    <row r="658" customFormat="false" ht="15" hidden="false" customHeight="false" outlineLevel="0" collapsed="false">
      <c r="A658" s="7" t="s">
        <v>796</v>
      </c>
      <c r="B658" s="8" t="n">
        <v>3045</v>
      </c>
      <c r="C658" s="7" t="n">
        <f aca="false">HEX2DEC(B658)</f>
        <v>12357</v>
      </c>
      <c r="D658" s="9" t="str">
        <f aca="false">DEC2HEX(C658,4)</f>
        <v>3045</v>
      </c>
      <c r="E658" s="10" t="str">
        <f aca="false">_xlfn.UNICHAR(C658)</f>
        <v>ぅ</v>
      </c>
      <c r="F658" s="7" t="n">
        <f aca="false">C658-C657</f>
        <v>1</v>
      </c>
    </row>
    <row r="659" customFormat="false" ht="15" hidden="false" customHeight="false" outlineLevel="0" collapsed="false">
      <c r="A659" s="7" t="s">
        <v>797</v>
      </c>
      <c r="B659" s="8" t="n">
        <v>3046</v>
      </c>
      <c r="C659" s="7" t="n">
        <f aca="false">HEX2DEC(B659)</f>
        <v>12358</v>
      </c>
      <c r="D659" s="9" t="str">
        <f aca="false">DEC2HEX(C659,4)</f>
        <v>3046</v>
      </c>
      <c r="E659" s="10" t="str">
        <f aca="false">_xlfn.UNICHAR(C659)</f>
        <v>う</v>
      </c>
      <c r="F659" s="7" t="n">
        <f aca="false">C659-C658</f>
        <v>1</v>
      </c>
    </row>
    <row r="660" customFormat="false" ht="15" hidden="false" customHeight="false" outlineLevel="0" collapsed="false">
      <c r="A660" s="7" t="s">
        <v>798</v>
      </c>
      <c r="B660" s="8" t="n">
        <v>3047</v>
      </c>
      <c r="C660" s="7" t="n">
        <f aca="false">HEX2DEC(B660)</f>
        <v>12359</v>
      </c>
      <c r="D660" s="9" t="str">
        <f aca="false">DEC2HEX(C660,4)</f>
        <v>3047</v>
      </c>
      <c r="E660" s="10" t="str">
        <f aca="false">_xlfn.UNICHAR(C660)</f>
        <v>ぇ</v>
      </c>
      <c r="F660" s="7" t="n">
        <f aca="false">C660-C659</f>
        <v>1</v>
      </c>
    </row>
    <row r="661" customFormat="false" ht="15" hidden="false" customHeight="false" outlineLevel="0" collapsed="false">
      <c r="A661" s="7" t="s">
        <v>799</v>
      </c>
      <c r="B661" s="8" t="n">
        <v>3048</v>
      </c>
      <c r="C661" s="7" t="n">
        <f aca="false">HEX2DEC(B661)</f>
        <v>12360</v>
      </c>
      <c r="D661" s="9" t="str">
        <f aca="false">DEC2HEX(C661,4)</f>
        <v>3048</v>
      </c>
      <c r="E661" s="10" t="str">
        <f aca="false">_xlfn.UNICHAR(C661)</f>
        <v>え</v>
      </c>
      <c r="F661" s="7" t="n">
        <f aca="false">C661-C660</f>
        <v>1</v>
      </c>
    </row>
    <row r="662" customFormat="false" ht="15" hidden="false" customHeight="false" outlineLevel="0" collapsed="false">
      <c r="A662" s="7" t="s">
        <v>800</v>
      </c>
      <c r="B662" s="8" t="n">
        <v>3049</v>
      </c>
      <c r="C662" s="7" t="n">
        <f aca="false">HEX2DEC(B662)</f>
        <v>12361</v>
      </c>
      <c r="D662" s="9" t="str">
        <f aca="false">DEC2HEX(C662,4)</f>
        <v>3049</v>
      </c>
      <c r="E662" s="10" t="str">
        <f aca="false">_xlfn.UNICHAR(C662)</f>
        <v>ぉ</v>
      </c>
      <c r="F662" s="7" t="n">
        <f aca="false">C662-C661</f>
        <v>1</v>
      </c>
    </row>
    <row r="663" customFormat="false" ht="15" hidden="false" customHeight="false" outlineLevel="0" collapsed="false">
      <c r="A663" s="7" t="s">
        <v>801</v>
      </c>
      <c r="B663" s="8" t="s">
        <v>802</v>
      </c>
      <c r="C663" s="7" t="n">
        <f aca="false">HEX2DEC(B663)</f>
        <v>12362</v>
      </c>
      <c r="D663" s="9" t="str">
        <f aca="false">DEC2HEX(C663,4)</f>
        <v>304A</v>
      </c>
      <c r="E663" s="10" t="str">
        <f aca="false">_xlfn.UNICHAR(C663)</f>
        <v>お</v>
      </c>
      <c r="F663" s="7" t="n">
        <f aca="false">C663-C662</f>
        <v>1</v>
      </c>
    </row>
    <row r="664" customFormat="false" ht="15" hidden="false" customHeight="false" outlineLevel="0" collapsed="false">
      <c r="A664" s="7" t="s">
        <v>803</v>
      </c>
      <c r="B664" s="8" t="s">
        <v>804</v>
      </c>
      <c r="C664" s="7" t="n">
        <f aca="false">HEX2DEC(B664)</f>
        <v>12363</v>
      </c>
      <c r="D664" s="9" t="str">
        <f aca="false">DEC2HEX(C664,4)</f>
        <v>304B</v>
      </c>
      <c r="E664" s="10" t="str">
        <f aca="false">_xlfn.UNICHAR(C664)</f>
        <v>か</v>
      </c>
      <c r="F664" s="7" t="n">
        <f aca="false">C664-C663</f>
        <v>1</v>
      </c>
    </row>
    <row r="665" customFormat="false" ht="15" hidden="false" customHeight="false" outlineLevel="0" collapsed="false">
      <c r="A665" s="7" t="s">
        <v>805</v>
      </c>
      <c r="B665" s="8" t="s">
        <v>806</v>
      </c>
      <c r="C665" s="7" t="n">
        <f aca="false">HEX2DEC(B665)</f>
        <v>12364</v>
      </c>
      <c r="D665" s="9" t="str">
        <f aca="false">DEC2HEX(C665,4)</f>
        <v>304C</v>
      </c>
      <c r="E665" s="10" t="str">
        <f aca="false">_xlfn.UNICHAR(C665)</f>
        <v>が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807</v>
      </c>
      <c r="B666" s="8" t="s">
        <v>808</v>
      </c>
      <c r="C666" s="7" t="n">
        <f aca="false">HEX2DEC(B666)</f>
        <v>12365</v>
      </c>
      <c r="D666" s="9" t="str">
        <f aca="false">DEC2HEX(C666,4)</f>
        <v>304D</v>
      </c>
      <c r="E666" s="10" t="str">
        <f aca="false">_xlfn.UNICHAR(C666)</f>
        <v>き</v>
      </c>
      <c r="F666" s="7" t="n">
        <f aca="false">C666-C665</f>
        <v>1</v>
      </c>
    </row>
    <row r="667" customFormat="false" ht="15" hidden="false" customHeight="false" outlineLevel="0" collapsed="false">
      <c r="A667" s="7" t="s">
        <v>809</v>
      </c>
      <c r="B667" s="8" t="s">
        <v>810</v>
      </c>
      <c r="C667" s="7" t="n">
        <f aca="false">HEX2DEC(B667)</f>
        <v>12366</v>
      </c>
      <c r="D667" s="9" t="str">
        <f aca="false">DEC2HEX(C667,4)</f>
        <v>304E</v>
      </c>
      <c r="E667" s="10" t="str">
        <f aca="false">_xlfn.UNICHAR(C667)</f>
        <v>ぎ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811</v>
      </c>
      <c r="B668" s="8" t="s">
        <v>812</v>
      </c>
      <c r="C668" s="7" t="n">
        <f aca="false">HEX2DEC(B668)</f>
        <v>12367</v>
      </c>
      <c r="D668" s="9" t="str">
        <f aca="false">DEC2HEX(C668,4)</f>
        <v>304F</v>
      </c>
      <c r="E668" s="10" t="str">
        <f aca="false">_xlfn.UNICHAR(C668)</f>
        <v>く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813</v>
      </c>
      <c r="B669" s="8" t="n">
        <v>3050</v>
      </c>
      <c r="C669" s="7" t="n">
        <f aca="false">HEX2DEC(B669)</f>
        <v>12368</v>
      </c>
      <c r="D669" s="9" t="str">
        <f aca="false">DEC2HEX(C669,4)</f>
        <v>3050</v>
      </c>
      <c r="E669" s="10" t="str">
        <f aca="false">_xlfn.UNICHAR(C669)</f>
        <v>ぐ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814</v>
      </c>
      <c r="B670" s="8" t="n">
        <v>3051</v>
      </c>
      <c r="C670" s="7" t="n">
        <f aca="false">HEX2DEC(B670)</f>
        <v>12369</v>
      </c>
      <c r="D670" s="9" t="str">
        <f aca="false">DEC2HEX(C670,4)</f>
        <v>3051</v>
      </c>
      <c r="E670" s="10" t="str">
        <f aca="false">_xlfn.UNICHAR(C670)</f>
        <v>け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815</v>
      </c>
      <c r="B671" s="8" t="n">
        <v>3052</v>
      </c>
      <c r="C671" s="7" t="n">
        <f aca="false">HEX2DEC(B671)</f>
        <v>12370</v>
      </c>
      <c r="D671" s="9" t="str">
        <f aca="false">DEC2HEX(C671,4)</f>
        <v>3052</v>
      </c>
      <c r="E671" s="10" t="str">
        <f aca="false">_xlfn.UNICHAR(C671)</f>
        <v>げ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816</v>
      </c>
      <c r="B672" s="8" t="n">
        <v>3053</v>
      </c>
      <c r="C672" s="7" t="n">
        <f aca="false">HEX2DEC(B672)</f>
        <v>12371</v>
      </c>
      <c r="D672" s="9" t="str">
        <f aca="false">DEC2HEX(C672,4)</f>
        <v>3053</v>
      </c>
      <c r="E672" s="10" t="str">
        <f aca="false">_xlfn.UNICHAR(C672)</f>
        <v>こ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817</v>
      </c>
      <c r="B673" s="8" t="n">
        <v>3054</v>
      </c>
      <c r="C673" s="7" t="n">
        <f aca="false">HEX2DEC(B673)</f>
        <v>12372</v>
      </c>
      <c r="D673" s="9" t="str">
        <f aca="false">DEC2HEX(C673,4)</f>
        <v>3054</v>
      </c>
      <c r="E673" s="10" t="str">
        <f aca="false">_xlfn.UNICHAR(C673)</f>
        <v>ご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818</v>
      </c>
      <c r="B674" s="8" t="n">
        <v>3055</v>
      </c>
      <c r="C674" s="7" t="n">
        <f aca="false">HEX2DEC(B674)</f>
        <v>12373</v>
      </c>
      <c r="D674" s="9" t="str">
        <f aca="false">DEC2HEX(C674,4)</f>
        <v>3055</v>
      </c>
      <c r="E674" s="10" t="str">
        <f aca="false">_xlfn.UNICHAR(C674)</f>
        <v>さ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819</v>
      </c>
      <c r="B675" s="8" t="n">
        <v>3056</v>
      </c>
      <c r="C675" s="7" t="n">
        <f aca="false">HEX2DEC(B675)</f>
        <v>12374</v>
      </c>
      <c r="D675" s="9" t="str">
        <f aca="false">DEC2HEX(C675,4)</f>
        <v>3056</v>
      </c>
      <c r="E675" s="10" t="str">
        <f aca="false">_xlfn.UNICHAR(C675)</f>
        <v>ざ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820</v>
      </c>
      <c r="B676" s="8" t="n">
        <v>3057</v>
      </c>
      <c r="C676" s="7" t="n">
        <f aca="false">HEX2DEC(B676)</f>
        <v>12375</v>
      </c>
      <c r="D676" s="9" t="str">
        <f aca="false">DEC2HEX(C676,4)</f>
        <v>3057</v>
      </c>
      <c r="E676" s="10" t="str">
        <f aca="false">_xlfn.UNICHAR(C676)</f>
        <v>し</v>
      </c>
      <c r="F676" s="7" t="n">
        <f aca="false">C676-C675</f>
        <v>1</v>
      </c>
    </row>
    <row r="677" customFormat="false" ht="15" hidden="false" customHeight="false" outlineLevel="0" collapsed="false">
      <c r="A677" s="7" t="s">
        <v>821</v>
      </c>
      <c r="B677" s="8" t="n">
        <v>3058</v>
      </c>
      <c r="C677" s="7" t="n">
        <f aca="false">HEX2DEC(B677)</f>
        <v>12376</v>
      </c>
      <c r="D677" s="9" t="str">
        <f aca="false">DEC2HEX(C677,4)</f>
        <v>3058</v>
      </c>
      <c r="E677" s="10" t="str">
        <f aca="false">_xlfn.UNICHAR(C677)</f>
        <v>じ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822</v>
      </c>
      <c r="B678" s="8" t="n">
        <v>3059</v>
      </c>
      <c r="C678" s="7" t="n">
        <f aca="false">HEX2DEC(B678)</f>
        <v>12377</v>
      </c>
      <c r="D678" s="9" t="str">
        <f aca="false">DEC2HEX(C678,4)</f>
        <v>3059</v>
      </c>
      <c r="E678" s="10" t="str">
        <f aca="false">_xlfn.UNICHAR(C678)</f>
        <v>す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823</v>
      </c>
      <c r="B679" s="8" t="s">
        <v>824</v>
      </c>
      <c r="C679" s="7" t="n">
        <f aca="false">HEX2DEC(B679)</f>
        <v>12378</v>
      </c>
      <c r="D679" s="9" t="str">
        <f aca="false">DEC2HEX(C679,4)</f>
        <v>305A</v>
      </c>
      <c r="E679" s="10" t="str">
        <f aca="false">_xlfn.UNICHAR(C679)</f>
        <v>ず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825</v>
      </c>
      <c r="B680" s="8" t="s">
        <v>826</v>
      </c>
      <c r="C680" s="7" t="n">
        <f aca="false">HEX2DEC(B680)</f>
        <v>12379</v>
      </c>
      <c r="D680" s="9" t="str">
        <f aca="false">DEC2HEX(C680,4)</f>
        <v>305B</v>
      </c>
      <c r="E680" s="10" t="str">
        <f aca="false">_xlfn.UNICHAR(C680)</f>
        <v>せ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827</v>
      </c>
      <c r="B681" s="8" t="s">
        <v>828</v>
      </c>
      <c r="C681" s="7" t="n">
        <f aca="false">HEX2DEC(B681)</f>
        <v>12380</v>
      </c>
      <c r="D681" s="9" t="str">
        <f aca="false">DEC2HEX(C681,4)</f>
        <v>305C</v>
      </c>
      <c r="E681" s="10" t="str">
        <f aca="false">_xlfn.UNICHAR(C681)</f>
        <v>ぜ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829</v>
      </c>
      <c r="B682" s="8" t="s">
        <v>830</v>
      </c>
      <c r="C682" s="7" t="n">
        <f aca="false">HEX2DEC(B682)</f>
        <v>12381</v>
      </c>
      <c r="D682" s="9" t="str">
        <f aca="false">DEC2HEX(C682,4)</f>
        <v>305D</v>
      </c>
      <c r="E682" s="10" t="str">
        <f aca="false">_xlfn.UNICHAR(C682)</f>
        <v>そ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831</v>
      </c>
      <c r="B683" s="8" t="s">
        <v>832</v>
      </c>
      <c r="C683" s="7" t="n">
        <f aca="false">HEX2DEC(B683)</f>
        <v>12382</v>
      </c>
      <c r="D683" s="9" t="str">
        <f aca="false">DEC2HEX(C683,4)</f>
        <v>305E</v>
      </c>
      <c r="E683" s="10" t="str">
        <f aca="false">_xlfn.UNICHAR(C683)</f>
        <v>ぞ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833</v>
      </c>
      <c r="B684" s="8" t="s">
        <v>834</v>
      </c>
      <c r="C684" s="7" t="n">
        <f aca="false">HEX2DEC(B684)</f>
        <v>12383</v>
      </c>
      <c r="D684" s="9" t="str">
        <f aca="false">DEC2HEX(C684,4)</f>
        <v>305F</v>
      </c>
      <c r="E684" s="10" t="str">
        <f aca="false">_xlfn.UNICHAR(C684)</f>
        <v>た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835</v>
      </c>
      <c r="B685" s="8" t="n">
        <v>3060</v>
      </c>
      <c r="C685" s="7" t="n">
        <f aca="false">HEX2DEC(B685)</f>
        <v>12384</v>
      </c>
      <c r="D685" s="9" t="str">
        <f aca="false">DEC2HEX(C685,4)</f>
        <v>3060</v>
      </c>
      <c r="E685" s="10" t="str">
        <f aca="false">_xlfn.UNICHAR(C685)</f>
        <v>だ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836</v>
      </c>
      <c r="B686" s="8" t="n">
        <v>3061</v>
      </c>
      <c r="C686" s="7" t="n">
        <f aca="false">HEX2DEC(B686)</f>
        <v>12385</v>
      </c>
      <c r="D686" s="9" t="str">
        <f aca="false">DEC2HEX(C686,4)</f>
        <v>3061</v>
      </c>
      <c r="E686" s="10" t="str">
        <f aca="false">_xlfn.UNICHAR(C686)</f>
        <v>ち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837</v>
      </c>
      <c r="B687" s="8" t="n">
        <v>3062</v>
      </c>
      <c r="C687" s="7" t="n">
        <f aca="false">HEX2DEC(B687)</f>
        <v>12386</v>
      </c>
      <c r="D687" s="9" t="str">
        <f aca="false">DEC2HEX(C687,4)</f>
        <v>3062</v>
      </c>
      <c r="E687" s="10" t="str">
        <f aca="false">_xlfn.UNICHAR(C687)</f>
        <v>ぢ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838</v>
      </c>
      <c r="B688" s="8" t="n">
        <v>3063</v>
      </c>
      <c r="C688" s="7" t="n">
        <f aca="false">HEX2DEC(B688)</f>
        <v>12387</v>
      </c>
      <c r="D688" s="9" t="str">
        <f aca="false">DEC2HEX(C688,4)</f>
        <v>3063</v>
      </c>
      <c r="E688" s="10" t="str">
        <f aca="false">_xlfn.UNICHAR(C688)</f>
        <v>っ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839</v>
      </c>
      <c r="B689" s="8" t="n">
        <v>3064</v>
      </c>
      <c r="C689" s="7" t="n">
        <f aca="false">HEX2DEC(B689)</f>
        <v>12388</v>
      </c>
      <c r="D689" s="9" t="str">
        <f aca="false">DEC2HEX(C689,4)</f>
        <v>3064</v>
      </c>
      <c r="E689" s="10" t="str">
        <f aca="false">_xlfn.UNICHAR(C689)</f>
        <v>つ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840</v>
      </c>
      <c r="B690" s="8" t="n">
        <v>3065</v>
      </c>
      <c r="C690" s="7" t="n">
        <f aca="false">HEX2DEC(B690)</f>
        <v>12389</v>
      </c>
      <c r="D690" s="9" t="str">
        <f aca="false">DEC2HEX(C690,4)</f>
        <v>3065</v>
      </c>
      <c r="E690" s="10" t="str">
        <f aca="false">_xlfn.UNICHAR(C690)</f>
        <v>づ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841</v>
      </c>
      <c r="B691" s="8" t="n">
        <v>3066</v>
      </c>
      <c r="C691" s="7" t="n">
        <f aca="false">HEX2DEC(B691)</f>
        <v>12390</v>
      </c>
      <c r="D691" s="9" t="str">
        <f aca="false">DEC2HEX(C691,4)</f>
        <v>3066</v>
      </c>
      <c r="E691" s="10" t="str">
        <f aca="false">_xlfn.UNICHAR(C691)</f>
        <v>て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842</v>
      </c>
      <c r="B692" s="8" t="n">
        <v>3067</v>
      </c>
      <c r="C692" s="7" t="n">
        <f aca="false">HEX2DEC(B692)</f>
        <v>12391</v>
      </c>
      <c r="D692" s="9" t="str">
        <f aca="false">DEC2HEX(C692,4)</f>
        <v>3067</v>
      </c>
      <c r="E692" s="10" t="str">
        <f aca="false">_xlfn.UNICHAR(C692)</f>
        <v>で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843</v>
      </c>
      <c r="B693" s="8" t="n">
        <v>3068</v>
      </c>
      <c r="C693" s="7" t="n">
        <f aca="false">HEX2DEC(B693)</f>
        <v>12392</v>
      </c>
      <c r="D693" s="9" t="str">
        <f aca="false">DEC2HEX(C693,4)</f>
        <v>3068</v>
      </c>
      <c r="E693" s="10" t="str">
        <f aca="false">_xlfn.UNICHAR(C693)</f>
        <v>と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844</v>
      </c>
      <c r="B694" s="8" t="n">
        <v>3069</v>
      </c>
      <c r="C694" s="7" t="n">
        <f aca="false">HEX2DEC(B694)</f>
        <v>12393</v>
      </c>
      <c r="D694" s="9" t="str">
        <f aca="false">DEC2HEX(C694,4)</f>
        <v>3069</v>
      </c>
      <c r="E694" s="10" t="str">
        <f aca="false">_xlfn.UNICHAR(C694)</f>
        <v>ど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845</v>
      </c>
      <c r="B695" s="8" t="s">
        <v>846</v>
      </c>
      <c r="C695" s="7" t="n">
        <f aca="false">HEX2DEC(B695)</f>
        <v>12394</v>
      </c>
      <c r="D695" s="9" t="str">
        <f aca="false">DEC2HEX(C695,4)</f>
        <v>306A</v>
      </c>
      <c r="E695" s="10" t="str">
        <f aca="false">_xlfn.UNICHAR(C695)</f>
        <v>な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847</v>
      </c>
      <c r="B696" s="8" t="s">
        <v>848</v>
      </c>
      <c r="C696" s="7" t="n">
        <f aca="false">HEX2DEC(B696)</f>
        <v>12395</v>
      </c>
      <c r="D696" s="9" t="str">
        <f aca="false">DEC2HEX(C696,4)</f>
        <v>306B</v>
      </c>
      <c r="E696" s="10" t="str">
        <f aca="false">_xlfn.UNICHAR(C696)</f>
        <v>に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849</v>
      </c>
      <c r="B697" s="8" t="s">
        <v>850</v>
      </c>
      <c r="C697" s="7" t="n">
        <f aca="false">HEX2DEC(B697)</f>
        <v>12396</v>
      </c>
      <c r="D697" s="9" t="str">
        <f aca="false">DEC2HEX(C697,4)</f>
        <v>306C</v>
      </c>
      <c r="E697" s="10" t="str">
        <f aca="false">_xlfn.UNICHAR(C697)</f>
        <v>ぬ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851</v>
      </c>
      <c r="B698" s="8" t="s">
        <v>852</v>
      </c>
      <c r="C698" s="7" t="n">
        <f aca="false">HEX2DEC(B698)</f>
        <v>12397</v>
      </c>
      <c r="D698" s="9" t="str">
        <f aca="false">DEC2HEX(C698,4)</f>
        <v>306D</v>
      </c>
      <c r="E698" s="10" t="str">
        <f aca="false">_xlfn.UNICHAR(C698)</f>
        <v>ね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853</v>
      </c>
      <c r="B699" s="8" t="s">
        <v>854</v>
      </c>
      <c r="C699" s="7" t="n">
        <f aca="false">HEX2DEC(B699)</f>
        <v>12398</v>
      </c>
      <c r="D699" s="9" t="str">
        <f aca="false">DEC2HEX(C699,4)</f>
        <v>306E</v>
      </c>
      <c r="E699" s="10" t="str">
        <f aca="false">_xlfn.UNICHAR(C699)</f>
        <v>の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855</v>
      </c>
      <c r="B700" s="8" t="s">
        <v>856</v>
      </c>
      <c r="C700" s="7" t="n">
        <f aca="false">HEX2DEC(B700)</f>
        <v>12399</v>
      </c>
      <c r="D700" s="9" t="str">
        <f aca="false">DEC2HEX(C700,4)</f>
        <v>306F</v>
      </c>
      <c r="E700" s="10" t="str">
        <f aca="false">_xlfn.UNICHAR(C700)</f>
        <v>は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857</v>
      </c>
      <c r="B701" s="8" t="n">
        <v>3070</v>
      </c>
      <c r="C701" s="7" t="n">
        <f aca="false">HEX2DEC(B701)</f>
        <v>12400</v>
      </c>
      <c r="D701" s="9" t="str">
        <f aca="false">DEC2HEX(C701,4)</f>
        <v>3070</v>
      </c>
      <c r="E701" s="10" t="str">
        <f aca="false">_xlfn.UNICHAR(C701)</f>
        <v>ば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858</v>
      </c>
      <c r="B702" s="8" t="n">
        <v>3071</v>
      </c>
      <c r="C702" s="7" t="n">
        <f aca="false">HEX2DEC(B702)</f>
        <v>12401</v>
      </c>
      <c r="D702" s="9" t="str">
        <f aca="false">DEC2HEX(C702,4)</f>
        <v>3071</v>
      </c>
      <c r="E702" s="10" t="str">
        <f aca="false">_xlfn.UNICHAR(C702)</f>
        <v>ぱ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859</v>
      </c>
      <c r="B703" s="8" t="n">
        <v>3072</v>
      </c>
      <c r="C703" s="7" t="n">
        <f aca="false">HEX2DEC(B703)</f>
        <v>12402</v>
      </c>
      <c r="D703" s="9" t="str">
        <f aca="false">DEC2HEX(C703,4)</f>
        <v>3072</v>
      </c>
      <c r="E703" s="10" t="str">
        <f aca="false">_xlfn.UNICHAR(C703)</f>
        <v>ひ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860</v>
      </c>
      <c r="B704" s="8" t="n">
        <v>3073</v>
      </c>
      <c r="C704" s="7" t="n">
        <f aca="false">HEX2DEC(B704)</f>
        <v>12403</v>
      </c>
      <c r="D704" s="9" t="str">
        <f aca="false">DEC2HEX(C704,4)</f>
        <v>3073</v>
      </c>
      <c r="E704" s="10" t="str">
        <f aca="false">_xlfn.UNICHAR(C704)</f>
        <v>び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861</v>
      </c>
      <c r="B705" s="8" t="n">
        <v>3074</v>
      </c>
      <c r="C705" s="7" t="n">
        <f aca="false">HEX2DEC(B705)</f>
        <v>12404</v>
      </c>
      <c r="D705" s="9" t="str">
        <f aca="false">DEC2HEX(C705,4)</f>
        <v>3074</v>
      </c>
      <c r="E705" s="10" t="str">
        <f aca="false">_xlfn.UNICHAR(C705)</f>
        <v>ぴ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862</v>
      </c>
      <c r="B706" s="8" t="n">
        <v>3075</v>
      </c>
      <c r="C706" s="7" t="n">
        <f aca="false">HEX2DEC(B706)</f>
        <v>12405</v>
      </c>
      <c r="D706" s="9" t="str">
        <f aca="false">DEC2HEX(C706,4)</f>
        <v>3075</v>
      </c>
      <c r="E706" s="10" t="str">
        <f aca="false">_xlfn.UNICHAR(C706)</f>
        <v>ふ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863</v>
      </c>
      <c r="B707" s="8" t="n">
        <v>3076</v>
      </c>
      <c r="C707" s="7" t="n">
        <f aca="false">HEX2DEC(B707)</f>
        <v>12406</v>
      </c>
      <c r="D707" s="9" t="str">
        <f aca="false">DEC2HEX(C707,4)</f>
        <v>3076</v>
      </c>
      <c r="E707" s="10" t="str">
        <f aca="false">_xlfn.UNICHAR(C707)</f>
        <v>ぶ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864</v>
      </c>
      <c r="B708" s="8" t="n">
        <v>3077</v>
      </c>
      <c r="C708" s="7" t="n">
        <f aca="false">HEX2DEC(B708)</f>
        <v>12407</v>
      </c>
      <c r="D708" s="9" t="str">
        <f aca="false">DEC2HEX(C708,4)</f>
        <v>3077</v>
      </c>
      <c r="E708" s="10" t="str">
        <f aca="false">_xlfn.UNICHAR(C708)</f>
        <v>ぷ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865</v>
      </c>
      <c r="B709" s="8" t="n">
        <v>3078</v>
      </c>
      <c r="C709" s="7" t="n">
        <f aca="false">HEX2DEC(B709)</f>
        <v>12408</v>
      </c>
      <c r="D709" s="9" t="str">
        <f aca="false">DEC2HEX(C709,4)</f>
        <v>3078</v>
      </c>
      <c r="E709" s="10" t="str">
        <f aca="false">_xlfn.UNICHAR(C709)</f>
        <v>へ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866</v>
      </c>
      <c r="B710" s="8" t="n">
        <v>3079</v>
      </c>
      <c r="C710" s="7" t="n">
        <f aca="false">HEX2DEC(B710)</f>
        <v>12409</v>
      </c>
      <c r="D710" s="9" t="str">
        <f aca="false">DEC2HEX(C710,4)</f>
        <v>3079</v>
      </c>
      <c r="E710" s="10" t="str">
        <f aca="false">_xlfn.UNICHAR(C710)</f>
        <v>べ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867</v>
      </c>
      <c r="B711" s="8" t="s">
        <v>868</v>
      </c>
      <c r="C711" s="7" t="n">
        <f aca="false">HEX2DEC(B711)</f>
        <v>12410</v>
      </c>
      <c r="D711" s="9" t="str">
        <f aca="false">DEC2HEX(C711,4)</f>
        <v>307A</v>
      </c>
      <c r="E711" s="10" t="str">
        <f aca="false">_xlfn.UNICHAR(C711)</f>
        <v>ぺ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869</v>
      </c>
      <c r="B712" s="8" t="s">
        <v>870</v>
      </c>
      <c r="C712" s="7" t="n">
        <f aca="false">HEX2DEC(B712)</f>
        <v>12411</v>
      </c>
      <c r="D712" s="9" t="str">
        <f aca="false">DEC2HEX(C712,4)</f>
        <v>307B</v>
      </c>
      <c r="E712" s="10" t="str">
        <f aca="false">_xlfn.UNICHAR(C712)</f>
        <v>ほ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871</v>
      </c>
      <c r="B713" s="8" t="s">
        <v>872</v>
      </c>
      <c r="C713" s="7" t="n">
        <f aca="false">HEX2DEC(B713)</f>
        <v>12412</v>
      </c>
      <c r="D713" s="9" t="str">
        <f aca="false">DEC2HEX(C713,4)</f>
        <v>307C</v>
      </c>
      <c r="E713" s="10" t="str">
        <f aca="false">_xlfn.UNICHAR(C713)</f>
        <v>ぼ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873</v>
      </c>
      <c r="B714" s="8" t="s">
        <v>874</v>
      </c>
      <c r="C714" s="7" t="n">
        <f aca="false">HEX2DEC(B714)</f>
        <v>12413</v>
      </c>
      <c r="D714" s="9" t="str">
        <f aca="false">DEC2HEX(C714,4)</f>
        <v>307D</v>
      </c>
      <c r="E714" s="10" t="str">
        <f aca="false">_xlfn.UNICHAR(C714)</f>
        <v>ぽ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875</v>
      </c>
      <c r="B715" s="8" t="s">
        <v>876</v>
      </c>
      <c r="C715" s="7" t="n">
        <f aca="false">HEX2DEC(B715)</f>
        <v>12414</v>
      </c>
      <c r="D715" s="9" t="str">
        <f aca="false">DEC2HEX(C715,4)</f>
        <v>307E</v>
      </c>
      <c r="E715" s="10" t="str">
        <f aca="false">_xlfn.UNICHAR(C715)</f>
        <v>ま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877</v>
      </c>
      <c r="B716" s="8" t="s">
        <v>878</v>
      </c>
      <c r="C716" s="7" t="n">
        <f aca="false">HEX2DEC(B716)</f>
        <v>12415</v>
      </c>
      <c r="D716" s="9" t="str">
        <f aca="false">DEC2HEX(C716,4)</f>
        <v>307F</v>
      </c>
      <c r="E716" s="10" t="str">
        <f aca="false">_xlfn.UNICHAR(C716)</f>
        <v>み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879</v>
      </c>
      <c r="B717" s="8" t="n">
        <v>3080</v>
      </c>
      <c r="C717" s="7" t="n">
        <f aca="false">HEX2DEC(B717)</f>
        <v>12416</v>
      </c>
      <c r="D717" s="9" t="str">
        <f aca="false">DEC2HEX(C717,4)</f>
        <v>3080</v>
      </c>
      <c r="E717" s="10" t="str">
        <f aca="false">_xlfn.UNICHAR(C717)</f>
        <v>む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880</v>
      </c>
      <c r="B718" s="8" t="n">
        <v>3081</v>
      </c>
      <c r="C718" s="7" t="n">
        <f aca="false">HEX2DEC(B718)</f>
        <v>12417</v>
      </c>
      <c r="D718" s="9" t="str">
        <f aca="false">DEC2HEX(C718,4)</f>
        <v>3081</v>
      </c>
      <c r="E718" s="10" t="str">
        <f aca="false">_xlfn.UNICHAR(C718)</f>
        <v>め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881</v>
      </c>
      <c r="B719" s="8" t="n">
        <v>3082</v>
      </c>
      <c r="C719" s="7" t="n">
        <f aca="false">HEX2DEC(B719)</f>
        <v>12418</v>
      </c>
      <c r="D719" s="9" t="str">
        <f aca="false">DEC2HEX(C719,4)</f>
        <v>3082</v>
      </c>
      <c r="E719" s="10" t="str">
        <f aca="false">_xlfn.UNICHAR(C719)</f>
        <v>も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882</v>
      </c>
      <c r="B720" s="8" t="n">
        <v>3083</v>
      </c>
      <c r="C720" s="7" t="n">
        <f aca="false">HEX2DEC(B720)</f>
        <v>12419</v>
      </c>
      <c r="D720" s="9" t="str">
        <f aca="false">DEC2HEX(C720,4)</f>
        <v>3083</v>
      </c>
      <c r="E720" s="10" t="str">
        <f aca="false">_xlfn.UNICHAR(C720)</f>
        <v>ゃ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883</v>
      </c>
      <c r="B721" s="8" t="n">
        <v>3084</v>
      </c>
      <c r="C721" s="7" t="n">
        <f aca="false">HEX2DEC(B721)</f>
        <v>12420</v>
      </c>
      <c r="D721" s="9" t="str">
        <f aca="false">DEC2HEX(C721,4)</f>
        <v>3084</v>
      </c>
      <c r="E721" s="10" t="str">
        <f aca="false">_xlfn.UNICHAR(C721)</f>
        <v>や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884</v>
      </c>
      <c r="B722" s="8" t="n">
        <v>3085</v>
      </c>
      <c r="C722" s="7" t="n">
        <f aca="false">HEX2DEC(B722)</f>
        <v>12421</v>
      </c>
      <c r="D722" s="9" t="str">
        <f aca="false">DEC2HEX(C722,4)</f>
        <v>3085</v>
      </c>
      <c r="E722" s="10" t="str">
        <f aca="false">_xlfn.UNICHAR(C722)</f>
        <v>ゅ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885</v>
      </c>
      <c r="B723" s="8" t="n">
        <v>3086</v>
      </c>
      <c r="C723" s="7" t="n">
        <f aca="false">HEX2DEC(B723)</f>
        <v>12422</v>
      </c>
      <c r="D723" s="9" t="str">
        <f aca="false">DEC2HEX(C723,4)</f>
        <v>3086</v>
      </c>
      <c r="E723" s="10" t="str">
        <f aca="false">_xlfn.UNICHAR(C723)</f>
        <v>ゆ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886</v>
      </c>
      <c r="B724" s="8" t="n">
        <v>3087</v>
      </c>
      <c r="C724" s="7" t="n">
        <f aca="false">HEX2DEC(B724)</f>
        <v>12423</v>
      </c>
      <c r="D724" s="9" t="str">
        <f aca="false">DEC2HEX(C724,4)</f>
        <v>3087</v>
      </c>
      <c r="E724" s="10" t="str">
        <f aca="false">_xlfn.UNICHAR(C724)</f>
        <v>ょ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887</v>
      </c>
      <c r="B725" s="8" t="n">
        <v>3088</v>
      </c>
      <c r="C725" s="7" t="n">
        <f aca="false">HEX2DEC(B725)</f>
        <v>12424</v>
      </c>
      <c r="D725" s="9" t="str">
        <f aca="false">DEC2HEX(C725,4)</f>
        <v>3088</v>
      </c>
      <c r="E725" s="10" t="str">
        <f aca="false">_xlfn.UNICHAR(C725)</f>
        <v>よ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888</v>
      </c>
      <c r="B726" s="8" t="n">
        <v>3089</v>
      </c>
      <c r="C726" s="7" t="n">
        <f aca="false">HEX2DEC(B726)</f>
        <v>12425</v>
      </c>
      <c r="D726" s="9" t="str">
        <f aca="false">DEC2HEX(C726,4)</f>
        <v>3089</v>
      </c>
      <c r="E726" s="10" t="str">
        <f aca="false">_xlfn.UNICHAR(C726)</f>
        <v>ら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889</v>
      </c>
      <c r="B727" s="8" t="s">
        <v>890</v>
      </c>
      <c r="C727" s="7" t="n">
        <f aca="false">HEX2DEC(B727)</f>
        <v>12426</v>
      </c>
      <c r="D727" s="9" t="str">
        <f aca="false">DEC2HEX(C727,4)</f>
        <v>308A</v>
      </c>
      <c r="E727" s="10" t="str">
        <f aca="false">_xlfn.UNICHAR(C727)</f>
        <v>り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891</v>
      </c>
      <c r="B728" s="8" t="s">
        <v>892</v>
      </c>
      <c r="C728" s="7" t="n">
        <f aca="false">HEX2DEC(B728)</f>
        <v>12427</v>
      </c>
      <c r="D728" s="9" t="str">
        <f aca="false">DEC2HEX(C728,4)</f>
        <v>308B</v>
      </c>
      <c r="E728" s="10" t="str">
        <f aca="false">_xlfn.UNICHAR(C728)</f>
        <v>る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893</v>
      </c>
      <c r="B729" s="8" t="s">
        <v>894</v>
      </c>
      <c r="C729" s="7" t="n">
        <f aca="false">HEX2DEC(B729)</f>
        <v>12428</v>
      </c>
      <c r="D729" s="9" t="str">
        <f aca="false">DEC2HEX(C729,4)</f>
        <v>308C</v>
      </c>
      <c r="E729" s="10" t="str">
        <f aca="false">_xlfn.UNICHAR(C729)</f>
        <v>れ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895</v>
      </c>
      <c r="B730" s="8" t="s">
        <v>896</v>
      </c>
      <c r="C730" s="7" t="n">
        <f aca="false">HEX2DEC(B730)</f>
        <v>12429</v>
      </c>
      <c r="D730" s="9" t="str">
        <f aca="false">DEC2HEX(C730,4)</f>
        <v>308D</v>
      </c>
      <c r="E730" s="10" t="str">
        <f aca="false">_xlfn.UNICHAR(C730)</f>
        <v>ろ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897</v>
      </c>
      <c r="B731" s="8" t="s">
        <v>898</v>
      </c>
      <c r="C731" s="7" t="n">
        <f aca="false">HEX2DEC(B731)</f>
        <v>12430</v>
      </c>
      <c r="D731" s="9" t="str">
        <f aca="false">DEC2HEX(C731,4)</f>
        <v>308E</v>
      </c>
      <c r="E731" s="10" t="str">
        <f aca="false">_xlfn.UNICHAR(C731)</f>
        <v>ゎ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899</v>
      </c>
      <c r="B732" s="8" t="s">
        <v>900</v>
      </c>
      <c r="C732" s="7" t="n">
        <f aca="false">HEX2DEC(B732)</f>
        <v>12431</v>
      </c>
      <c r="D732" s="9" t="str">
        <f aca="false">DEC2HEX(C732,4)</f>
        <v>308F</v>
      </c>
      <c r="E732" s="10" t="str">
        <f aca="false">_xlfn.UNICHAR(C732)</f>
        <v>わ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901</v>
      </c>
      <c r="B733" s="8" t="n">
        <v>3090</v>
      </c>
      <c r="C733" s="7" t="n">
        <f aca="false">HEX2DEC(B733)</f>
        <v>12432</v>
      </c>
      <c r="D733" s="9" t="str">
        <f aca="false">DEC2HEX(C733,4)</f>
        <v>3090</v>
      </c>
      <c r="E733" s="10" t="str">
        <f aca="false">_xlfn.UNICHAR(C733)</f>
        <v>ゐ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902</v>
      </c>
      <c r="B734" s="8" t="n">
        <v>3091</v>
      </c>
      <c r="C734" s="7" t="n">
        <f aca="false">HEX2DEC(B734)</f>
        <v>12433</v>
      </c>
      <c r="D734" s="9" t="str">
        <f aca="false">DEC2HEX(C734,4)</f>
        <v>3091</v>
      </c>
      <c r="E734" s="10" t="str">
        <f aca="false">_xlfn.UNICHAR(C734)</f>
        <v>ゑ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903</v>
      </c>
      <c r="B735" s="8" t="n">
        <v>3092</v>
      </c>
      <c r="C735" s="7" t="n">
        <f aca="false">HEX2DEC(B735)</f>
        <v>12434</v>
      </c>
      <c r="D735" s="9" t="str">
        <f aca="false">DEC2HEX(C735,4)</f>
        <v>3092</v>
      </c>
      <c r="E735" s="10" t="str">
        <f aca="false">_xlfn.UNICHAR(C735)</f>
        <v>を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904</v>
      </c>
      <c r="B736" s="8" t="n">
        <v>3093</v>
      </c>
      <c r="C736" s="7" t="n">
        <f aca="false">HEX2DEC(B736)</f>
        <v>12435</v>
      </c>
      <c r="D736" s="9" t="str">
        <f aca="false">DEC2HEX(C736,4)</f>
        <v>3093</v>
      </c>
      <c r="E736" s="10" t="str">
        <f aca="false">_xlfn.UNICHAR(C736)</f>
        <v>ん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905</v>
      </c>
      <c r="B737" s="8" t="n">
        <v>3094</v>
      </c>
      <c r="C737" s="7" t="n">
        <f aca="false">HEX2DEC(B737)</f>
        <v>12436</v>
      </c>
      <c r="D737" s="9" t="str">
        <f aca="false">DEC2HEX(C737,4)</f>
        <v>3094</v>
      </c>
      <c r="E737" s="10" t="str">
        <f aca="false">_xlfn.UNICHAR(C737)</f>
        <v>ゔ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906</v>
      </c>
      <c r="B738" s="8" t="n">
        <v>3095</v>
      </c>
      <c r="C738" s="7" t="n">
        <f aca="false">HEX2DEC(B738)</f>
        <v>12437</v>
      </c>
      <c r="D738" s="9" t="str">
        <f aca="false">DEC2HEX(C738,4)</f>
        <v>3095</v>
      </c>
      <c r="E738" s="10" t="str">
        <f aca="false">_xlfn.UNICHAR(C738)</f>
        <v>ゕ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907</v>
      </c>
      <c r="B739" s="8" t="n">
        <v>3096</v>
      </c>
      <c r="C739" s="7" t="n">
        <f aca="false">HEX2DEC(B739)</f>
        <v>12438</v>
      </c>
      <c r="D739" s="9" t="str">
        <f aca="false">DEC2HEX(C739,4)</f>
        <v>3096</v>
      </c>
      <c r="E739" s="10" t="str">
        <f aca="false">_xlfn.UNICHAR(C739)</f>
        <v>ゖ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908</v>
      </c>
      <c r="B740" s="8" t="n">
        <v>3099</v>
      </c>
      <c r="C740" s="7" t="n">
        <f aca="false">HEX2DEC(B740)</f>
        <v>12441</v>
      </c>
      <c r="D740" s="9" t="str">
        <f aca="false">DEC2HEX(C740,4)</f>
        <v>3099</v>
      </c>
      <c r="E740" s="10" t="str">
        <f aca="false">_xlfn.UNICHAR(C740)</f>
        <v>゙</v>
      </c>
      <c r="F740" s="7" t="n">
        <f aca="false">C740-C739</f>
        <v>3</v>
      </c>
    </row>
    <row r="741" customFormat="false" ht="15" hidden="false" customHeight="false" outlineLevel="0" collapsed="false">
      <c r="A741" s="7" t="s">
        <v>909</v>
      </c>
      <c r="B741" s="8" t="s">
        <v>910</v>
      </c>
      <c r="C741" s="7" t="n">
        <f aca="false">HEX2DEC(B741)</f>
        <v>12442</v>
      </c>
      <c r="D741" s="9" t="str">
        <f aca="false">DEC2HEX(C741,4)</f>
        <v>309A</v>
      </c>
      <c r="E741" s="10" t="str">
        <f aca="false">_xlfn.UNICHAR(C741)</f>
        <v>゚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911</v>
      </c>
      <c r="B742" s="8" t="s">
        <v>912</v>
      </c>
      <c r="C742" s="7" t="n">
        <f aca="false">HEX2DEC(B742)</f>
        <v>12443</v>
      </c>
      <c r="D742" s="9" t="str">
        <f aca="false">DEC2HEX(C742,4)</f>
        <v>309B</v>
      </c>
      <c r="E742" s="10" t="str">
        <f aca="false">_xlfn.UNICHAR(C742)</f>
        <v>゛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913</v>
      </c>
      <c r="B743" s="8" t="s">
        <v>914</v>
      </c>
      <c r="C743" s="7" t="n">
        <f aca="false">HEX2DEC(B743)</f>
        <v>12444</v>
      </c>
      <c r="D743" s="9" t="str">
        <f aca="false">DEC2HEX(C743,4)</f>
        <v>309C</v>
      </c>
      <c r="E743" s="10" t="str">
        <f aca="false">_xlfn.UNICHAR(C743)</f>
        <v>゜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915</v>
      </c>
      <c r="B744" s="8" t="s">
        <v>916</v>
      </c>
      <c r="C744" s="7" t="n">
        <f aca="false">HEX2DEC(B744)</f>
        <v>12445</v>
      </c>
      <c r="D744" s="9" t="str">
        <f aca="false">DEC2HEX(C744,4)</f>
        <v>309D</v>
      </c>
      <c r="E744" s="10" t="str">
        <f aca="false">_xlfn.UNICHAR(C744)</f>
        <v>ゝ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917</v>
      </c>
      <c r="B745" s="8" t="s">
        <v>918</v>
      </c>
      <c r="C745" s="7" t="n">
        <f aca="false">HEX2DEC(B745)</f>
        <v>12446</v>
      </c>
      <c r="D745" s="9" t="str">
        <f aca="false">DEC2HEX(C745,4)</f>
        <v>309E</v>
      </c>
      <c r="E745" s="10" t="str">
        <f aca="false">_xlfn.UNICHAR(C745)</f>
        <v>ゞ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919</v>
      </c>
      <c r="B746" s="8" t="s">
        <v>920</v>
      </c>
      <c r="C746" s="7" t="n">
        <f aca="false">HEX2DEC(B746)</f>
        <v>12447</v>
      </c>
      <c r="D746" s="9" t="str">
        <f aca="false">DEC2HEX(C746,4)</f>
        <v>309F</v>
      </c>
      <c r="E746" s="10" t="str">
        <f aca="false">_xlfn.UNICHAR(C746)</f>
        <v>ゟ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921</v>
      </c>
      <c r="B747" s="8" t="s">
        <v>922</v>
      </c>
      <c r="C747" s="7" t="n">
        <f aca="false">HEX2DEC(B747)</f>
        <v>12539</v>
      </c>
      <c r="D747" s="9" t="str">
        <f aca="false">DEC2HEX(C747,4)</f>
        <v>30FB</v>
      </c>
      <c r="E747" s="10" t="str">
        <f aca="false">_xlfn.UNICHAR(C747)</f>
        <v>・</v>
      </c>
      <c r="F747" s="7" t="n">
        <f aca="false">C747-C746</f>
        <v>92</v>
      </c>
    </row>
    <row r="748" customFormat="false" ht="15" hidden="false" customHeight="false" outlineLevel="0" collapsed="false">
      <c r="A748" s="7" t="s">
        <v>923</v>
      </c>
      <c r="B748" s="8" t="s">
        <v>924</v>
      </c>
      <c r="C748" s="7" t="n">
        <f aca="false">HEX2DEC(B748)</f>
        <v>12540</v>
      </c>
      <c r="D748" s="9" t="str">
        <f aca="false">DEC2HEX(C748,4)</f>
        <v>30FC</v>
      </c>
      <c r="E748" s="10" t="str">
        <f aca="false">_xlfn.UNICHAR(C748)</f>
        <v>ー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925</v>
      </c>
      <c r="B749" s="8" t="s">
        <v>926</v>
      </c>
      <c r="C749" s="7" t="n">
        <f aca="false">HEX2DEC(B749)</f>
        <v>58112</v>
      </c>
      <c r="D749" s="9" t="str">
        <f aca="false">DEC2HEX(C749,4)</f>
        <v>E300</v>
      </c>
      <c r="E749" s="10" t="str">
        <f aca="false">_xlfn.UNICHAR(C749)</f>
        <v></v>
      </c>
      <c r="F749" s="7" t="n">
        <f aca="false">C749-C748</f>
        <v>45572</v>
      </c>
      <c r="G749" s="16" t="s">
        <v>927</v>
      </c>
    </row>
    <row r="750" customFormat="false" ht="15" hidden="false" customHeight="false" outlineLevel="0" collapsed="false">
      <c r="A750" s="7" t="s">
        <v>928</v>
      </c>
      <c r="B750" s="8" t="s">
        <v>929</v>
      </c>
      <c r="C750" s="7" t="n">
        <f aca="false">HEX2DEC(B750)</f>
        <v>58128</v>
      </c>
      <c r="D750" s="9" t="str">
        <f aca="false">DEC2HEX(C750,4)</f>
        <v>E310</v>
      </c>
      <c r="E750" s="10" t="str">
        <f aca="false">_xlfn.UNICHAR(C750)</f>
        <v></v>
      </c>
      <c r="F750" s="7" t="n">
        <f aca="false">C750-C749</f>
        <v>16</v>
      </c>
      <c r="G750" s="16"/>
    </row>
    <row r="751" customFormat="false" ht="15" hidden="false" customHeight="false" outlineLevel="0" collapsed="false">
      <c r="A751" s="7" t="s">
        <v>930</v>
      </c>
      <c r="B751" s="8" t="s">
        <v>931</v>
      </c>
      <c r="C751" s="7" t="n">
        <f aca="false">HEX2DEC(B751)</f>
        <v>58129</v>
      </c>
      <c r="D751" s="9" t="str">
        <f aca="false">DEC2HEX(C751,4)</f>
        <v>E311</v>
      </c>
      <c r="E751" s="10" t="str">
        <f aca="false">_xlfn.UNICHAR(C751)</f>
        <v></v>
      </c>
      <c r="F751" s="7" t="n">
        <f aca="false">C751-C750</f>
        <v>1</v>
      </c>
      <c r="G751" s="16"/>
    </row>
    <row r="752" customFormat="false" ht="15" hidden="false" customHeight="false" outlineLevel="0" collapsed="false">
      <c r="A752" s="7" t="s">
        <v>932</v>
      </c>
      <c r="B752" s="8" t="s">
        <v>933</v>
      </c>
      <c r="C752" s="7" t="n">
        <f aca="false">HEX2DEC(B752)</f>
        <v>58133</v>
      </c>
      <c r="D752" s="9" t="str">
        <f aca="false">DEC2HEX(C752,4)</f>
        <v>E315</v>
      </c>
      <c r="E752" s="10" t="str">
        <f aca="false">_xlfn.UNICHAR(C752)</f>
        <v></v>
      </c>
      <c r="F752" s="7" t="n">
        <f aca="false">C752-C751</f>
        <v>4</v>
      </c>
      <c r="G752" s="16"/>
    </row>
    <row r="753" customFormat="false" ht="15" hidden="false" customHeight="false" outlineLevel="0" collapsed="false">
      <c r="A753" s="7" t="s">
        <v>934</v>
      </c>
      <c r="B753" s="8" t="s">
        <v>935</v>
      </c>
      <c r="C753" s="7" t="n">
        <f aca="false">HEX2DEC(B753)</f>
        <v>58134</v>
      </c>
      <c r="D753" s="9" t="str">
        <f aca="false">DEC2HEX(C753,4)</f>
        <v>E316</v>
      </c>
      <c r="E753" s="10" t="str">
        <f aca="false">_xlfn.UNICHAR(C753)</f>
        <v></v>
      </c>
      <c r="F753" s="7" t="n">
        <f aca="false">C753-C752</f>
        <v>1</v>
      </c>
      <c r="G753" s="16"/>
    </row>
    <row r="754" customFormat="false" ht="15" hidden="false" customHeight="false" outlineLevel="0" collapsed="false">
      <c r="A754" s="7" t="s">
        <v>936</v>
      </c>
      <c r="B754" s="8" t="s">
        <v>937</v>
      </c>
      <c r="C754" s="7" t="n">
        <f aca="false">HEX2DEC(B754)</f>
        <v>58135</v>
      </c>
      <c r="D754" s="9" t="str">
        <f aca="false">DEC2HEX(C754,4)</f>
        <v>E317</v>
      </c>
      <c r="E754" s="10" t="str">
        <f aca="false">_xlfn.UNICHAR(C754)</f>
        <v></v>
      </c>
      <c r="F754" s="7" t="n">
        <f aca="false">C754-C753</f>
        <v>1</v>
      </c>
      <c r="G754" s="16"/>
    </row>
    <row r="755" customFormat="false" ht="15" hidden="false" customHeight="false" outlineLevel="0" collapsed="false">
      <c r="A755" s="7" t="s">
        <v>938</v>
      </c>
      <c r="B755" s="8" t="s">
        <v>939</v>
      </c>
      <c r="C755" s="7" t="n">
        <f aca="false">HEX2DEC(B755)</f>
        <v>58136</v>
      </c>
      <c r="D755" s="9" t="str">
        <f aca="false">DEC2HEX(C755,4)</f>
        <v>E318</v>
      </c>
      <c r="E755" s="10" t="str">
        <f aca="false">_xlfn.UNICHAR(C755)</f>
        <v></v>
      </c>
      <c r="F755" s="7" t="n">
        <f aca="false">C755-C754</f>
        <v>1</v>
      </c>
      <c r="G755" s="16"/>
    </row>
    <row r="756" customFormat="false" ht="15" hidden="false" customHeight="false" outlineLevel="0" collapsed="false">
      <c r="A756" s="7" t="s">
        <v>940</v>
      </c>
      <c r="B756" s="8" t="s">
        <v>941</v>
      </c>
      <c r="C756" s="7" t="n">
        <f aca="false">HEX2DEC(B756)</f>
        <v>58336</v>
      </c>
      <c r="D756" s="9" t="str">
        <f aca="false">DEC2HEX(C756,4)</f>
        <v>E3E0</v>
      </c>
      <c r="E756" s="10" t="str">
        <f aca="false">_xlfn.UNICHAR(C756)</f>
        <v></v>
      </c>
      <c r="F756" s="7" t="n">
        <f aca="false">C756-C755</f>
        <v>200</v>
      </c>
      <c r="G756" s="16"/>
    </row>
    <row r="757" customFormat="false" ht="15" hidden="false" customHeight="false" outlineLevel="0" collapsed="false">
      <c r="A757" s="7" t="s">
        <v>942</v>
      </c>
      <c r="B757" s="8" t="s">
        <v>943</v>
      </c>
      <c r="C757" s="7" t="n">
        <f aca="false">HEX2DEC(B757)</f>
        <v>58384</v>
      </c>
      <c r="D757" s="9" t="str">
        <f aca="false">DEC2HEX(C757,4)</f>
        <v>E410</v>
      </c>
      <c r="E757" s="10" t="str">
        <f aca="false">_xlfn.UNICHAR(C757)</f>
        <v></v>
      </c>
      <c r="F757" s="7" t="n">
        <f aca="false">C757-C756</f>
        <v>48</v>
      </c>
      <c r="G757" s="16"/>
    </row>
    <row r="758" customFormat="false" ht="15" hidden="false" customHeight="false" outlineLevel="0" collapsed="false">
      <c r="A758" s="7" t="s">
        <v>944</v>
      </c>
      <c r="B758" s="8" t="s">
        <v>945</v>
      </c>
      <c r="C758" s="7" t="n">
        <f aca="false">HEX2DEC(B758)</f>
        <v>58529</v>
      </c>
      <c r="D758" s="9" t="str">
        <f aca="false">DEC2HEX(C758,4)</f>
        <v>E4A1</v>
      </c>
      <c r="E758" s="10" t="str">
        <f aca="false">_xlfn.UNICHAR(C758)</f>
        <v></v>
      </c>
      <c r="F758" s="7" t="n">
        <f aca="false">C758-C757</f>
        <v>145</v>
      </c>
      <c r="G758" s="16"/>
    </row>
    <row r="759" customFormat="false" ht="15" hidden="false" customHeight="false" outlineLevel="0" collapsed="false">
      <c r="A759" s="7" t="s">
        <v>946</v>
      </c>
      <c r="B759" s="8" t="s">
        <v>947</v>
      </c>
      <c r="C759" s="7" t="n">
        <f aca="false">HEX2DEC(B759)</f>
        <v>58539</v>
      </c>
      <c r="D759" s="9" t="str">
        <f aca="false">DEC2HEX(C759,4)</f>
        <v>E4AB</v>
      </c>
      <c r="E759" s="10" t="str">
        <f aca="false">_xlfn.UNICHAR(C759)</f>
        <v></v>
      </c>
      <c r="F759" s="7" t="n">
        <f aca="false">C759-C758</f>
        <v>10</v>
      </c>
      <c r="G759" s="16"/>
    </row>
    <row r="760" customFormat="false" ht="15" hidden="false" customHeight="false" outlineLevel="0" collapsed="false">
      <c r="A760" s="7" t="s">
        <v>948</v>
      </c>
      <c r="B760" s="11" t="s">
        <v>949</v>
      </c>
      <c r="C760" s="7" t="n">
        <f aca="false">HEX2DEC(B760)</f>
        <v>58562</v>
      </c>
      <c r="D760" s="9" t="str">
        <f aca="false">DEC2HEX(C760,4)</f>
        <v>E4C2</v>
      </c>
      <c r="E760" s="10" t="str">
        <f aca="false">_xlfn.UNICHAR(C760)</f>
        <v></v>
      </c>
      <c r="F760" s="7" t="n">
        <f aca="false">C760-C759</f>
        <v>23</v>
      </c>
      <c r="G760" s="16"/>
    </row>
    <row r="761" customFormat="false" ht="15" hidden="false" customHeight="false" outlineLevel="0" collapsed="false">
      <c r="A761" s="7" t="s">
        <v>950</v>
      </c>
      <c r="B761" s="11" t="s">
        <v>951</v>
      </c>
      <c r="C761" s="7" t="n">
        <f aca="false">HEX2DEC(B761)</f>
        <v>58571</v>
      </c>
      <c r="D761" s="9" t="str">
        <f aca="false">DEC2HEX(C761,4)</f>
        <v>E4CB</v>
      </c>
      <c r="E761" s="10" t="str">
        <f aca="false">_xlfn.UNICHAR(C761)</f>
        <v></v>
      </c>
      <c r="F761" s="7" t="n">
        <f aca="false">C761-C760</f>
        <v>9</v>
      </c>
      <c r="G761" s="16"/>
    </row>
    <row r="762" customFormat="false" ht="15" hidden="false" customHeight="false" outlineLevel="0" collapsed="false">
      <c r="A762" s="7" t="s">
        <v>952</v>
      </c>
      <c r="B762" s="8" t="s">
        <v>953</v>
      </c>
      <c r="C762" s="7" t="n">
        <f aca="false">HEX2DEC(B762)</f>
        <v>58589</v>
      </c>
      <c r="D762" s="9" t="str">
        <f aca="false">DEC2HEX(C762,4)</f>
        <v>E4DD</v>
      </c>
      <c r="E762" s="10" t="str">
        <f aca="false">_xlfn.UNICHAR(C762)</f>
        <v></v>
      </c>
      <c r="F762" s="7" t="n">
        <f aca="false">C762-C761</f>
        <v>18</v>
      </c>
      <c r="G762" s="16"/>
    </row>
    <row r="763" customFormat="false" ht="15" hidden="false" customHeight="false" outlineLevel="0" collapsed="false">
      <c r="A763" s="7" t="s">
        <v>954</v>
      </c>
      <c r="B763" s="11" t="s">
        <v>955</v>
      </c>
      <c r="C763" s="7" t="n">
        <f aca="false">HEX2DEC(B763)</f>
        <v>58638</v>
      </c>
      <c r="D763" s="9" t="str">
        <f aca="false">DEC2HEX(C763,4)</f>
        <v>E50E</v>
      </c>
      <c r="E763" s="10" t="str">
        <f aca="false">_xlfn.UNICHAR(C763)</f>
        <v></v>
      </c>
      <c r="F763" s="7" t="n">
        <f aca="false">C763-C762</f>
        <v>49</v>
      </c>
      <c r="G763" s="16"/>
    </row>
    <row r="764" customFormat="false" ht="15" hidden="false" customHeight="false" outlineLevel="0" collapsed="false">
      <c r="A764" s="7" t="s">
        <v>956</v>
      </c>
      <c r="B764" s="8" t="s">
        <v>957</v>
      </c>
      <c r="C764" s="7" t="n">
        <f aca="false">HEX2DEC(B764)</f>
        <v>58642</v>
      </c>
      <c r="D764" s="9" t="str">
        <f aca="false">DEC2HEX(C764,4)</f>
        <v>E512</v>
      </c>
      <c r="E764" s="10" t="str">
        <f aca="false">_xlfn.UNICHAR(C764)</f>
        <v></v>
      </c>
      <c r="F764" s="7" t="n">
        <f aca="false">C764-C763</f>
        <v>4</v>
      </c>
      <c r="G764" s="16"/>
    </row>
    <row r="765" customFormat="false" ht="15" hidden="false" customHeight="false" outlineLevel="0" collapsed="false">
      <c r="A765" s="7" t="s">
        <v>958</v>
      </c>
      <c r="B765" s="8" t="s">
        <v>959</v>
      </c>
      <c r="C765" s="7" t="n">
        <f aca="false">HEX2DEC(B765)</f>
        <v>58663</v>
      </c>
      <c r="D765" s="9" t="str">
        <f aca="false">DEC2HEX(C765,4)</f>
        <v>E527</v>
      </c>
      <c r="E765" s="10" t="str">
        <f aca="false">_xlfn.UNICHAR(C765)</f>
        <v></v>
      </c>
      <c r="F765" s="7" t="n">
        <f aca="false">C765-C764</f>
        <v>21</v>
      </c>
      <c r="G765" s="16"/>
    </row>
    <row r="766" customFormat="false" ht="15" hidden="false" customHeight="false" outlineLevel="0" collapsed="false">
      <c r="A766" s="7" t="s">
        <v>960</v>
      </c>
      <c r="B766" s="11" t="s">
        <v>961</v>
      </c>
      <c r="C766" s="7" t="n">
        <f aca="false">HEX2DEC(B766)</f>
        <v>58728</v>
      </c>
      <c r="D766" s="9" t="str">
        <f aca="false">DEC2HEX(C766,4)</f>
        <v>E568</v>
      </c>
      <c r="E766" s="10" t="str">
        <f aca="false">_xlfn.UNICHAR(C766)</f>
        <v></v>
      </c>
      <c r="F766" s="7" t="n">
        <f aca="false">C766-C765</f>
        <v>65</v>
      </c>
      <c r="G766" s="16"/>
    </row>
    <row r="767" customFormat="false" ht="15" hidden="false" customHeight="false" outlineLevel="0" collapsed="false">
      <c r="A767" s="7" t="s">
        <v>962</v>
      </c>
      <c r="B767" s="8" t="s">
        <v>963</v>
      </c>
      <c r="C767" s="7" t="n">
        <f aca="false">HEX2DEC(B767)</f>
        <v>58729</v>
      </c>
      <c r="D767" s="9" t="str">
        <f aca="false">DEC2HEX(C767,4)</f>
        <v>E569</v>
      </c>
      <c r="E767" s="10" t="str">
        <f aca="false">_xlfn.UNICHAR(C767)</f>
        <v></v>
      </c>
      <c r="F767" s="7" t="n">
        <f aca="false">C767-C766</f>
        <v>1</v>
      </c>
      <c r="G767" s="16"/>
    </row>
    <row r="768" customFormat="false" ht="15" hidden="false" customHeight="false" outlineLevel="0" collapsed="false">
      <c r="A768" s="7" t="s">
        <v>964</v>
      </c>
      <c r="B768" s="8" t="s">
        <v>965</v>
      </c>
      <c r="C768" s="7" t="n">
        <f aca="false">HEX2DEC(B768)</f>
        <v>58730</v>
      </c>
      <c r="D768" s="9" t="str">
        <f aca="false">DEC2HEX(C768,4)</f>
        <v>E56A</v>
      </c>
      <c r="E768" s="10" t="str">
        <f aca="false">_xlfn.UNICHAR(C768)</f>
        <v></v>
      </c>
      <c r="F768" s="7" t="n">
        <f aca="false">C768-C767</f>
        <v>1</v>
      </c>
      <c r="G768" s="16"/>
    </row>
    <row r="769" customFormat="false" ht="15" hidden="false" customHeight="false" outlineLevel="0" collapsed="false">
      <c r="A769" s="7" t="s">
        <v>966</v>
      </c>
      <c r="B769" s="8" t="s">
        <v>967</v>
      </c>
      <c r="C769" s="7" t="n">
        <f aca="false">HEX2DEC(B769)</f>
        <v>58793</v>
      </c>
      <c r="D769" s="9" t="str">
        <f aca="false">DEC2HEX(C769,4)</f>
        <v>E5A9</v>
      </c>
      <c r="E769" s="10" t="str">
        <f aca="false">_xlfn.UNICHAR(C769)</f>
        <v></v>
      </c>
      <c r="F769" s="7" t="n">
        <f aca="false">C769-C768</f>
        <v>63</v>
      </c>
      <c r="G769" s="16"/>
    </row>
    <row r="770" customFormat="false" ht="15" hidden="false" customHeight="false" outlineLevel="0" collapsed="false">
      <c r="A770" s="7" t="s">
        <v>968</v>
      </c>
      <c r="B770" s="8" t="s">
        <v>969</v>
      </c>
      <c r="C770" s="7" t="n">
        <f aca="false">HEX2DEC(B770)</f>
        <v>58795</v>
      </c>
      <c r="D770" s="9" t="str">
        <f aca="false">DEC2HEX(C770,4)</f>
        <v>E5AB</v>
      </c>
      <c r="E770" s="10" t="str">
        <f aca="false">_xlfn.UNICHAR(C770)</f>
        <v></v>
      </c>
      <c r="F770" s="7" t="n">
        <f aca="false">C770-C769</f>
        <v>2</v>
      </c>
      <c r="G770" s="16"/>
    </row>
    <row r="771" customFormat="false" ht="15" hidden="false" customHeight="false" outlineLevel="0" collapsed="false">
      <c r="A771" s="7" t="s">
        <v>970</v>
      </c>
      <c r="B771" s="11" t="s">
        <v>971</v>
      </c>
      <c r="C771" s="7" t="n">
        <f aca="false">HEX2DEC(B771)</f>
        <v>58803</v>
      </c>
      <c r="D771" s="9" t="str">
        <f aca="false">DEC2HEX(C771,4)</f>
        <v>E5B3</v>
      </c>
      <c r="E771" s="10" t="str">
        <f aca="false">_xlfn.UNICHAR(C771)</f>
        <v></v>
      </c>
      <c r="F771" s="7" t="n">
        <f aca="false">C771-C770</f>
        <v>8</v>
      </c>
      <c r="G771" s="16"/>
    </row>
    <row r="772" customFormat="false" ht="15" hidden="false" customHeight="false" outlineLevel="0" collapsed="false">
      <c r="A772" s="7" t="s">
        <v>972</v>
      </c>
      <c r="B772" s="8" t="s">
        <v>973</v>
      </c>
      <c r="C772" s="7" t="n">
        <f aca="false">HEX2DEC(B772)</f>
        <v>58804</v>
      </c>
      <c r="D772" s="9" t="str">
        <f aca="false">DEC2HEX(C772,4)</f>
        <v>E5B4</v>
      </c>
      <c r="E772" s="10" t="str">
        <f aca="false">_xlfn.UNICHAR(C772)</f>
        <v></v>
      </c>
      <c r="F772" s="7" t="n">
        <f aca="false">C772-C771</f>
        <v>1</v>
      </c>
      <c r="G772" s="16"/>
    </row>
    <row r="773" customFormat="false" ht="15" hidden="false" customHeight="false" outlineLevel="0" collapsed="false">
      <c r="A773" s="7" t="s">
        <v>974</v>
      </c>
      <c r="B773" s="8" t="s">
        <v>975</v>
      </c>
      <c r="C773" s="7" t="n">
        <f aca="false">HEX2DEC(B773)</f>
        <v>58805</v>
      </c>
      <c r="D773" s="9" t="str">
        <f aca="false">DEC2HEX(C773,4)</f>
        <v>E5B5</v>
      </c>
      <c r="E773" s="10" t="str">
        <f aca="false">_xlfn.UNICHAR(C773)</f>
        <v></v>
      </c>
      <c r="F773" s="7" t="n">
        <f aca="false">C773-C772</f>
        <v>1</v>
      </c>
      <c r="G773" s="16"/>
    </row>
    <row r="774" customFormat="false" ht="15" hidden="false" customHeight="false" outlineLevel="0" collapsed="false">
      <c r="A774" s="7" t="s">
        <v>976</v>
      </c>
      <c r="B774" s="8" t="s">
        <v>977</v>
      </c>
      <c r="C774" s="7" t="n">
        <f aca="false">HEX2DEC(B774)</f>
        <v>58806</v>
      </c>
      <c r="D774" s="9" t="str">
        <f aca="false">DEC2HEX(C774,4)</f>
        <v>E5B6</v>
      </c>
      <c r="E774" s="10" t="str">
        <f aca="false">_xlfn.UNICHAR(C774)</f>
        <v></v>
      </c>
      <c r="F774" s="7" t="n">
        <f aca="false">C774-C773</f>
        <v>1</v>
      </c>
      <c r="G774" s="16"/>
    </row>
    <row r="775" customFormat="false" ht="15" hidden="false" customHeight="false" outlineLevel="0" collapsed="false">
      <c r="A775" s="7" t="s">
        <v>978</v>
      </c>
      <c r="B775" s="8" t="s">
        <v>979</v>
      </c>
      <c r="C775" s="7" t="n">
        <f aca="false">HEX2DEC(B775)</f>
        <v>58807</v>
      </c>
      <c r="D775" s="9" t="str">
        <f aca="false">DEC2HEX(C775,4)</f>
        <v>E5B7</v>
      </c>
      <c r="E775" s="10" t="str">
        <f aca="false">_xlfn.UNICHAR(C775)</f>
        <v></v>
      </c>
      <c r="F775" s="7" t="n">
        <f aca="false">C775-C774</f>
        <v>1</v>
      </c>
      <c r="G775" s="16"/>
    </row>
    <row r="776" customFormat="false" ht="15" hidden="false" customHeight="false" outlineLevel="0" collapsed="false">
      <c r="A776" s="7" t="s">
        <v>980</v>
      </c>
      <c r="B776" s="8" t="s">
        <v>981</v>
      </c>
      <c r="C776" s="7" t="n">
        <f aca="false">HEX2DEC(B776)</f>
        <v>58808</v>
      </c>
      <c r="D776" s="9" t="str">
        <f aca="false">DEC2HEX(C776,4)</f>
        <v>E5B8</v>
      </c>
      <c r="E776" s="10" t="str">
        <f aca="false">_xlfn.UNICHAR(C776)</f>
        <v></v>
      </c>
      <c r="F776" s="7" t="n">
        <f aca="false">C776-C775</f>
        <v>1</v>
      </c>
      <c r="G776" s="16"/>
    </row>
    <row r="777" customFormat="false" ht="15" hidden="false" customHeight="false" outlineLevel="0" collapsed="false">
      <c r="A777" s="7" t="s">
        <v>982</v>
      </c>
      <c r="B777" s="8" t="s">
        <v>983</v>
      </c>
      <c r="C777" s="7" t="n">
        <f aca="false">HEX2DEC(B777)</f>
        <v>58809</v>
      </c>
      <c r="D777" s="9" t="str">
        <f aca="false">DEC2HEX(C777,4)</f>
        <v>E5B9</v>
      </c>
      <c r="E777" s="10" t="str">
        <f aca="false">_xlfn.UNICHAR(C777)</f>
        <v></v>
      </c>
      <c r="F777" s="7" t="n">
        <f aca="false">C777-C776</f>
        <v>1</v>
      </c>
      <c r="G777" s="16"/>
    </row>
    <row r="778" customFormat="false" ht="15" hidden="false" customHeight="false" outlineLevel="0" collapsed="false">
      <c r="A778" s="7" t="s">
        <v>984</v>
      </c>
      <c r="B778" s="8" t="s">
        <v>985</v>
      </c>
      <c r="C778" s="7" t="n">
        <f aca="false">HEX2DEC(B778)</f>
        <v>58810</v>
      </c>
      <c r="D778" s="9" t="str">
        <f aca="false">DEC2HEX(C778,4)</f>
        <v>E5BA</v>
      </c>
      <c r="E778" s="10" t="str">
        <f aca="false">_xlfn.UNICHAR(C778)</f>
        <v></v>
      </c>
      <c r="F778" s="7" t="n">
        <f aca="false">C778-C777</f>
        <v>1</v>
      </c>
      <c r="G778" s="16"/>
    </row>
    <row r="779" customFormat="false" ht="15" hidden="false" customHeight="false" outlineLevel="0" collapsed="false">
      <c r="A779" s="7" t="s">
        <v>986</v>
      </c>
      <c r="B779" s="8" t="s">
        <v>987</v>
      </c>
      <c r="C779" s="7" t="n">
        <f aca="false">HEX2DEC(B779)</f>
        <v>58811</v>
      </c>
      <c r="D779" s="9" t="str">
        <f aca="false">DEC2HEX(C779,4)</f>
        <v>E5BB</v>
      </c>
      <c r="E779" s="10" t="str">
        <f aca="false">_xlfn.UNICHAR(C779)</f>
        <v></v>
      </c>
      <c r="F779" s="7" t="n">
        <f aca="false">C779-C778</f>
        <v>1</v>
      </c>
      <c r="G779" s="16"/>
    </row>
    <row r="780" customFormat="false" ht="15" hidden="false" customHeight="false" outlineLevel="0" collapsed="false">
      <c r="A780" s="7" t="s">
        <v>988</v>
      </c>
      <c r="B780" s="8" t="s">
        <v>989</v>
      </c>
      <c r="C780" s="7" t="n">
        <f aca="false">HEX2DEC(B780)</f>
        <v>58812</v>
      </c>
      <c r="D780" s="9" t="str">
        <f aca="false">DEC2HEX(C780,4)</f>
        <v>E5BC</v>
      </c>
      <c r="E780" s="10" t="str">
        <f aca="false">_xlfn.UNICHAR(C780)</f>
        <v></v>
      </c>
      <c r="F780" s="7" t="n">
        <f aca="false">C780-C779</f>
        <v>1</v>
      </c>
      <c r="G780" s="16"/>
    </row>
    <row r="781" customFormat="false" ht="15" hidden="false" customHeight="false" outlineLevel="0" collapsed="false">
      <c r="A781" s="7" t="s">
        <v>990</v>
      </c>
      <c r="B781" s="11" t="s">
        <v>991</v>
      </c>
      <c r="C781" s="7" t="n">
        <f aca="false">HEX2DEC(B781)</f>
        <v>58826</v>
      </c>
      <c r="D781" s="9" t="str">
        <f aca="false">DEC2HEX(C781,4)</f>
        <v>E5CA</v>
      </c>
      <c r="E781" s="10" t="str">
        <f aca="false">_xlfn.UNICHAR(C781)</f>
        <v></v>
      </c>
      <c r="F781" s="7" t="n">
        <f aca="false">C781-C780</f>
        <v>14</v>
      </c>
      <c r="G781" s="16"/>
    </row>
    <row r="782" customFormat="false" ht="15" hidden="false" customHeight="false" outlineLevel="0" collapsed="false">
      <c r="A782" s="7" t="s">
        <v>992</v>
      </c>
      <c r="B782" s="11" t="s">
        <v>993</v>
      </c>
      <c r="C782" s="7" t="n">
        <f aca="false">HEX2DEC(B782)</f>
        <v>58837</v>
      </c>
      <c r="D782" s="9" t="str">
        <f aca="false">DEC2HEX(C782,4)</f>
        <v>E5D5</v>
      </c>
      <c r="E782" s="10" t="str">
        <f aca="false">_xlfn.UNICHAR(C782)</f>
        <v></v>
      </c>
      <c r="F782" s="7" t="n">
        <f aca="false">C782-C781</f>
        <v>11</v>
      </c>
      <c r="G782" s="16"/>
    </row>
    <row r="783" customFormat="false" ht="15" hidden="false" customHeight="false" outlineLevel="0" collapsed="false">
      <c r="A783" s="7" t="s">
        <v>994</v>
      </c>
      <c r="B783" s="8" t="s">
        <v>995</v>
      </c>
      <c r="C783" s="7" t="n">
        <f aca="false">HEX2DEC(B783)</f>
        <v>58838</v>
      </c>
      <c r="D783" s="9" t="str">
        <f aca="false">DEC2HEX(C783,4)</f>
        <v>E5D6</v>
      </c>
      <c r="E783" s="10" t="str">
        <f aca="false">_xlfn.UNICHAR(C783)</f>
        <v></v>
      </c>
      <c r="F783" s="7" t="n">
        <f aca="false">C783-C782</f>
        <v>1</v>
      </c>
      <c r="G783" s="16"/>
    </row>
    <row r="784" customFormat="false" ht="15" hidden="false" customHeight="false" outlineLevel="0" collapsed="false">
      <c r="A784" s="7" t="s">
        <v>996</v>
      </c>
      <c r="B784" s="11" t="s">
        <v>997</v>
      </c>
      <c r="C784" s="7" t="n">
        <f aca="false">HEX2DEC(B784)</f>
        <v>58839</v>
      </c>
      <c r="D784" s="9" t="str">
        <f aca="false">DEC2HEX(C784,4)</f>
        <v>E5D7</v>
      </c>
      <c r="E784" s="10" t="str">
        <f aca="false">_xlfn.UNICHAR(C784)</f>
        <v></v>
      </c>
      <c r="F784" s="7" t="n">
        <f aca="false">C784-C783</f>
        <v>1</v>
      </c>
      <c r="G784" s="16"/>
    </row>
    <row r="785" customFormat="false" ht="15" hidden="false" customHeight="false" outlineLevel="0" collapsed="false">
      <c r="A785" s="7" t="s">
        <v>998</v>
      </c>
      <c r="B785" s="8" t="s">
        <v>999</v>
      </c>
      <c r="C785" s="7" t="n">
        <f aca="false">HEX2DEC(B785)</f>
        <v>58840</v>
      </c>
      <c r="D785" s="9" t="str">
        <f aca="false">DEC2HEX(C785,4)</f>
        <v>E5D8</v>
      </c>
      <c r="E785" s="10" t="str">
        <f aca="false">_xlfn.UNICHAR(C785)</f>
        <v></v>
      </c>
      <c r="F785" s="7" t="n">
        <f aca="false">C785-C784</f>
        <v>1</v>
      </c>
      <c r="G785" s="16"/>
    </row>
    <row r="786" customFormat="false" ht="15" hidden="false" customHeight="false" outlineLevel="0" collapsed="false">
      <c r="A786" s="7" t="s">
        <v>1000</v>
      </c>
      <c r="B786" s="11" t="s">
        <v>1001</v>
      </c>
      <c r="C786" s="7" t="n">
        <f aca="false">HEX2DEC(B786)</f>
        <v>58841</v>
      </c>
      <c r="D786" s="9" t="str">
        <f aca="false">DEC2HEX(C786,4)</f>
        <v>E5D9</v>
      </c>
      <c r="E786" s="10" t="str">
        <f aca="false">_xlfn.UNICHAR(C786)</f>
        <v></v>
      </c>
      <c r="F786" s="7" t="n">
        <f aca="false">C786-C785</f>
        <v>1</v>
      </c>
      <c r="G786" s="16"/>
    </row>
    <row r="787" customFormat="false" ht="15" hidden="false" customHeight="false" outlineLevel="0" collapsed="false">
      <c r="A787" s="7" t="s">
        <v>1002</v>
      </c>
      <c r="B787" s="8" t="s">
        <v>1003</v>
      </c>
      <c r="C787" s="7" t="n">
        <f aca="false">HEX2DEC(B787)</f>
        <v>58842</v>
      </c>
      <c r="D787" s="9" t="str">
        <f aca="false">DEC2HEX(C787,4)</f>
        <v>E5DA</v>
      </c>
      <c r="E787" s="10" t="str">
        <f aca="false">_xlfn.UNICHAR(C787)</f>
        <v></v>
      </c>
      <c r="F787" s="7" t="n">
        <f aca="false">C787-C786</f>
        <v>1</v>
      </c>
      <c r="G787" s="16"/>
    </row>
    <row r="788" customFormat="false" ht="15" hidden="false" customHeight="false" outlineLevel="0" collapsed="false">
      <c r="A788" s="7" t="s">
        <v>1004</v>
      </c>
      <c r="B788" s="11" t="s">
        <v>1005</v>
      </c>
      <c r="C788" s="7" t="n">
        <f aca="false">HEX2DEC(B788)</f>
        <v>58843</v>
      </c>
      <c r="D788" s="9" t="str">
        <f aca="false">DEC2HEX(C788,4)</f>
        <v>E5DB</v>
      </c>
      <c r="E788" s="10" t="str">
        <f aca="false">_xlfn.UNICHAR(C788)</f>
        <v></v>
      </c>
      <c r="F788" s="7" t="n">
        <f aca="false">C788-C787</f>
        <v>1</v>
      </c>
      <c r="G788" s="16"/>
    </row>
    <row r="789" customFormat="false" ht="15" hidden="false" customHeight="false" outlineLevel="0" collapsed="false">
      <c r="A789" s="1" t="s">
        <v>1006</v>
      </c>
      <c r="B789" s="11" t="str">
        <f aca="false">DEC2HEX(C789+HEX2DEC(10000))</f>
        <v>1F600</v>
      </c>
      <c r="C789" s="1" t="n">
        <v>62976</v>
      </c>
      <c r="D789" s="9" t="str">
        <f aca="false">DEC2HEX(C789,4)</f>
        <v>F600</v>
      </c>
      <c r="E789" s="10" t="str">
        <f aca="false">_xlfn.UNICHAR(C789)</f>
        <v></v>
      </c>
      <c r="F789" s="1" t="n">
        <f aca="false">C789-C788</f>
        <v>4133</v>
      </c>
      <c r="G789" s="17" t="s">
        <v>1007</v>
      </c>
    </row>
    <row r="790" customFormat="false" ht="15" hidden="false" customHeight="false" outlineLevel="0" collapsed="false">
      <c r="A790" s="1" t="s">
        <v>1008</v>
      </c>
      <c r="B790" s="11" t="str">
        <f aca="false">DEC2HEX(C790+HEX2DEC(10000))</f>
        <v>1F601</v>
      </c>
      <c r="C790" s="1" t="n">
        <v>62977</v>
      </c>
      <c r="D790" s="9" t="str">
        <f aca="false">DEC2HEX(C790,4)</f>
        <v>F601</v>
      </c>
      <c r="E790" s="10" t="str">
        <f aca="false">_xlfn.UNICHAR(C790)</f>
        <v></v>
      </c>
      <c r="F790" s="1" t="n">
        <f aca="false">C790-C789</f>
        <v>1</v>
      </c>
      <c r="G790" s="17"/>
    </row>
    <row r="791" customFormat="false" ht="15" hidden="false" customHeight="false" outlineLevel="0" collapsed="false">
      <c r="A791" s="1" t="s">
        <v>1009</v>
      </c>
      <c r="B791" s="11" t="str">
        <f aca="false">DEC2HEX(C791+HEX2DEC(10000))</f>
        <v>1F602</v>
      </c>
      <c r="C791" s="1" t="n">
        <v>62978</v>
      </c>
      <c r="D791" s="9" t="str">
        <f aca="false">DEC2HEX(C791,4)</f>
        <v>F602</v>
      </c>
      <c r="E791" s="10" t="str">
        <f aca="false">_xlfn.UNICHAR(C791)</f>
        <v></v>
      </c>
      <c r="F791" s="1" t="n">
        <f aca="false">C791-C790</f>
        <v>1</v>
      </c>
      <c r="G791" s="17"/>
    </row>
    <row r="792" customFormat="false" ht="15" hidden="false" customHeight="false" outlineLevel="0" collapsed="false">
      <c r="A792" s="1" t="s">
        <v>1010</v>
      </c>
      <c r="B792" s="11" t="str">
        <f aca="false">DEC2HEX(C792+HEX2DEC(10000))</f>
        <v>1F603</v>
      </c>
      <c r="C792" s="1" t="n">
        <v>62979</v>
      </c>
      <c r="D792" s="9" t="str">
        <f aca="false">DEC2HEX(C792,4)</f>
        <v>F603</v>
      </c>
      <c r="E792" s="10" t="str">
        <f aca="false">_xlfn.UNICHAR(C792)</f>
        <v></v>
      </c>
      <c r="F792" s="1" t="n">
        <f aca="false">C792-C791</f>
        <v>1</v>
      </c>
      <c r="G792" s="17"/>
    </row>
    <row r="793" customFormat="false" ht="15" hidden="false" customHeight="false" outlineLevel="0" collapsed="false">
      <c r="A793" s="1" t="s">
        <v>1011</v>
      </c>
      <c r="B793" s="11" t="str">
        <f aca="false">DEC2HEX(C793+HEX2DEC(10000))</f>
        <v>1F604</v>
      </c>
      <c r="C793" s="1" t="n">
        <v>62980</v>
      </c>
      <c r="D793" s="9" t="str">
        <f aca="false">DEC2HEX(C793,4)</f>
        <v>F604</v>
      </c>
      <c r="E793" s="10" t="str">
        <f aca="false">_xlfn.UNICHAR(C793)</f>
        <v></v>
      </c>
      <c r="F793" s="1" t="n">
        <f aca="false">C793-C792</f>
        <v>1</v>
      </c>
      <c r="G793" s="17"/>
    </row>
    <row r="794" customFormat="false" ht="15" hidden="false" customHeight="false" outlineLevel="0" collapsed="false">
      <c r="A794" s="1" t="s">
        <v>1012</v>
      </c>
      <c r="B794" s="11" t="str">
        <f aca="false">DEC2HEX(C794+HEX2DEC(10000))</f>
        <v>1F605</v>
      </c>
      <c r="C794" s="1" t="n">
        <v>62981</v>
      </c>
      <c r="D794" s="9" t="str">
        <f aca="false">DEC2HEX(C794,4)</f>
        <v>F605</v>
      </c>
      <c r="E794" s="10" t="str">
        <f aca="false">_xlfn.UNICHAR(C794)</f>
        <v></v>
      </c>
      <c r="F794" s="1" t="n">
        <f aca="false">C794-C793</f>
        <v>1</v>
      </c>
      <c r="G794" s="17"/>
    </row>
    <row r="795" customFormat="false" ht="15" hidden="false" customHeight="false" outlineLevel="0" collapsed="false">
      <c r="A795" s="1" t="s">
        <v>1013</v>
      </c>
      <c r="B795" s="11" t="str">
        <f aca="false">DEC2HEX(C795+HEX2DEC(10000))</f>
        <v>1F606</v>
      </c>
      <c r="C795" s="1" t="n">
        <v>62982</v>
      </c>
      <c r="D795" s="9" t="str">
        <f aca="false">DEC2HEX(C795,4)</f>
        <v>F606</v>
      </c>
      <c r="E795" s="10" t="str">
        <f aca="false">_xlfn.UNICHAR(C795)</f>
        <v></v>
      </c>
      <c r="F795" s="1" t="n">
        <f aca="false">C795-C794</f>
        <v>1</v>
      </c>
      <c r="G795" s="17"/>
    </row>
    <row r="796" customFormat="false" ht="15" hidden="false" customHeight="false" outlineLevel="0" collapsed="false">
      <c r="A796" s="1" t="s">
        <v>1014</v>
      </c>
      <c r="B796" s="11" t="str">
        <f aca="false">DEC2HEX(C796+HEX2DEC(10000))</f>
        <v>1F607</v>
      </c>
      <c r="C796" s="1" t="n">
        <v>62983</v>
      </c>
      <c r="D796" s="9" t="str">
        <f aca="false">DEC2HEX(C796,4)</f>
        <v>F607</v>
      </c>
      <c r="E796" s="10" t="str">
        <f aca="false">_xlfn.UNICHAR(C796)</f>
        <v></v>
      </c>
      <c r="F796" s="1" t="n">
        <f aca="false">C796-C795</f>
        <v>1</v>
      </c>
      <c r="G796" s="17"/>
    </row>
    <row r="797" customFormat="false" ht="15" hidden="false" customHeight="false" outlineLevel="0" collapsed="false">
      <c r="A797" s="1" t="s">
        <v>1015</v>
      </c>
      <c r="B797" s="11" t="str">
        <f aca="false">DEC2HEX(C797+HEX2DEC(10000))</f>
        <v>1F608</v>
      </c>
      <c r="C797" s="1" t="n">
        <v>62984</v>
      </c>
      <c r="D797" s="9" t="str">
        <f aca="false">DEC2HEX(C797,4)</f>
        <v>F608</v>
      </c>
      <c r="E797" s="10" t="str">
        <f aca="false">_xlfn.UNICHAR(C797)</f>
        <v></v>
      </c>
      <c r="F797" s="1" t="n">
        <f aca="false">C797-C796</f>
        <v>1</v>
      </c>
      <c r="G797" s="17"/>
    </row>
    <row r="798" customFormat="false" ht="15" hidden="false" customHeight="false" outlineLevel="0" collapsed="false">
      <c r="A798" s="1" t="s">
        <v>1016</v>
      </c>
      <c r="B798" s="11" t="str">
        <f aca="false">DEC2HEX(C798+HEX2DEC(10000))</f>
        <v>1F609</v>
      </c>
      <c r="C798" s="1" t="n">
        <v>62985</v>
      </c>
      <c r="D798" s="9" t="str">
        <f aca="false">DEC2HEX(C798,4)</f>
        <v>F609</v>
      </c>
      <c r="E798" s="10" t="str">
        <f aca="false">_xlfn.UNICHAR(C798)</f>
        <v></v>
      </c>
      <c r="F798" s="1" t="n">
        <f aca="false">C798-C797</f>
        <v>1</v>
      </c>
      <c r="G798" s="17"/>
    </row>
    <row r="799" customFormat="false" ht="15" hidden="false" customHeight="false" outlineLevel="0" collapsed="false">
      <c r="A799" s="1" t="s">
        <v>1017</v>
      </c>
      <c r="B799" s="11" t="str">
        <f aca="false">DEC2HEX(C799+HEX2DEC(10000))</f>
        <v>1F60A</v>
      </c>
      <c r="C799" s="1" t="n">
        <v>62986</v>
      </c>
      <c r="D799" s="9" t="str">
        <f aca="false">DEC2HEX(C799,4)</f>
        <v>F60A</v>
      </c>
      <c r="E799" s="10" t="str">
        <f aca="false">_xlfn.UNICHAR(C799)</f>
        <v></v>
      </c>
      <c r="F799" s="1" t="n">
        <f aca="false">C799-C798</f>
        <v>1</v>
      </c>
      <c r="G799" s="17"/>
    </row>
    <row r="800" customFormat="false" ht="15" hidden="false" customHeight="false" outlineLevel="0" collapsed="false">
      <c r="A800" s="1" t="s">
        <v>1018</v>
      </c>
      <c r="B800" s="11" t="str">
        <f aca="false">DEC2HEX(C800+HEX2DEC(10000))</f>
        <v>1F60B</v>
      </c>
      <c r="C800" s="1" t="n">
        <v>62987</v>
      </c>
      <c r="D800" s="9" t="str">
        <f aca="false">DEC2HEX(C800,4)</f>
        <v>F60B</v>
      </c>
      <c r="E800" s="10" t="str">
        <f aca="false">_xlfn.UNICHAR(C800)</f>
        <v></v>
      </c>
      <c r="F800" s="1" t="n">
        <f aca="false">C800-C799</f>
        <v>1</v>
      </c>
      <c r="G800" s="17"/>
    </row>
    <row r="801" customFormat="false" ht="15" hidden="false" customHeight="false" outlineLevel="0" collapsed="false">
      <c r="A801" s="1" t="s">
        <v>1019</v>
      </c>
      <c r="B801" s="11" t="str">
        <f aca="false">DEC2HEX(C801+HEX2DEC(10000))</f>
        <v>1F60C</v>
      </c>
      <c r="C801" s="1" t="n">
        <v>62988</v>
      </c>
      <c r="D801" s="9" t="str">
        <f aca="false">DEC2HEX(C801,4)</f>
        <v>F60C</v>
      </c>
      <c r="E801" s="10" t="str">
        <f aca="false">_xlfn.UNICHAR(C801)</f>
        <v></v>
      </c>
      <c r="F801" s="1" t="n">
        <f aca="false">C801-C800</f>
        <v>1</v>
      </c>
      <c r="G801" s="17"/>
    </row>
    <row r="802" customFormat="false" ht="15" hidden="false" customHeight="false" outlineLevel="0" collapsed="false">
      <c r="A802" s="1" t="s">
        <v>1020</v>
      </c>
      <c r="B802" s="11" t="str">
        <f aca="false">DEC2HEX(C802+HEX2DEC(10000))</f>
        <v>1F60D</v>
      </c>
      <c r="C802" s="1" t="n">
        <v>62989</v>
      </c>
      <c r="D802" s="9" t="str">
        <f aca="false">DEC2HEX(C802,4)</f>
        <v>F60D</v>
      </c>
      <c r="E802" s="10" t="str">
        <f aca="false">_xlfn.UNICHAR(C802)</f>
        <v></v>
      </c>
      <c r="F802" s="1" t="n">
        <f aca="false">C802-C801</f>
        <v>1</v>
      </c>
      <c r="G802" s="17"/>
    </row>
    <row r="803" customFormat="false" ht="15" hidden="false" customHeight="false" outlineLevel="0" collapsed="false">
      <c r="A803" s="1" t="s">
        <v>1021</v>
      </c>
      <c r="B803" s="11" t="str">
        <f aca="false">DEC2HEX(C803+HEX2DEC(10000))</f>
        <v>1F60E</v>
      </c>
      <c r="C803" s="1" t="n">
        <v>62990</v>
      </c>
      <c r="D803" s="9" t="str">
        <f aca="false">DEC2HEX(C803,4)</f>
        <v>F60E</v>
      </c>
      <c r="E803" s="10" t="str">
        <f aca="false">_xlfn.UNICHAR(C803)</f>
        <v></v>
      </c>
      <c r="F803" s="1" t="n">
        <f aca="false">C803-C802</f>
        <v>1</v>
      </c>
      <c r="G803" s="17"/>
    </row>
    <row r="804" customFormat="false" ht="15" hidden="false" customHeight="false" outlineLevel="0" collapsed="false">
      <c r="A804" s="1" t="s">
        <v>1022</v>
      </c>
      <c r="B804" s="11" t="str">
        <f aca="false">DEC2HEX(C804+HEX2DEC(10000))</f>
        <v>1F60F</v>
      </c>
      <c r="C804" s="1" t="n">
        <v>62991</v>
      </c>
      <c r="D804" s="9" t="str">
        <f aca="false">DEC2HEX(C804,4)</f>
        <v>F60F</v>
      </c>
      <c r="E804" s="10" t="str">
        <f aca="false">_xlfn.UNICHAR(C804)</f>
        <v></v>
      </c>
      <c r="F804" s="1" t="n">
        <f aca="false">C804-C803</f>
        <v>1</v>
      </c>
      <c r="G804" s="17"/>
    </row>
    <row r="805" customFormat="false" ht="15" hidden="false" customHeight="false" outlineLevel="0" collapsed="false">
      <c r="A805" s="1" t="s">
        <v>1023</v>
      </c>
      <c r="B805" s="11" t="str">
        <f aca="false">DEC2HEX(C805+HEX2DEC(10000))</f>
        <v>1F610</v>
      </c>
      <c r="C805" s="1" t="n">
        <v>62992</v>
      </c>
      <c r="D805" s="9" t="str">
        <f aca="false">DEC2HEX(C805,4)</f>
        <v>F610</v>
      </c>
      <c r="E805" s="10" t="str">
        <f aca="false">_xlfn.UNICHAR(C805)</f>
        <v></v>
      </c>
      <c r="F805" s="1" t="n">
        <f aca="false">C805-C804</f>
        <v>1</v>
      </c>
      <c r="G805" s="17"/>
    </row>
    <row r="806" customFormat="false" ht="15" hidden="false" customHeight="false" outlineLevel="0" collapsed="false">
      <c r="A806" s="1" t="s">
        <v>1024</v>
      </c>
      <c r="B806" s="11" t="str">
        <f aca="false">DEC2HEX(C806+HEX2DEC(10000))</f>
        <v>1F611</v>
      </c>
      <c r="C806" s="1" t="n">
        <v>62993</v>
      </c>
      <c r="D806" s="9" t="str">
        <f aca="false">DEC2HEX(C806,4)</f>
        <v>F611</v>
      </c>
      <c r="E806" s="10" t="str">
        <f aca="false">_xlfn.UNICHAR(C806)</f>
        <v></v>
      </c>
      <c r="F806" s="1" t="n">
        <f aca="false">C806-C805</f>
        <v>1</v>
      </c>
      <c r="G806" s="17"/>
    </row>
    <row r="807" customFormat="false" ht="15" hidden="false" customHeight="false" outlineLevel="0" collapsed="false">
      <c r="A807" s="1" t="s">
        <v>1025</v>
      </c>
      <c r="B807" s="11" t="str">
        <f aca="false">DEC2HEX(C807+HEX2DEC(10000))</f>
        <v>1F612</v>
      </c>
      <c r="C807" s="1" t="n">
        <v>62994</v>
      </c>
      <c r="D807" s="9" t="str">
        <f aca="false">DEC2HEX(C807,4)</f>
        <v>F612</v>
      </c>
      <c r="E807" s="10" t="str">
        <f aca="false">_xlfn.UNICHAR(C807)</f>
        <v></v>
      </c>
      <c r="F807" s="1" t="n">
        <f aca="false">C807-C806</f>
        <v>1</v>
      </c>
      <c r="G807" s="17"/>
    </row>
    <row r="808" customFormat="false" ht="15" hidden="false" customHeight="false" outlineLevel="0" collapsed="false">
      <c r="A808" s="1" t="s">
        <v>1026</v>
      </c>
      <c r="B808" s="11" t="str">
        <f aca="false">DEC2HEX(C808+HEX2DEC(10000))</f>
        <v>1F613</v>
      </c>
      <c r="C808" s="1" t="n">
        <v>62995</v>
      </c>
      <c r="D808" s="9" t="str">
        <f aca="false">DEC2HEX(C808,4)</f>
        <v>F613</v>
      </c>
      <c r="E808" s="10" t="str">
        <f aca="false">_xlfn.UNICHAR(C808)</f>
        <v></v>
      </c>
      <c r="F808" s="1" t="n">
        <f aca="false">C808-C807</f>
        <v>1</v>
      </c>
      <c r="G808" s="17"/>
    </row>
    <row r="809" customFormat="false" ht="15" hidden="false" customHeight="false" outlineLevel="0" collapsed="false">
      <c r="A809" s="1" t="s">
        <v>1027</v>
      </c>
      <c r="B809" s="11" t="str">
        <f aca="false">DEC2HEX(C809+HEX2DEC(10000))</f>
        <v>1F614</v>
      </c>
      <c r="C809" s="1" t="n">
        <v>62996</v>
      </c>
      <c r="D809" s="9" t="str">
        <f aca="false">DEC2HEX(C809,4)</f>
        <v>F614</v>
      </c>
      <c r="E809" s="10" t="str">
        <f aca="false">_xlfn.UNICHAR(C809)</f>
        <v></v>
      </c>
      <c r="F809" s="1" t="n">
        <f aca="false">C809-C808</f>
        <v>1</v>
      </c>
      <c r="G809" s="17"/>
    </row>
    <row r="810" customFormat="false" ht="15" hidden="false" customHeight="false" outlineLevel="0" collapsed="false">
      <c r="A810" s="1" t="s">
        <v>1028</v>
      </c>
      <c r="B810" s="11" t="str">
        <f aca="false">DEC2HEX(C810+HEX2DEC(10000))</f>
        <v>1F615</v>
      </c>
      <c r="C810" s="1" t="n">
        <v>62997</v>
      </c>
      <c r="D810" s="9" t="str">
        <f aca="false">DEC2HEX(C810,4)</f>
        <v>F615</v>
      </c>
      <c r="E810" s="10" t="str">
        <f aca="false">_xlfn.UNICHAR(C810)</f>
        <v></v>
      </c>
      <c r="F810" s="1" t="n">
        <f aca="false">C810-C809</f>
        <v>1</v>
      </c>
      <c r="G810" s="17"/>
    </row>
    <row r="811" customFormat="false" ht="15" hidden="false" customHeight="false" outlineLevel="0" collapsed="false">
      <c r="A811" s="1" t="s">
        <v>1029</v>
      </c>
      <c r="B811" s="11" t="str">
        <f aca="false">DEC2HEX(C811+HEX2DEC(10000))</f>
        <v>1F616</v>
      </c>
      <c r="C811" s="1" t="n">
        <v>62998</v>
      </c>
      <c r="D811" s="9" t="str">
        <f aca="false">DEC2HEX(C811,4)</f>
        <v>F616</v>
      </c>
      <c r="E811" s="10" t="str">
        <f aca="false">_xlfn.UNICHAR(C811)</f>
        <v></v>
      </c>
      <c r="F811" s="1" t="n">
        <f aca="false">C811-C810</f>
        <v>1</v>
      </c>
      <c r="G811" s="17"/>
    </row>
    <row r="812" customFormat="false" ht="15" hidden="false" customHeight="false" outlineLevel="0" collapsed="false">
      <c r="A812" s="1" t="s">
        <v>1030</v>
      </c>
      <c r="B812" s="11" t="str">
        <f aca="false">DEC2HEX(C812+HEX2DEC(10000))</f>
        <v>1F617</v>
      </c>
      <c r="C812" s="1" t="n">
        <v>62999</v>
      </c>
      <c r="D812" s="9" t="str">
        <f aca="false">DEC2HEX(C812,4)</f>
        <v>F617</v>
      </c>
      <c r="E812" s="10" t="str">
        <f aca="false">_xlfn.UNICHAR(C812)</f>
        <v></v>
      </c>
      <c r="F812" s="1" t="n">
        <f aca="false">C812-C811</f>
        <v>1</v>
      </c>
      <c r="G812" s="17"/>
    </row>
    <row r="813" customFormat="false" ht="15" hidden="false" customHeight="false" outlineLevel="0" collapsed="false">
      <c r="A813" s="1" t="s">
        <v>1031</v>
      </c>
      <c r="B813" s="11" t="str">
        <f aca="false">DEC2HEX(C813+HEX2DEC(10000))</f>
        <v>1F618</v>
      </c>
      <c r="C813" s="1" t="n">
        <v>63000</v>
      </c>
      <c r="D813" s="9" t="str">
        <f aca="false">DEC2HEX(C813,4)</f>
        <v>F618</v>
      </c>
      <c r="E813" s="10" t="str">
        <f aca="false">_xlfn.UNICHAR(C813)</f>
        <v></v>
      </c>
      <c r="F813" s="1" t="n">
        <f aca="false">C813-C812</f>
        <v>1</v>
      </c>
      <c r="G813" s="17"/>
    </row>
    <row r="814" customFormat="false" ht="15" hidden="false" customHeight="false" outlineLevel="0" collapsed="false">
      <c r="A814" s="1" t="s">
        <v>1032</v>
      </c>
      <c r="B814" s="11" t="str">
        <f aca="false">DEC2HEX(C814+HEX2DEC(10000))</f>
        <v>1F619</v>
      </c>
      <c r="C814" s="1" t="n">
        <v>63001</v>
      </c>
      <c r="D814" s="9" t="str">
        <f aca="false">DEC2HEX(C814,4)</f>
        <v>F619</v>
      </c>
      <c r="E814" s="10" t="str">
        <f aca="false">_xlfn.UNICHAR(C814)</f>
        <v></v>
      </c>
      <c r="F814" s="1" t="n">
        <f aca="false">C814-C813</f>
        <v>1</v>
      </c>
      <c r="G814" s="17"/>
    </row>
    <row r="815" customFormat="false" ht="15" hidden="false" customHeight="false" outlineLevel="0" collapsed="false">
      <c r="A815" s="1" t="s">
        <v>1033</v>
      </c>
      <c r="B815" s="11" t="str">
        <f aca="false">DEC2HEX(C815+HEX2DEC(10000))</f>
        <v>1F61A</v>
      </c>
      <c r="C815" s="1" t="n">
        <v>63002</v>
      </c>
      <c r="D815" s="9" t="str">
        <f aca="false">DEC2HEX(C815,4)</f>
        <v>F61A</v>
      </c>
      <c r="E815" s="10" t="str">
        <f aca="false">_xlfn.UNICHAR(C815)</f>
        <v></v>
      </c>
      <c r="F815" s="1" t="n">
        <f aca="false">C815-C814</f>
        <v>1</v>
      </c>
      <c r="G815" s="17"/>
    </row>
    <row r="816" customFormat="false" ht="15" hidden="false" customHeight="false" outlineLevel="0" collapsed="false">
      <c r="A816" s="1" t="s">
        <v>1034</v>
      </c>
      <c r="B816" s="11" t="str">
        <f aca="false">DEC2HEX(C816+HEX2DEC(10000))</f>
        <v>1F61B</v>
      </c>
      <c r="C816" s="1" t="n">
        <v>63003</v>
      </c>
      <c r="D816" s="9" t="str">
        <f aca="false">DEC2HEX(C816,4)</f>
        <v>F61B</v>
      </c>
      <c r="E816" s="10" t="str">
        <f aca="false">_xlfn.UNICHAR(C816)</f>
        <v></v>
      </c>
      <c r="F816" s="1" t="n">
        <f aca="false">C816-C815</f>
        <v>1</v>
      </c>
      <c r="G816" s="17"/>
    </row>
    <row r="817" customFormat="false" ht="15" hidden="false" customHeight="false" outlineLevel="0" collapsed="false">
      <c r="A817" s="1" t="s">
        <v>1035</v>
      </c>
      <c r="B817" s="11" t="str">
        <f aca="false">DEC2HEX(C817+HEX2DEC(10000))</f>
        <v>1F61C</v>
      </c>
      <c r="C817" s="1" t="n">
        <v>63004</v>
      </c>
      <c r="D817" s="9" t="str">
        <f aca="false">DEC2HEX(C817,4)</f>
        <v>F61C</v>
      </c>
      <c r="E817" s="10" t="str">
        <f aca="false">_xlfn.UNICHAR(C817)</f>
        <v></v>
      </c>
      <c r="F817" s="1" t="n">
        <f aca="false">C817-C816</f>
        <v>1</v>
      </c>
      <c r="G817" s="17"/>
    </row>
    <row r="818" customFormat="false" ht="15" hidden="false" customHeight="false" outlineLevel="0" collapsed="false">
      <c r="A818" s="1" t="s">
        <v>1036</v>
      </c>
      <c r="B818" s="11" t="str">
        <f aca="false">DEC2HEX(C818+HEX2DEC(10000))</f>
        <v>1F61D</v>
      </c>
      <c r="C818" s="1" t="n">
        <v>63005</v>
      </c>
      <c r="D818" s="9" t="str">
        <f aca="false">DEC2HEX(C818,4)</f>
        <v>F61D</v>
      </c>
      <c r="E818" s="10" t="str">
        <f aca="false">_xlfn.UNICHAR(C818)</f>
        <v></v>
      </c>
      <c r="F818" s="1" t="n">
        <f aca="false">C818-C817</f>
        <v>1</v>
      </c>
      <c r="G818" s="17"/>
    </row>
    <row r="819" customFormat="false" ht="15" hidden="false" customHeight="false" outlineLevel="0" collapsed="false">
      <c r="A819" s="1" t="s">
        <v>1037</v>
      </c>
      <c r="B819" s="11" t="str">
        <f aca="false">DEC2HEX(C819+HEX2DEC(10000))</f>
        <v>1F61E</v>
      </c>
      <c r="C819" s="1" t="n">
        <v>63006</v>
      </c>
      <c r="D819" s="9" t="str">
        <f aca="false">DEC2HEX(C819,4)</f>
        <v>F61E</v>
      </c>
      <c r="E819" s="10" t="str">
        <f aca="false">_xlfn.UNICHAR(C819)</f>
        <v></v>
      </c>
      <c r="F819" s="1" t="n">
        <f aca="false">C819-C818</f>
        <v>1</v>
      </c>
      <c r="G819" s="17"/>
    </row>
    <row r="820" customFormat="false" ht="15" hidden="false" customHeight="false" outlineLevel="0" collapsed="false">
      <c r="A820" s="1" t="s">
        <v>1038</v>
      </c>
      <c r="B820" s="11" t="str">
        <f aca="false">DEC2HEX(C820+HEX2DEC(10000))</f>
        <v>1F61F</v>
      </c>
      <c r="C820" s="1" t="n">
        <v>63007</v>
      </c>
      <c r="D820" s="9" t="str">
        <f aca="false">DEC2HEX(C820,4)</f>
        <v>F61F</v>
      </c>
      <c r="E820" s="10" t="str">
        <f aca="false">_xlfn.UNICHAR(C820)</f>
        <v></v>
      </c>
      <c r="F820" s="1" t="n">
        <f aca="false">C820-C819</f>
        <v>1</v>
      </c>
      <c r="G820" s="17"/>
    </row>
    <row r="821" customFormat="false" ht="15" hidden="false" customHeight="false" outlineLevel="0" collapsed="false">
      <c r="A821" s="1" t="s">
        <v>1039</v>
      </c>
      <c r="B821" s="11" t="str">
        <f aca="false">DEC2HEX(C821+HEX2DEC(10000))</f>
        <v>1F620</v>
      </c>
      <c r="C821" s="1" t="n">
        <v>63008</v>
      </c>
      <c r="D821" s="9" t="str">
        <f aca="false">DEC2HEX(C821,4)</f>
        <v>F620</v>
      </c>
      <c r="E821" s="10" t="str">
        <f aca="false">_xlfn.UNICHAR(C821)</f>
        <v></v>
      </c>
      <c r="F821" s="1" t="n">
        <f aca="false">C821-C820</f>
        <v>1</v>
      </c>
      <c r="G821" s="17"/>
    </row>
    <row r="822" customFormat="false" ht="15" hidden="false" customHeight="false" outlineLevel="0" collapsed="false">
      <c r="A822" s="1" t="s">
        <v>1040</v>
      </c>
      <c r="B822" s="11" t="str">
        <f aca="false">DEC2HEX(C822+HEX2DEC(10000))</f>
        <v>1F621</v>
      </c>
      <c r="C822" s="1" t="n">
        <v>63009</v>
      </c>
      <c r="D822" s="9" t="str">
        <f aca="false">DEC2HEX(C822,4)</f>
        <v>F621</v>
      </c>
      <c r="E822" s="10" t="str">
        <f aca="false">_xlfn.UNICHAR(C822)</f>
        <v></v>
      </c>
      <c r="F822" s="1" t="n">
        <f aca="false">C822-C821</f>
        <v>1</v>
      </c>
      <c r="G822" s="17"/>
    </row>
    <row r="823" customFormat="false" ht="15" hidden="false" customHeight="false" outlineLevel="0" collapsed="false">
      <c r="A823" s="1" t="s">
        <v>1041</v>
      </c>
      <c r="B823" s="11" t="str">
        <f aca="false">DEC2HEX(C823+HEX2DEC(10000))</f>
        <v>1F622</v>
      </c>
      <c r="C823" s="1" t="n">
        <v>63010</v>
      </c>
      <c r="D823" s="9" t="str">
        <f aca="false">DEC2HEX(C823,4)</f>
        <v>F622</v>
      </c>
      <c r="E823" s="10" t="str">
        <f aca="false">_xlfn.UNICHAR(C823)</f>
        <v></v>
      </c>
      <c r="F823" s="1" t="n">
        <f aca="false">C823-C822</f>
        <v>1</v>
      </c>
      <c r="G823" s="17"/>
    </row>
    <row r="824" customFormat="false" ht="15" hidden="false" customHeight="false" outlineLevel="0" collapsed="false">
      <c r="A824" s="1" t="s">
        <v>1042</v>
      </c>
      <c r="B824" s="11" t="str">
        <f aca="false">DEC2HEX(C824+HEX2DEC(10000))</f>
        <v>1F623</v>
      </c>
      <c r="C824" s="1" t="n">
        <v>63011</v>
      </c>
      <c r="D824" s="9" t="str">
        <f aca="false">DEC2HEX(C824,4)</f>
        <v>F623</v>
      </c>
      <c r="E824" s="10" t="str">
        <f aca="false">_xlfn.UNICHAR(C824)</f>
        <v></v>
      </c>
      <c r="F824" s="1" t="n">
        <f aca="false">C824-C823</f>
        <v>1</v>
      </c>
      <c r="G824" s="17"/>
    </row>
    <row r="825" customFormat="false" ht="15" hidden="false" customHeight="false" outlineLevel="0" collapsed="false">
      <c r="A825" s="1" t="s">
        <v>1043</v>
      </c>
      <c r="B825" s="11" t="str">
        <f aca="false">DEC2HEX(C825+HEX2DEC(10000))</f>
        <v>1F624</v>
      </c>
      <c r="C825" s="1" t="n">
        <v>63012</v>
      </c>
      <c r="D825" s="9" t="str">
        <f aca="false">DEC2HEX(C825,4)</f>
        <v>F624</v>
      </c>
      <c r="E825" s="10" t="str">
        <f aca="false">_xlfn.UNICHAR(C825)</f>
        <v></v>
      </c>
      <c r="F825" s="1" t="n">
        <f aca="false">C825-C824</f>
        <v>1</v>
      </c>
      <c r="G825" s="17"/>
    </row>
    <row r="826" customFormat="false" ht="15" hidden="false" customHeight="false" outlineLevel="0" collapsed="false">
      <c r="A826" s="1" t="s">
        <v>1044</v>
      </c>
      <c r="B826" s="11" t="str">
        <f aca="false">DEC2HEX(C826+HEX2DEC(10000))</f>
        <v>1F625</v>
      </c>
      <c r="C826" s="1" t="n">
        <v>63013</v>
      </c>
      <c r="D826" s="9" t="str">
        <f aca="false">DEC2HEX(C826,4)</f>
        <v>F625</v>
      </c>
      <c r="E826" s="10" t="str">
        <f aca="false">_xlfn.UNICHAR(C826)</f>
        <v></v>
      </c>
      <c r="F826" s="1" t="n">
        <f aca="false">C826-C825</f>
        <v>1</v>
      </c>
      <c r="G826" s="17"/>
    </row>
    <row r="827" customFormat="false" ht="15" hidden="false" customHeight="false" outlineLevel="0" collapsed="false">
      <c r="A827" s="1" t="s">
        <v>1045</v>
      </c>
      <c r="B827" s="11" t="str">
        <f aca="false">DEC2HEX(C827+HEX2DEC(10000))</f>
        <v>1F626</v>
      </c>
      <c r="C827" s="1" t="n">
        <v>63014</v>
      </c>
      <c r="D827" s="9" t="str">
        <f aca="false">DEC2HEX(C827,4)</f>
        <v>F626</v>
      </c>
      <c r="E827" s="10" t="str">
        <f aca="false">_xlfn.UNICHAR(C827)</f>
        <v></v>
      </c>
      <c r="F827" s="1" t="n">
        <f aca="false">C827-C826</f>
        <v>1</v>
      </c>
      <c r="G827" s="17"/>
    </row>
    <row r="828" customFormat="false" ht="15" hidden="false" customHeight="false" outlineLevel="0" collapsed="false">
      <c r="A828" s="1" t="s">
        <v>1046</v>
      </c>
      <c r="B828" s="11" t="str">
        <f aca="false">DEC2HEX(C828+HEX2DEC(10000))</f>
        <v>1F627</v>
      </c>
      <c r="C828" s="1" t="n">
        <v>63015</v>
      </c>
      <c r="D828" s="9" t="str">
        <f aca="false">DEC2HEX(C828,4)</f>
        <v>F627</v>
      </c>
      <c r="E828" s="10" t="str">
        <f aca="false">_xlfn.UNICHAR(C828)</f>
        <v></v>
      </c>
      <c r="F828" s="1" t="n">
        <f aca="false">C828-C827</f>
        <v>1</v>
      </c>
      <c r="G828" s="17"/>
    </row>
    <row r="829" customFormat="false" ht="15" hidden="false" customHeight="false" outlineLevel="0" collapsed="false">
      <c r="A829" s="1" t="s">
        <v>1047</v>
      </c>
      <c r="B829" s="11" t="str">
        <f aca="false">DEC2HEX(C829+HEX2DEC(10000))</f>
        <v>1F628</v>
      </c>
      <c r="C829" s="1" t="n">
        <v>63016</v>
      </c>
      <c r="D829" s="9" t="str">
        <f aca="false">DEC2HEX(C829,4)</f>
        <v>F628</v>
      </c>
      <c r="E829" s="10" t="str">
        <f aca="false">_xlfn.UNICHAR(C829)</f>
        <v></v>
      </c>
      <c r="F829" s="1" t="n">
        <f aca="false">C829-C828</f>
        <v>1</v>
      </c>
      <c r="G829" s="17"/>
    </row>
    <row r="830" customFormat="false" ht="15" hidden="false" customHeight="false" outlineLevel="0" collapsed="false">
      <c r="A830" s="1" t="s">
        <v>1048</v>
      </c>
      <c r="B830" s="11" t="str">
        <f aca="false">DEC2HEX(C830+HEX2DEC(10000))</f>
        <v>1F629</v>
      </c>
      <c r="C830" s="1" t="n">
        <v>63017</v>
      </c>
      <c r="D830" s="9" t="str">
        <f aca="false">DEC2HEX(C830,4)</f>
        <v>F629</v>
      </c>
      <c r="E830" s="10" t="str">
        <f aca="false">_xlfn.UNICHAR(C830)</f>
        <v></v>
      </c>
      <c r="F830" s="1" t="n">
        <f aca="false">C830-C829</f>
        <v>1</v>
      </c>
      <c r="G830" s="17"/>
    </row>
    <row r="831" customFormat="false" ht="15" hidden="false" customHeight="false" outlineLevel="0" collapsed="false">
      <c r="A831" s="1" t="s">
        <v>1049</v>
      </c>
      <c r="B831" s="11" t="str">
        <f aca="false">DEC2HEX(C831+HEX2DEC(10000))</f>
        <v>1F62A</v>
      </c>
      <c r="C831" s="1" t="n">
        <v>63018</v>
      </c>
      <c r="D831" s="9" t="str">
        <f aca="false">DEC2HEX(C831,4)</f>
        <v>F62A</v>
      </c>
      <c r="E831" s="10" t="str">
        <f aca="false">_xlfn.UNICHAR(C831)</f>
        <v></v>
      </c>
      <c r="F831" s="1" t="n">
        <f aca="false">C831-C830</f>
        <v>1</v>
      </c>
      <c r="G831" s="17"/>
    </row>
    <row r="832" customFormat="false" ht="15" hidden="false" customHeight="false" outlineLevel="0" collapsed="false">
      <c r="A832" s="1" t="s">
        <v>1050</v>
      </c>
      <c r="B832" s="11" t="str">
        <f aca="false">DEC2HEX(C832+HEX2DEC(10000))</f>
        <v>1F62B</v>
      </c>
      <c r="C832" s="1" t="n">
        <v>63019</v>
      </c>
      <c r="D832" s="9" t="str">
        <f aca="false">DEC2HEX(C832,4)</f>
        <v>F62B</v>
      </c>
      <c r="E832" s="10" t="str">
        <f aca="false">_xlfn.UNICHAR(C832)</f>
        <v></v>
      </c>
      <c r="F832" s="1" t="n">
        <f aca="false">C832-C831</f>
        <v>1</v>
      </c>
      <c r="G832" s="17"/>
    </row>
    <row r="833" customFormat="false" ht="15" hidden="false" customHeight="false" outlineLevel="0" collapsed="false">
      <c r="A833" s="1" t="s">
        <v>1051</v>
      </c>
      <c r="B833" s="11" t="str">
        <f aca="false">DEC2HEX(C833+HEX2DEC(10000))</f>
        <v>1F62C</v>
      </c>
      <c r="C833" s="1" t="n">
        <v>63020</v>
      </c>
      <c r="D833" s="9" t="str">
        <f aca="false">DEC2HEX(C833,4)</f>
        <v>F62C</v>
      </c>
      <c r="E833" s="10" t="str">
        <f aca="false">_xlfn.UNICHAR(C833)</f>
        <v></v>
      </c>
      <c r="F833" s="1" t="n">
        <f aca="false">C833-C832</f>
        <v>1</v>
      </c>
      <c r="G833" s="17"/>
    </row>
    <row r="834" customFormat="false" ht="15" hidden="false" customHeight="false" outlineLevel="0" collapsed="false">
      <c r="A834" s="1" t="s">
        <v>1052</v>
      </c>
      <c r="B834" s="11" t="str">
        <f aca="false">DEC2HEX(C834+HEX2DEC(10000))</f>
        <v>1F62D</v>
      </c>
      <c r="C834" s="1" t="n">
        <v>63021</v>
      </c>
      <c r="D834" s="9" t="str">
        <f aca="false">DEC2HEX(C834,4)</f>
        <v>F62D</v>
      </c>
      <c r="E834" s="10" t="str">
        <f aca="false">_xlfn.UNICHAR(C834)</f>
        <v></v>
      </c>
      <c r="F834" s="1" t="n">
        <f aca="false">C834-C833</f>
        <v>1</v>
      </c>
      <c r="G834" s="17"/>
    </row>
    <row r="835" customFormat="false" ht="15" hidden="false" customHeight="false" outlineLevel="0" collapsed="false">
      <c r="A835" s="1" t="s">
        <v>1053</v>
      </c>
      <c r="B835" s="11" t="str">
        <f aca="false">DEC2HEX(C835+HEX2DEC(10000))</f>
        <v>1F62E</v>
      </c>
      <c r="C835" s="1" t="n">
        <v>63022</v>
      </c>
      <c r="D835" s="9" t="str">
        <f aca="false">DEC2HEX(C835,4)</f>
        <v>F62E</v>
      </c>
      <c r="E835" s="10" t="str">
        <f aca="false">_xlfn.UNICHAR(C835)</f>
        <v></v>
      </c>
      <c r="F835" s="1" t="n">
        <f aca="false">C835-C834</f>
        <v>1</v>
      </c>
      <c r="G835" s="17"/>
    </row>
    <row r="836" customFormat="false" ht="15" hidden="false" customHeight="false" outlineLevel="0" collapsed="false">
      <c r="A836" s="1" t="s">
        <v>1054</v>
      </c>
      <c r="B836" s="11" t="str">
        <f aca="false">DEC2HEX(C836+HEX2DEC(10000))</f>
        <v>1F62F</v>
      </c>
      <c r="C836" s="1" t="n">
        <v>63023</v>
      </c>
      <c r="D836" s="9" t="str">
        <f aca="false">DEC2HEX(C836,4)</f>
        <v>F62F</v>
      </c>
      <c r="E836" s="10" t="str">
        <f aca="false">_xlfn.UNICHAR(C836)</f>
        <v></v>
      </c>
      <c r="F836" s="1" t="n">
        <f aca="false">C836-C835</f>
        <v>1</v>
      </c>
      <c r="G836" s="17"/>
    </row>
    <row r="837" customFormat="false" ht="15" hidden="false" customHeight="false" outlineLevel="0" collapsed="false">
      <c r="A837" s="1" t="s">
        <v>1055</v>
      </c>
      <c r="B837" s="11" t="str">
        <f aca="false">DEC2HEX(C837+HEX2DEC(10000))</f>
        <v>1F630</v>
      </c>
      <c r="C837" s="1" t="n">
        <v>63024</v>
      </c>
      <c r="D837" s="9" t="str">
        <f aca="false">DEC2HEX(C837,4)</f>
        <v>F630</v>
      </c>
      <c r="E837" s="10" t="str">
        <f aca="false">_xlfn.UNICHAR(C837)</f>
        <v></v>
      </c>
      <c r="F837" s="1" t="n">
        <f aca="false">C837-C836</f>
        <v>1</v>
      </c>
      <c r="G837" s="17"/>
    </row>
    <row r="838" customFormat="false" ht="15" hidden="false" customHeight="false" outlineLevel="0" collapsed="false">
      <c r="A838" s="1" t="s">
        <v>1056</v>
      </c>
      <c r="B838" s="11" t="str">
        <f aca="false">DEC2HEX(C838+HEX2DEC(10000))</f>
        <v>1F631</v>
      </c>
      <c r="C838" s="1" t="n">
        <v>63025</v>
      </c>
      <c r="D838" s="9" t="str">
        <f aca="false">DEC2HEX(C838,4)</f>
        <v>F631</v>
      </c>
      <c r="E838" s="10" t="str">
        <f aca="false">_xlfn.UNICHAR(C838)</f>
        <v></v>
      </c>
      <c r="F838" s="1" t="n">
        <f aca="false">C838-C837</f>
        <v>1</v>
      </c>
      <c r="G838" s="17"/>
    </row>
    <row r="839" customFormat="false" ht="15" hidden="false" customHeight="false" outlineLevel="0" collapsed="false">
      <c r="A839" s="1" t="s">
        <v>1057</v>
      </c>
      <c r="B839" s="11" t="str">
        <f aca="false">DEC2HEX(C839+HEX2DEC(10000))</f>
        <v>1F632</v>
      </c>
      <c r="C839" s="1" t="n">
        <v>63026</v>
      </c>
      <c r="D839" s="9" t="str">
        <f aca="false">DEC2HEX(C839,4)</f>
        <v>F632</v>
      </c>
      <c r="E839" s="10" t="str">
        <f aca="false">_xlfn.UNICHAR(C839)</f>
        <v></v>
      </c>
      <c r="F839" s="1" t="n">
        <f aca="false">C839-C838</f>
        <v>1</v>
      </c>
      <c r="G839" s="17"/>
    </row>
    <row r="840" customFormat="false" ht="15" hidden="false" customHeight="false" outlineLevel="0" collapsed="false">
      <c r="A840" s="1" t="s">
        <v>1058</v>
      </c>
      <c r="B840" s="11" t="str">
        <f aca="false">DEC2HEX(C840+HEX2DEC(10000))</f>
        <v>1F633</v>
      </c>
      <c r="C840" s="1" t="n">
        <v>63027</v>
      </c>
      <c r="D840" s="9" t="str">
        <f aca="false">DEC2HEX(C840,4)</f>
        <v>F633</v>
      </c>
      <c r="E840" s="10" t="str">
        <f aca="false">_xlfn.UNICHAR(C840)</f>
        <v></v>
      </c>
      <c r="F840" s="1" t="n">
        <f aca="false">C840-C839</f>
        <v>1</v>
      </c>
      <c r="G840" s="17"/>
    </row>
    <row r="841" customFormat="false" ht="15" hidden="false" customHeight="false" outlineLevel="0" collapsed="false">
      <c r="A841" s="1" t="s">
        <v>1059</v>
      </c>
      <c r="B841" s="11" t="str">
        <f aca="false">DEC2HEX(C841+HEX2DEC(10000))</f>
        <v>1F634</v>
      </c>
      <c r="C841" s="1" t="n">
        <v>63028</v>
      </c>
      <c r="D841" s="9" t="str">
        <f aca="false">DEC2HEX(C841,4)</f>
        <v>F634</v>
      </c>
      <c r="E841" s="10" t="str">
        <f aca="false">_xlfn.UNICHAR(C841)</f>
        <v></v>
      </c>
      <c r="F841" s="1" t="n">
        <f aca="false">C841-C840</f>
        <v>1</v>
      </c>
      <c r="G841" s="17"/>
    </row>
    <row r="842" customFormat="false" ht="15" hidden="false" customHeight="false" outlineLevel="0" collapsed="false">
      <c r="A842" s="1" t="s">
        <v>1060</v>
      </c>
      <c r="B842" s="11" t="str">
        <f aca="false">DEC2HEX(C842+HEX2DEC(10000))</f>
        <v>1F635</v>
      </c>
      <c r="C842" s="1" t="n">
        <v>63029</v>
      </c>
      <c r="D842" s="9" t="str">
        <f aca="false">DEC2HEX(C842,4)</f>
        <v>F635</v>
      </c>
      <c r="E842" s="10" t="str">
        <f aca="false">_xlfn.UNICHAR(C842)</f>
        <v></v>
      </c>
      <c r="F842" s="1" t="n">
        <f aca="false">C842-C841</f>
        <v>1</v>
      </c>
      <c r="G842" s="17"/>
    </row>
    <row r="843" customFormat="false" ht="15" hidden="false" customHeight="false" outlineLevel="0" collapsed="false">
      <c r="A843" s="1" t="s">
        <v>1061</v>
      </c>
      <c r="B843" s="11" t="str">
        <f aca="false">DEC2HEX(C843+HEX2DEC(10000))</f>
        <v>1F636</v>
      </c>
      <c r="C843" s="1" t="n">
        <v>63030</v>
      </c>
      <c r="D843" s="9" t="str">
        <f aca="false">DEC2HEX(C843,4)</f>
        <v>F636</v>
      </c>
      <c r="E843" s="10" t="str">
        <f aca="false">_xlfn.UNICHAR(C843)</f>
        <v></v>
      </c>
      <c r="F843" s="1" t="n">
        <f aca="false">C843-C842</f>
        <v>1</v>
      </c>
      <c r="G843" s="17"/>
    </row>
    <row r="844" customFormat="false" ht="15" hidden="false" customHeight="false" outlineLevel="0" collapsed="false">
      <c r="A844" s="1" t="s">
        <v>1062</v>
      </c>
      <c r="B844" s="11" t="str">
        <f aca="false">DEC2HEX(C844+HEX2DEC(10000))</f>
        <v>1F637</v>
      </c>
      <c r="C844" s="1" t="n">
        <v>63031</v>
      </c>
      <c r="D844" s="9" t="str">
        <f aca="false">DEC2HEX(C844,4)</f>
        <v>F637</v>
      </c>
      <c r="E844" s="10" t="str">
        <f aca="false">_xlfn.UNICHAR(C844)</f>
        <v></v>
      </c>
      <c r="F844" s="1" t="n">
        <f aca="false">C844-C843</f>
        <v>1</v>
      </c>
      <c r="G844" s="17"/>
    </row>
    <row r="845" customFormat="false" ht="15" hidden="false" customHeight="false" outlineLevel="0" collapsed="false">
      <c r="A845" s="1" t="s">
        <v>1063</v>
      </c>
      <c r="B845" s="11" t="str">
        <f aca="false">DEC2HEX(C845+HEX2DEC(10000))</f>
        <v>1F638</v>
      </c>
      <c r="C845" s="1" t="n">
        <v>63032</v>
      </c>
      <c r="D845" s="9" t="str">
        <f aca="false">DEC2HEX(C845,4)</f>
        <v>F638</v>
      </c>
      <c r="E845" s="10" t="str">
        <f aca="false">_xlfn.UNICHAR(C845)</f>
        <v></v>
      </c>
      <c r="F845" s="1" t="n">
        <f aca="false">C845-C844</f>
        <v>1</v>
      </c>
      <c r="G845" s="17"/>
    </row>
    <row r="846" customFormat="false" ht="15" hidden="false" customHeight="false" outlineLevel="0" collapsed="false">
      <c r="A846" s="1" t="s">
        <v>1064</v>
      </c>
      <c r="B846" s="11" t="str">
        <f aca="false">DEC2HEX(C846+HEX2DEC(10000))</f>
        <v>1F639</v>
      </c>
      <c r="C846" s="1" t="n">
        <v>63033</v>
      </c>
      <c r="D846" s="9" t="str">
        <f aca="false">DEC2HEX(C846,4)</f>
        <v>F639</v>
      </c>
      <c r="E846" s="10" t="str">
        <f aca="false">_xlfn.UNICHAR(C846)</f>
        <v></v>
      </c>
      <c r="F846" s="1" t="n">
        <f aca="false">C846-C845</f>
        <v>1</v>
      </c>
      <c r="G846" s="17"/>
    </row>
    <row r="847" customFormat="false" ht="15" hidden="false" customHeight="false" outlineLevel="0" collapsed="false">
      <c r="A847" s="1" t="s">
        <v>1065</v>
      </c>
      <c r="B847" s="11" t="str">
        <f aca="false">DEC2HEX(C847+HEX2DEC(10000))</f>
        <v>1F644</v>
      </c>
      <c r="C847" s="1" t="n">
        <v>63044</v>
      </c>
      <c r="D847" s="9" t="str">
        <f aca="false">DEC2HEX(C847,4)</f>
        <v>F644</v>
      </c>
      <c r="E847" s="10" t="str">
        <f aca="false">_xlfn.UNICHAR(C847)</f>
        <v></v>
      </c>
      <c r="F847" s="1" t="n">
        <f aca="false">C847-C846</f>
        <v>11</v>
      </c>
      <c r="G847" s="17"/>
    </row>
    <row r="848" customFormat="false" ht="15" hidden="false" customHeight="false" outlineLevel="0" collapsed="false">
      <c r="A848" s="1" t="s">
        <v>1066</v>
      </c>
      <c r="B848" s="11" t="str">
        <f aca="false">DEC2HEX(C848+HEX2DEC(10000))</f>
        <v>1F645</v>
      </c>
      <c r="C848" s="1" t="n">
        <v>63045</v>
      </c>
      <c r="D848" s="9" t="str">
        <f aca="false">DEC2HEX(C848,4)</f>
        <v>F645</v>
      </c>
      <c r="E848" s="10" t="str">
        <f aca="false">_xlfn.UNICHAR(C848)</f>
        <v></v>
      </c>
      <c r="F848" s="1" t="n">
        <f aca="false">C848-C847</f>
        <v>1</v>
      </c>
      <c r="G848" s="17"/>
    </row>
    <row r="849" customFormat="false" ht="15" hidden="false" customHeight="false" outlineLevel="0" collapsed="false">
      <c r="A849" s="1" t="s">
        <v>1067</v>
      </c>
      <c r="B849" s="11" t="str">
        <f aca="false">DEC2HEX(C849+HEX2DEC(10000))</f>
        <v>1F646</v>
      </c>
      <c r="C849" s="1" t="n">
        <v>63046</v>
      </c>
      <c r="D849" s="9" t="str">
        <f aca="false">DEC2HEX(C849,4)</f>
        <v>F646</v>
      </c>
      <c r="E849" s="10" t="str">
        <f aca="false">_xlfn.UNICHAR(C849)</f>
        <v></v>
      </c>
      <c r="F849" s="1" t="n">
        <f aca="false">C849-C848</f>
        <v>1</v>
      </c>
      <c r="G849" s="17"/>
    </row>
    <row r="850" customFormat="false" ht="15" hidden="false" customHeight="false" outlineLevel="0" collapsed="false">
      <c r="A850" s="1" t="s">
        <v>1068</v>
      </c>
      <c r="B850" s="11" t="str">
        <f aca="false">DEC2HEX(C850+HEX2DEC(10000))</f>
        <v>1F647</v>
      </c>
      <c r="C850" s="1" t="n">
        <v>63047</v>
      </c>
      <c r="D850" s="9" t="str">
        <f aca="false">DEC2HEX(C850,4)</f>
        <v>F647</v>
      </c>
      <c r="E850" s="10" t="str">
        <f aca="false">_xlfn.UNICHAR(C850)</f>
        <v></v>
      </c>
      <c r="F850" s="1" t="n">
        <f aca="false">C850-C849</f>
        <v>1</v>
      </c>
      <c r="G850" s="17"/>
    </row>
    <row r="851" customFormat="false" ht="15" hidden="false" customHeight="false" outlineLevel="0" collapsed="false">
      <c r="A851" s="1" t="s">
        <v>1069</v>
      </c>
      <c r="B851" s="11" t="str">
        <f aca="false">DEC2HEX(C851+HEX2DEC(10000))</f>
        <v>1F648</v>
      </c>
      <c r="C851" s="1" t="n">
        <v>63048</v>
      </c>
      <c r="D851" s="9" t="str">
        <f aca="false">DEC2HEX(C851,4)</f>
        <v>F648</v>
      </c>
      <c r="E851" s="10" t="str">
        <f aca="false">_xlfn.UNICHAR(C851)</f>
        <v></v>
      </c>
      <c r="F851" s="1" t="n">
        <f aca="false">C851-C850</f>
        <v>1</v>
      </c>
      <c r="G851" s="17"/>
    </row>
    <row r="852" customFormat="false" ht="15" hidden="false" customHeight="false" outlineLevel="0" collapsed="false">
      <c r="A852" s="1" t="s">
        <v>1070</v>
      </c>
      <c r="B852" s="11" t="str">
        <f aca="false">DEC2HEX(C852+HEX2DEC(10000))</f>
        <v>1F649</v>
      </c>
      <c r="C852" s="1" t="n">
        <v>63049</v>
      </c>
      <c r="D852" s="9" t="str">
        <f aca="false">DEC2HEX(C852,4)</f>
        <v>F649</v>
      </c>
      <c r="E852" s="10" t="str">
        <f aca="false">_xlfn.UNICHAR(C852)</f>
        <v></v>
      </c>
      <c r="F852" s="1" t="n">
        <f aca="false">C852-C851</f>
        <v>1</v>
      </c>
      <c r="G852" s="17"/>
    </row>
    <row r="853" customFormat="false" ht="15" hidden="false" customHeight="false" outlineLevel="0" collapsed="false">
      <c r="A853" s="1" t="s">
        <v>1071</v>
      </c>
      <c r="B853" s="11" t="str">
        <f aca="false">DEC2HEX(C853+HEX2DEC(10000))</f>
        <v>1F64A</v>
      </c>
      <c r="C853" s="1" t="n">
        <v>63050</v>
      </c>
      <c r="D853" s="9" t="str">
        <f aca="false">DEC2HEX(C853,4)</f>
        <v>F64A</v>
      </c>
      <c r="E853" s="10" t="str">
        <f aca="false">_xlfn.UNICHAR(C853)</f>
        <v></v>
      </c>
      <c r="F853" s="1" t="n">
        <f aca="false">C853-C852</f>
        <v>1</v>
      </c>
      <c r="G853" s="17"/>
    </row>
    <row r="854" customFormat="false" ht="15" hidden="false" customHeight="false" outlineLevel="0" collapsed="false">
      <c r="A854" s="1" t="s">
        <v>1072</v>
      </c>
      <c r="B854" s="11" t="str">
        <f aca="false">DEC2HEX(C854+HEX2DEC(10000))</f>
        <v>1F64B</v>
      </c>
      <c r="C854" s="1" t="n">
        <v>63051</v>
      </c>
      <c r="D854" s="9" t="str">
        <f aca="false">DEC2HEX(C854,4)</f>
        <v>F64B</v>
      </c>
      <c r="E854" s="10" t="str">
        <f aca="false">_xlfn.UNICHAR(C854)</f>
        <v></v>
      </c>
      <c r="F854" s="1" t="n">
        <f aca="false">C854-C853</f>
        <v>1</v>
      </c>
      <c r="G854" s="17"/>
    </row>
    <row r="855" customFormat="false" ht="15" hidden="false" customHeight="false" outlineLevel="0" collapsed="false">
      <c r="A855" s="1" t="s">
        <v>1073</v>
      </c>
      <c r="B855" s="11" t="str">
        <f aca="false">DEC2HEX(C855+HEX2DEC(10000))</f>
        <v>1F64C</v>
      </c>
      <c r="C855" s="1" t="n">
        <v>63052</v>
      </c>
      <c r="D855" s="9" t="str">
        <f aca="false">DEC2HEX(C855,4)</f>
        <v>F64C</v>
      </c>
      <c r="E855" s="10" t="str">
        <f aca="false">_xlfn.UNICHAR(C855)</f>
        <v></v>
      </c>
      <c r="F855" s="1" t="n">
        <f aca="false">C855-C854</f>
        <v>1</v>
      </c>
      <c r="G855" s="17"/>
    </row>
    <row r="856" customFormat="false" ht="15" hidden="false" customHeight="false" outlineLevel="0" collapsed="false">
      <c r="A856" s="1" t="s">
        <v>1074</v>
      </c>
      <c r="B856" s="11" t="str">
        <f aca="false">DEC2HEX(C856+HEX2DEC(10000))</f>
        <v>1F64D</v>
      </c>
      <c r="C856" s="1" t="n">
        <v>63053</v>
      </c>
      <c r="D856" s="9" t="str">
        <f aca="false">DEC2HEX(C856,4)</f>
        <v>F64D</v>
      </c>
      <c r="E856" s="10" t="str">
        <f aca="false">_xlfn.UNICHAR(C856)</f>
        <v></v>
      </c>
      <c r="F856" s="1" t="n">
        <f aca="false">C856-C855</f>
        <v>1</v>
      </c>
      <c r="G856" s="17"/>
    </row>
    <row r="857" customFormat="false" ht="15" hidden="false" customHeight="false" outlineLevel="0" collapsed="false">
      <c r="A857" s="1" t="s">
        <v>1075</v>
      </c>
      <c r="B857" s="11" t="str">
        <f aca="false">DEC2HEX(C857+HEX2DEC(10000))</f>
        <v>1F64E</v>
      </c>
      <c r="C857" s="1" t="n">
        <v>63054</v>
      </c>
      <c r="D857" s="9" t="str">
        <f aca="false">DEC2HEX(C857,4)</f>
        <v>F64E</v>
      </c>
      <c r="E857" s="10" t="str">
        <f aca="false">_xlfn.UNICHAR(C857)</f>
        <v></v>
      </c>
      <c r="F857" s="1" t="n">
        <f aca="false">C857-C856</f>
        <v>1</v>
      </c>
      <c r="G857" s="17"/>
    </row>
    <row r="858" customFormat="false" ht="15" hidden="false" customHeight="false" outlineLevel="0" collapsed="false">
      <c r="A858" s="1" t="s">
        <v>1076</v>
      </c>
      <c r="B858" s="11" t="str">
        <f aca="false">DEC2HEX(C858+HEX2DEC(10000))</f>
        <v>1F64F</v>
      </c>
      <c r="C858" s="1" t="n">
        <v>63055</v>
      </c>
      <c r="D858" s="9" t="str">
        <f aca="false">DEC2HEX(C858,4)</f>
        <v>F64F</v>
      </c>
      <c r="E858" s="10" t="str">
        <f aca="false">_xlfn.UNICHAR(C858)</f>
        <v></v>
      </c>
      <c r="F858" s="1" t="n">
        <f aca="false">C858-C857</f>
        <v>1</v>
      </c>
      <c r="G858" s="17"/>
    </row>
    <row r="859" customFormat="false" ht="15" hidden="false" customHeight="false" outlineLevel="0" collapsed="false">
      <c r="A859" s="1" t="str">
        <f aca="false">_xlfn.TEXTJOIN( , ,"PRIVATE_EMOJI_",DEC2HEX(C859+64768))</f>
        <v>PRIVATE_EMOJI_1F440</v>
      </c>
      <c r="B859" s="11" t="str">
        <f aca="false">DEC2HEX(C859+HEX2DEC("fd00"))</f>
        <v>1F440</v>
      </c>
      <c r="C859" s="1" t="n">
        <v>63296</v>
      </c>
      <c r="D859" s="9" t="str">
        <f aca="false">DEC2HEX(C859,4)</f>
        <v>F740</v>
      </c>
      <c r="E859" s="10" t="str">
        <f aca="false">_xlfn.UNICHAR(C859)</f>
        <v></v>
      </c>
      <c r="F859" s="1" t="n">
        <f aca="false">C859-C858</f>
        <v>241</v>
      </c>
      <c r="G859" s="18" t="s">
        <v>1077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PRIVATE_EMOJI_1F441</v>
      </c>
      <c r="B860" s="11" t="str">
        <f aca="false">DEC2HEX(C860+HEX2DEC("fd00"))</f>
        <v>1F441</v>
      </c>
      <c r="C860" s="1" t="n">
        <v>63297</v>
      </c>
      <c r="D860" s="9" t="str">
        <f aca="false">DEC2HEX(C860,4)</f>
        <v>F741</v>
      </c>
      <c r="E860" s="10" t="str">
        <f aca="false">_xlfn.UNICHAR(C860)</f>
        <v></v>
      </c>
      <c r="F860" s="1" t="n">
        <f aca="false">C860-C859</f>
        <v>1</v>
      </c>
      <c r="G860" s="18"/>
    </row>
    <row r="861" customFormat="false" ht="15" hidden="false" customHeight="false" outlineLevel="0" collapsed="false">
      <c r="A861" s="1" t="str">
        <f aca="false">_xlfn.TEXTJOIN( , ,"PRIVATE_EMOJI_",DEC2HEX(C861+64768))</f>
        <v>PRIVATE_EMOJI_1F442</v>
      </c>
      <c r="B861" s="11" t="str">
        <f aca="false">DEC2HEX(C861+HEX2DEC("fd00"))</f>
        <v>1F442</v>
      </c>
      <c r="C861" s="1" t="n">
        <v>63298</v>
      </c>
      <c r="D861" s="9" t="str">
        <f aca="false">DEC2HEX(C861,4)</f>
        <v>F742</v>
      </c>
      <c r="E861" s="10" t="str">
        <f aca="false">_xlfn.UNICHAR(C861)</f>
        <v></v>
      </c>
      <c r="F861" s="1" t="n">
        <f aca="false">C861-C860</f>
        <v>1</v>
      </c>
      <c r="G861" s="18"/>
    </row>
    <row r="862" customFormat="false" ht="15" hidden="false" customHeight="false" outlineLevel="0" collapsed="false">
      <c r="A862" s="1" t="str">
        <f aca="false">_xlfn.TEXTJOIN( , ,"PRIVATE_EMOJI_",DEC2HEX(C862+64768))</f>
        <v>PRIVATE_EMOJI_1F443</v>
      </c>
      <c r="B862" s="11" t="str">
        <f aca="false">DEC2HEX(C862+HEX2DEC("fd00"))</f>
        <v>1F443</v>
      </c>
      <c r="C862" s="1" t="n">
        <v>63299</v>
      </c>
      <c r="D862" s="9" t="str">
        <f aca="false">DEC2HEX(C862,4)</f>
        <v>F743</v>
      </c>
      <c r="E862" s="10" t="str">
        <f aca="false">_xlfn.UNICHAR(C862)</f>
        <v></v>
      </c>
      <c r="F862" s="1" t="n">
        <f aca="false">C862-C861</f>
        <v>1</v>
      </c>
      <c r="G862" s="18"/>
    </row>
    <row r="863" customFormat="false" ht="15" hidden="false" customHeight="false" outlineLevel="0" collapsed="false">
      <c r="A863" s="1" t="str">
        <f aca="false">_xlfn.TEXTJOIN( , ,"PRIVATE_EMOJI_",DEC2HEX(C863+64768))</f>
        <v>PRIVATE_EMOJI_1F444</v>
      </c>
      <c r="B863" s="11" t="str">
        <f aca="false">DEC2HEX(C863+HEX2DEC("fd00"))</f>
        <v>1F444</v>
      </c>
      <c r="C863" s="1" t="n">
        <v>63300</v>
      </c>
      <c r="D863" s="9" t="str">
        <f aca="false">DEC2HEX(C863,4)</f>
        <v>F744</v>
      </c>
      <c r="E863" s="10" t="str">
        <f aca="false">_xlfn.UNICHAR(C863)</f>
        <v></v>
      </c>
      <c r="F863" s="1" t="n">
        <f aca="false">C863-C862</f>
        <v>1</v>
      </c>
      <c r="G863" s="18"/>
    </row>
    <row r="864" customFormat="false" ht="15" hidden="false" customHeight="false" outlineLevel="0" collapsed="false">
      <c r="A864" s="1" t="str">
        <f aca="false">_xlfn.TEXTJOIN( , ,"PRIVATE_EMOJI_",DEC2HEX(C864+64768))</f>
        <v>PRIVATE_EMOJI_1F445</v>
      </c>
      <c r="B864" s="11" t="str">
        <f aca="false">DEC2HEX(C864+HEX2DEC("fd00"))</f>
        <v>1F445</v>
      </c>
      <c r="C864" s="1" t="n">
        <v>63301</v>
      </c>
      <c r="D864" s="9" t="str">
        <f aca="false">DEC2HEX(C864,4)</f>
        <v>F745</v>
      </c>
      <c r="E864" s="10" t="str">
        <f aca="false">_xlfn.UNICHAR(C864)</f>
        <v></v>
      </c>
      <c r="F864" s="1" t="n">
        <f aca="false">C864-C863</f>
        <v>1</v>
      </c>
      <c r="G864" s="18"/>
    </row>
    <row r="865" customFormat="false" ht="15" hidden="false" customHeight="false" outlineLevel="0" collapsed="false">
      <c r="A865" s="1" t="str">
        <f aca="false">_xlfn.TEXTJOIN( , ,"PRIVATE_EMOJI_",DEC2HEX(C865+64768))</f>
        <v>PRIVATE_EMOJI_1F446</v>
      </c>
      <c r="B865" s="11" t="str">
        <f aca="false">DEC2HEX(C865+HEX2DEC("fd00"))</f>
        <v>1F446</v>
      </c>
      <c r="C865" s="1" t="n">
        <v>63302</v>
      </c>
      <c r="D865" s="9" t="str">
        <f aca="false">DEC2HEX(C865,4)</f>
        <v>F746</v>
      </c>
      <c r="E865" s="10" t="str">
        <f aca="false">_xlfn.UNICHAR(C865)</f>
        <v></v>
      </c>
      <c r="F865" s="1" t="n">
        <f aca="false">C865-C864</f>
        <v>1</v>
      </c>
      <c r="G865" s="18"/>
    </row>
    <row r="866" customFormat="false" ht="15" hidden="false" customHeight="false" outlineLevel="0" collapsed="false">
      <c r="A866" s="1" t="str">
        <f aca="false">_xlfn.TEXTJOIN( , ,"PRIVATE_EMOJI_",DEC2HEX(C866+64768))</f>
        <v>PRIVATE_EMOJI_1F447</v>
      </c>
      <c r="B866" s="11" t="str">
        <f aca="false">DEC2HEX(C866+HEX2DEC("fd00"))</f>
        <v>1F447</v>
      </c>
      <c r="C866" s="1" t="n">
        <v>63303</v>
      </c>
      <c r="D866" s="9" t="str">
        <f aca="false">DEC2HEX(C866,4)</f>
        <v>F747</v>
      </c>
      <c r="E866" s="10" t="str">
        <f aca="false">_xlfn.UNICHAR(C866)</f>
        <v></v>
      </c>
      <c r="F866" s="1" t="n">
        <f aca="false">C866-C865</f>
        <v>1</v>
      </c>
      <c r="G866" s="18"/>
    </row>
    <row r="867" customFormat="false" ht="15" hidden="false" customHeight="false" outlineLevel="0" collapsed="false">
      <c r="A867" s="1" t="str">
        <f aca="false">_xlfn.TEXTJOIN( , ,"PRIVATE_EMOJI_",DEC2HEX(C867+64768))</f>
        <v>PRIVATE_EMOJI_1F448</v>
      </c>
      <c r="B867" s="11" t="str">
        <f aca="false">DEC2HEX(C867+HEX2DEC("fd00"))</f>
        <v>1F448</v>
      </c>
      <c r="C867" s="1" t="n">
        <v>63304</v>
      </c>
      <c r="D867" s="9" t="str">
        <f aca="false">DEC2HEX(C867,4)</f>
        <v>F748</v>
      </c>
      <c r="E867" s="10" t="str">
        <f aca="false">_xlfn.UNICHAR(C867)</f>
        <v></v>
      </c>
      <c r="F867" s="1" t="n">
        <f aca="false">C867-C866</f>
        <v>1</v>
      </c>
      <c r="G867" s="18"/>
    </row>
    <row r="868" customFormat="false" ht="15" hidden="false" customHeight="false" outlineLevel="0" collapsed="false">
      <c r="A868" s="1" t="str">
        <f aca="false">_xlfn.TEXTJOIN( , ,"PRIVATE_EMOJI_",DEC2HEX(C868+64768))</f>
        <v>PRIVATE_EMOJI_1F449</v>
      </c>
      <c r="B868" s="11" t="str">
        <f aca="false">DEC2HEX(C868+HEX2DEC("fd00"))</f>
        <v>1F449</v>
      </c>
      <c r="C868" s="1" t="n">
        <v>63305</v>
      </c>
      <c r="D868" s="9" t="str">
        <f aca="false">DEC2HEX(C868,4)</f>
        <v>F749</v>
      </c>
      <c r="E868" s="10" t="str">
        <f aca="false">_xlfn.UNICHAR(C868)</f>
        <v></v>
      </c>
      <c r="F868" s="1" t="n">
        <f aca="false">C868-C867</f>
        <v>1</v>
      </c>
      <c r="G868" s="18"/>
    </row>
    <row r="869" customFormat="false" ht="15" hidden="false" customHeight="false" outlineLevel="0" collapsed="false">
      <c r="A869" s="1" t="str">
        <f aca="false">_xlfn.TEXTJOIN( , ,"PRIVATE_EMOJI_",DEC2HEX(C869+64768))</f>
        <v>PRIVATE_EMOJI_1F44A</v>
      </c>
      <c r="B869" s="11" t="str">
        <f aca="false">DEC2HEX(C869+HEX2DEC("fd00"))</f>
        <v>1F44A</v>
      </c>
      <c r="C869" s="1" t="n">
        <v>63306</v>
      </c>
      <c r="D869" s="9" t="str">
        <f aca="false">DEC2HEX(C869,4)</f>
        <v>F74A</v>
      </c>
      <c r="E869" s="10" t="str">
        <f aca="false">_xlfn.UNICHAR(C869)</f>
        <v></v>
      </c>
      <c r="F869" s="1" t="n">
        <f aca="false">C869-C868</f>
        <v>1</v>
      </c>
      <c r="G869" s="18"/>
    </row>
    <row r="870" customFormat="false" ht="15" hidden="false" customHeight="false" outlineLevel="0" collapsed="false">
      <c r="A870" s="1" t="str">
        <f aca="false">_xlfn.TEXTJOIN( , ,"PRIVATE_EMOJI_",DEC2HEX(C870+64768))</f>
        <v>PRIVATE_EMOJI_1F44B</v>
      </c>
      <c r="B870" s="11" t="str">
        <f aca="false">DEC2HEX(C870+HEX2DEC("fd00"))</f>
        <v>1F44B</v>
      </c>
      <c r="C870" s="1" t="n">
        <v>63307</v>
      </c>
      <c r="D870" s="9" t="str">
        <f aca="false">DEC2HEX(C870,4)</f>
        <v>F74B</v>
      </c>
      <c r="E870" s="10" t="str">
        <f aca="false">_xlfn.UNICHAR(C870)</f>
        <v></v>
      </c>
      <c r="F870" s="1" t="n">
        <f aca="false">C870-C869</f>
        <v>1</v>
      </c>
      <c r="G870" s="18"/>
    </row>
    <row r="871" customFormat="false" ht="15" hidden="false" customHeight="false" outlineLevel="0" collapsed="false">
      <c r="A871" s="1" t="str">
        <f aca="false">_xlfn.TEXTJOIN( , ,"PRIVATE_EMOJI_",DEC2HEX(C871+64768))</f>
        <v>PRIVATE_EMOJI_1F44C</v>
      </c>
      <c r="B871" s="11" t="str">
        <f aca="false">DEC2HEX(C871+HEX2DEC("fd00"))</f>
        <v>1F44C</v>
      </c>
      <c r="C871" s="1" t="n">
        <v>63308</v>
      </c>
      <c r="D871" s="9" t="str">
        <f aca="false">DEC2HEX(C871,4)</f>
        <v>F74C</v>
      </c>
      <c r="E871" s="10" t="str">
        <f aca="false">_xlfn.UNICHAR(C871)</f>
        <v></v>
      </c>
      <c r="F871" s="1" t="n">
        <f aca="false">C871-C870</f>
        <v>1</v>
      </c>
      <c r="G871" s="18"/>
    </row>
    <row r="872" customFormat="false" ht="15" hidden="false" customHeight="false" outlineLevel="0" collapsed="false">
      <c r="A872" s="1" t="str">
        <f aca="false">_xlfn.TEXTJOIN( , ,"PRIVATE_EMOJI_",DEC2HEX(C872+64768))</f>
        <v>PRIVATE_EMOJI_1F44D</v>
      </c>
      <c r="B872" s="11" t="str">
        <f aca="false">DEC2HEX(C872+HEX2DEC("fd00"))</f>
        <v>1F44D</v>
      </c>
      <c r="C872" s="1" t="n">
        <v>63309</v>
      </c>
      <c r="D872" s="9" t="str">
        <f aca="false">DEC2HEX(C872,4)</f>
        <v>F74D</v>
      </c>
      <c r="E872" s="10" t="str">
        <f aca="false">_xlfn.UNICHAR(C872)</f>
        <v></v>
      </c>
      <c r="F872" s="1" t="n">
        <f aca="false">C872-C871</f>
        <v>1</v>
      </c>
      <c r="G872" s="18"/>
    </row>
    <row r="873" customFormat="false" ht="15" hidden="false" customHeight="false" outlineLevel="0" collapsed="false">
      <c r="A873" s="1" t="str">
        <f aca="false">_xlfn.TEXTJOIN( , ,"PRIVATE_EMOJI_",DEC2HEX(C873+64768))</f>
        <v>PRIVATE_EMOJI_1F44E</v>
      </c>
      <c r="B873" s="11" t="str">
        <f aca="false">DEC2HEX(C873+HEX2DEC("fd00"))</f>
        <v>1F44E</v>
      </c>
      <c r="C873" s="1" t="n">
        <v>63310</v>
      </c>
      <c r="D873" s="9" t="str">
        <f aca="false">DEC2HEX(C873,4)</f>
        <v>F74E</v>
      </c>
      <c r="E873" s="10" t="str">
        <f aca="false">_xlfn.UNICHAR(C873)</f>
        <v></v>
      </c>
      <c r="F873" s="1" t="n">
        <f aca="false">C873-C872</f>
        <v>1</v>
      </c>
      <c r="G873" s="18"/>
    </row>
    <row r="874" customFormat="false" ht="15" hidden="false" customHeight="false" outlineLevel="0" collapsed="false">
      <c r="A874" s="1" t="str">
        <f aca="false">_xlfn.TEXTJOIN( , ,"PRIVATE_EMOJI_",DEC2HEX(C874+64768))</f>
        <v>PRIVATE_EMOJI_1F44F</v>
      </c>
      <c r="B874" s="11" t="str">
        <f aca="false">DEC2HEX(C874+HEX2DEC("fd00"))</f>
        <v>1F44F</v>
      </c>
      <c r="C874" s="1" t="n">
        <v>63311</v>
      </c>
      <c r="D874" s="9" t="str">
        <f aca="false">DEC2HEX(C874,4)</f>
        <v>F74F</v>
      </c>
      <c r="E874" s="10" t="str">
        <f aca="false">_xlfn.UNICHAR(C874)</f>
        <v></v>
      </c>
      <c r="F874" s="1" t="n">
        <f aca="false">C874-C873</f>
        <v>1</v>
      </c>
      <c r="G874" s="18"/>
    </row>
    <row r="875" customFormat="false" ht="15" hidden="false" customHeight="false" outlineLevel="0" collapsed="false">
      <c r="A875" s="1" t="str">
        <f aca="false">_xlfn.TEXTJOIN( , ,"PRIVATE_EMOJI_",DEC2HEX(C875+64768))</f>
        <v>PRIVATE_EMOJI_1F450</v>
      </c>
      <c r="B875" s="11" t="str">
        <f aca="false">DEC2HEX(C875+HEX2DEC("fd00"))</f>
        <v>1F450</v>
      </c>
      <c r="C875" s="1" t="n">
        <v>63312</v>
      </c>
      <c r="D875" s="9" t="str">
        <f aca="false">DEC2HEX(C875,4)</f>
        <v>F750</v>
      </c>
      <c r="E875" s="10" t="str">
        <f aca="false">_xlfn.UNICHAR(C875)</f>
        <v></v>
      </c>
      <c r="F875" s="1" t="n">
        <f aca="false">C875-C874</f>
        <v>1</v>
      </c>
      <c r="G875" s="18"/>
    </row>
    <row r="876" customFormat="false" ht="15" hidden="false" customHeight="false" outlineLevel="0" collapsed="false">
      <c r="A876" s="1" t="str">
        <f aca="false">_xlfn.TEXTJOIN( , ,"PRIVATE_EMOJI_",DEC2HEX(C876+64768))</f>
        <v>PRIVATE_EMOJI_1F451</v>
      </c>
      <c r="B876" s="11" t="str">
        <f aca="false">DEC2HEX(C876+HEX2DEC("fd00"))</f>
        <v>1F451</v>
      </c>
      <c r="C876" s="1" t="n">
        <v>63313</v>
      </c>
      <c r="D876" s="9" t="str">
        <f aca="false">DEC2HEX(C876,4)</f>
        <v>F751</v>
      </c>
      <c r="E876" s="10" t="str">
        <f aca="false">_xlfn.UNICHAR(C876)</f>
        <v></v>
      </c>
      <c r="F876" s="1" t="n">
        <f aca="false">C876-C875</f>
        <v>1</v>
      </c>
      <c r="G876" s="18"/>
    </row>
    <row r="877" customFormat="false" ht="15" hidden="false" customHeight="false" outlineLevel="0" collapsed="false">
      <c r="A877" s="1" t="str">
        <f aca="false">_xlfn.TEXTJOIN( , ,"PRIVATE_EMOJI_",DEC2HEX(C877+64768))</f>
        <v>PRIVATE_EMOJI_1F452</v>
      </c>
      <c r="B877" s="11" t="str">
        <f aca="false">DEC2HEX(C877+HEX2DEC("fd00"))</f>
        <v>1F452</v>
      </c>
      <c r="C877" s="1" t="n">
        <v>63314</v>
      </c>
      <c r="D877" s="9" t="str">
        <f aca="false">DEC2HEX(C877,4)</f>
        <v>F752</v>
      </c>
      <c r="E877" s="10" t="str">
        <f aca="false">_xlfn.UNICHAR(C877)</f>
        <v></v>
      </c>
      <c r="F877" s="1" t="n">
        <f aca="false">C877-C876</f>
        <v>1</v>
      </c>
      <c r="G877" s="18"/>
    </row>
    <row r="878" customFormat="false" ht="15" hidden="false" customHeight="false" outlineLevel="0" collapsed="false">
      <c r="A878" s="1" t="str">
        <f aca="false">_xlfn.TEXTJOIN( , ,"PRIVATE_EMOJI_",DEC2HEX(C878+64768))</f>
        <v>PRIVATE_EMOJI_1F453</v>
      </c>
      <c r="B878" s="11" t="str">
        <f aca="false">DEC2HEX(C878+HEX2DEC("fd00"))</f>
        <v>1F453</v>
      </c>
      <c r="C878" s="1" t="n">
        <v>63315</v>
      </c>
      <c r="D878" s="9" t="str">
        <f aca="false">DEC2HEX(C878,4)</f>
        <v>F753</v>
      </c>
      <c r="E878" s="10" t="str">
        <f aca="false">_xlfn.UNICHAR(C878)</f>
        <v></v>
      </c>
      <c r="F878" s="1" t="n">
        <f aca="false">C878-C877</f>
        <v>1</v>
      </c>
      <c r="G878" s="18"/>
    </row>
    <row r="879" customFormat="false" ht="15" hidden="false" customHeight="false" outlineLevel="0" collapsed="false">
      <c r="A879" s="1" t="str">
        <f aca="false">_xlfn.TEXTJOIN( , ,"PRIVATE_EMOJI_",DEC2HEX(C879+64768))</f>
        <v>PRIVATE_EMOJI_1F47B</v>
      </c>
      <c r="B879" s="11" t="str">
        <f aca="false">DEC2HEX(C879+HEX2DEC("fd00"))</f>
        <v>1F47B</v>
      </c>
      <c r="C879" s="1" t="n">
        <f aca="false">128123-64768</f>
        <v>63355</v>
      </c>
      <c r="D879" s="9" t="str">
        <f aca="false">DEC2HEX(C879,4)</f>
        <v>F77B</v>
      </c>
      <c r="E879" s="10" t="str">
        <f aca="false">_xlfn.UNICHAR(C879)</f>
        <v></v>
      </c>
      <c r="F879" s="1" t="n">
        <f aca="false">C879-C878</f>
        <v>40</v>
      </c>
      <c r="G879" s="18"/>
    </row>
    <row r="880" customFormat="false" ht="15" hidden="false" customHeight="false" outlineLevel="0" collapsed="false">
      <c r="A880" s="1" t="str">
        <f aca="false">_xlfn.TEXTJOIN( , ,"PRIVATE_EMOJI_",DEC2HEX(C880+64768))</f>
        <v>PRIVATE_EMOJI_1F47C</v>
      </c>
      <c r="B880" s="11" t="str">
        <f aca="false">DEC2HEX(C880+HEX2DEC("fd00"))</f>
        <v>1F47C</v>
      </c>
      <c r="C880" s="1" t="n">
        <v>63356</v>
      </c>
      <c r="D880" s="9" t="str">
        <f aca="false">DEC2HEX(C880,4)</f>
        <v>F77C</v>
      </c>
      <c r="E880" s="10" t="str">
        <f aca="false">_xlfn.UNICHAR(C880)</f>
        <v></v>
      </c>
      <c r="F880" s="1" t="n">
        <f aca="false">C880-C879</f>
        <v>1</v>
      </c>
      <c r="G880" s="18"/>
    </row>
    <row r="881" customFormat="false" ht="15" hidden="false" customHeight="false" outlineLevel="0" collapsed="false">
      <c r="A881" s="1" t="str">
        <f aca="false">_xlfn.TEXTJOIN( , ,"PRIVATE_EMOJI_",DEC2HEX(C881+64768))</f>
        <v>PRIVATE_EMOJI_1F47D</v>
      </c>
      <c r="B881" s="11" t="str">
        <f aca="false">DEC2HEX(C881+HEX2DEC("fd00"))</f>
        <v>1F47D</v>
      </c>
      <c r="C881" s="1" t="n">
        <v>63357</v>
      </c>
      <c r="D881" s="9" t="str">
        <f aca="false">DEC2HEX(C881,4)</f>
        <v>F77D</v>
      </c>
      <c r="E881" s="10" t="str">
        <f aca="false">_xlfn.UNICHAR(C881)</f>
        <v></v>
      </c>
      <c r="F881" s="1" t="n">
        <f aca="false">C881-C880</f>
        <v>1</v>
      </c>
      <c r="G881" s="18"/>
    </row>
    <row r="882" customFormat="false" ht="15" hidden="false" customHeight="false" outlineLevel="0" collapsed="false">
      <c r="A882" s="1" t="str">
        <f aca="false">_xlfn.TEXTJOIN( , ,"PRIVATE_EMOJI_",DEC2HEX(C882+64768))</f>
        <v>PRIVATE_EMOJI_1F47E</v>
      </c>
      <c r="B882" s="11" t="str">
        <f aca="false">DEC2HEX(C882+HEX2DEC("fd00"))</f>
        <v>1F47E</v>
      </c>
      <c r="C882" s="1" t="n">
        <v>63358</v>
      </c>
      <c r="D882" s="9" t="str">
        <f aca="false">DEC2HEX(C882,4)</f>
        <v>F77E</v>
      </c>
      <c r="E882" s="10" t="str">
        <f aca="false">_xlfn.UNICHAR(C882)</f>
        <v></v>
      </c>
      <c r="F882" s="1" t="n">
        <f aca="false">C882-C881</f>
        <v>1</v>
      </c>
      <c r="G882" s="18"/>
    </row>
    <row r="883" customFormat="false" ht="15" hidden="false" customHeight="false" outlineLevel="0" collapsed="false">
      <c r="A883" s="1" t="str">
        <f aca="false">_xlfn.TEXTJOIN( , ,"PRIVATE_EMOJI_",DEC2HEX(C883+64768))</f>
        <v>PRIVATE_EMOJI_1F47F</v>
      </c>
      <c r="B883" s="11" t="str">
        <f aca="false">DEC2HEX(C883+HEX2DEC("fd00"))</f>
        <v>1F47F</v>
      </c>
      <c r="C883" s="1" t="n">
        <v>63359</v>
      </c>
      <c r="D883" s="9" t="str">
        <f aca="false">DEC2HEX(C883,4)</f>
        <v>F77F</v>
      </c>
      <c r="E883" s="10" t="str">
        <f aca="false">_xlfn.UNICHAR(C883)</f>
        <v></v>
      </c>
      <c r="F883" s="1" t="n">
        <f aca="false">C883-C882</f>
        <v>1</v>
      </c>
      <c r="G883" s="18"/>
    </row>
    <row r="884" customFormat="false" ht="15" hidden="false" customHeight="false" outlineLevel="0" collapsed="false">
      <c r="A884" s="1" t="str">
        <f aca="false">_xlfn.TEXTJOIN( , ,"PRIVATE_EMOJI_",DEC2HEX(C884+64768))</f>
        <v>PRIVATE_EMOJI_1F480</v>
      </c>
      <c r="B884" s="11" t="str">
        <f aca="false">DEC2HEX(C884+HEX2DEC("fd00"))</f>
        <v>1F480</v>
      </c>
      <c r="C884" s="1" t="n">
        <v>63360</v>
      </c>
      <c r="D884" s="9" t="str">
        <f aca="false">DEC2HEX(C884,4)</f>
        <v>F780</v>
      </c>
      <c r="E884" s="10" t="str">
        <f aca="false">_xlfn.UNICHAR(C884)</f>
        <v></v>
      </c>
      <c r="F884" s="1" t="n">
        <f aca="false">C884-C883</f>
        <v>1</v>
      </c>
      <c r="G884" s="18"/>
    </row>
    <row r="885" customFormat="false" ht="15" hidden="false" customHeight="false" outlineLevel="0" collapsed="false">
      <c r="A885" s="1" t="str">
        <f aca="false">_xlfn.TEXTJOIN( , ,"PRIVATE_EMOJI_",DEC2HEX(C885+64768))</f>
        <v>PRIVATE_EMOJI_1F481</v>
      </c>
      <c r="B885" s="11" t="str">
        <f aca="false">DEC2HEX(C885+HEX2DEC("fd00"))</f>
        <v>1F481</v>
      </c>
      <c r="C885" s="1" t="n">
        <v>63361</v>
      </c>
      <c r="D885" s="9" t="str">
        <f aca="false">DEC2HEX(C885,4)</f>
        <v>F781</v>
      </c>
      <c r="E885" s="10" t="str">
        <f aca="false">_xlfn.UNICHAR(C885)</f>
        <v></v>
      </c>
      <c r="F885" s="1" t="n">
        <f aca="false">C885-C884</f>
        <v>1</v>
      </c>
      <c r="G885" s="18"/>
    </row>
    <row r="886" customFormat="false" ht="15" hidden="false" customHeight="false" outlineLevel="0" collapsed="false">
      <c r="A886" s="1" t="str">
        <f aca="false">_xlfn.TEXTJOIN( , ,"PRIVATE_EMOJI_",DEC2HEX(C886+64768))</f>
        <v>PRIVATE_EMOJI_1F482</v>
      </c>
      <c r="B886" s="11" t="str">
        <f aca="false">DEC2HEX(C886+HEX2DEC("fd00"))</f>
        <v>1F482</v>
      </c>
      <c r="C886" s="1" t="n">
        <v>63362</v>
      </c>
      <c r="D886" s="9" t="str">
        <f aca="false">DEC2HEX(C886,4)</f>
        <v>F782</v>
      </c>
      <c r="E886" s="10" t="str">
        <f aca="false">_xlfn.UNICHAR(C886)</f>
        <v></v>
      </c>
      <c r="F886" s="1" t="n">
        <f aca="false">C886-C885</f>
        <v>1</v>
      </c>
      <c r="G886" s="18"/>
    </row>
    <row r="887" customFormat="false" ht="15" hidden="false" customHeight="false" outlineLevel="0" collapsed="false">
      <c r="A887" s="1" t="str">
        <f aca="false">_xlfn.TEXTJOIN( , ,"PRIVATE_EMOJI_",DEC2HEX(C887+64768))</f>
        <v>PRIVATE_EMOJI_1F483</v>
      </c>
      <c r="B887" s="11" t="str">
        <f aca="false">DEC2HEX(C887+HEX2DEC("fd00"))</f>
        <v>1F483</v>
      </c>
      <c r="C887" s="1" t="n">
        <v>63363</v>
      </c>
      <c r="D887" s="9" t="str">
        <f aca="false">DEC2HEX(C887,4)</f>
        <v>F783</v>
      </c>
      <c r="E887" s="10" t="str">
        <f aca="false">_xlfn.UNICHAR(C887)</f>
        <v></v>
      </c>
      <c r="F887" s="1" t="n">
        <f aca="false">C887-C886</f>
        <v>1</v>
      </c>
      <c r="G887" s="18"/>
    </row>
    <row r="888" customFormat="false" ht="15" hidden="false" customHeight="false" outlineLevel="0" collapsed="false">
      <c r="A888" s="1" t="str">
        <f aca="false">_xlfn.TEXTJOIN( , ,"PRIVATE_EMOJI_",DEC2HEX(C888+64768))</f>
        <v>PRIVATE_EMOJI_1F484</v>
      </c>
      <c r="B888" s="11" t="str">
        <f aca="false">DEC2HEX(C888+HEX2DEC("fd00"))</f>
        <v>1F484</v>
      </c>
      <c r="C888" s="1" t="n">
        <v>63364</v>
      </c>
      <c r="D888" s="9" t="str">
        <f aca="false">DEC2HEX(C888,4)</f>
        <v>F784</v>
      </c>
      <c r="E888" s="10" t="str">
        <f aca="false">_xlfn.UNICHAR(C888)</f>
        <v></v>
      </c>
      <c r="F888" s="1" t="n">
        <f aca="false">C888-C887</f>
        <v>1</v>
      </c>
      <c r="G888" s="18"/>
    </row>
    <row r="889" customFormat="false" ht="15" hidden="false" customHeight="false" outlineLevel="0" collapsed="false">
      <c r="A889" s="1" t="str">
        <f aca="false">_xlfn.TEXTJOIN( , ,"PRIVATE_EMOJI_",DEC2HEX(C889+64768))</f>
        <v>PRIVATE_EMOJI_1F485</v>
      </c>
      <c r="B889" s="11" t="str">
        <f aca="false">DEC2HEX(C889+HEX2DEC("fd00"))</f>
        <v>1F485</v>
      </c>
      <c r="C889" s="1" t="n">
        <v>63365</v>
      </c>
      <c r="D889" s="9" t="str">
        <f aca="false">DEC2HEX(C889,4)</f>
        <v>F785</v>
      </c>
      <c r="E889" s="10" t="str">
        <f aca="false">_xlfn.UNICHAR(C889)</f>
        <v></v>
      </c>
      <c r="F889" s="1" t="n">
        <f aca="false">C889-C888</f>
        <v>1</v>
      </c>
      <c r="G889" s="18"/>
    </row>
    <row r="890" customFormat="false" ht="15" hidden="false" customHeight="false" outlineLevel="0" collapsed="false">
      <c r="A890" s="1" t="str">
        <f aca="false">_xlfn.TEXTJOIN( , ,"PRIVATE_EMOJI_",DEC2HEX(C890+64768))</f>
        <v>PRIVATE_EMOJI_1F489</v>
      </c>
      <c r="B890" s="11" t="str">
        <f aca="false">DEC2HEX(C890+HEX2DEC("fd00"))</f>
        <v>1F489</v>
      </c>
      <c r="C890" s="1" t="n">
        <v>63369</v>
      </c>
      <c r="D890" s="9" t="str">
        <f aca="false">DEC2HEX(C890,4)</f>
        <v>F789</v>
      </c>
      <c r="E890" s="10" t="str">
        <f aca="false">_xlfn.UNICHAR(C890)</f>
        <v></v>
      </c>
      <c r="F890" s="1" t="n">
        <f aca="false">C890-C889</f>
        <v>4</v>
      </c>
      <c r="G890" s="18"/>
    </row>
    <row r="891" customFormat="false" ht="15" hidden="false" customHeight="false" outlineLevel="0" collapsed="false">
      <c r="A891" s="1" t="str">
        <f aca="false">_xlfn.TEXTJOIN( , ,"PRIVATE_EMOJI_",DEC2HEX(C891+64768))</f>
        <v>PRIVATE_EMOJI_1F48A</v>
      </c>
      <c r="B891" s="11" t="str">
        <f aca="false">DEC2HEX(C891+HEX2DEC("fd00"))</f>
        <v>1F48A</v>
      </c>
      <c r="C891" s="1" t="n">
        <v>63370</v>
      </c>
      <c r="D891" s="9" t="str">
        <f aca="false">DEC2HEX(C891,4)</f>
        <v>F78A</v>
      </c>
      <c r="E891" s="10" t="str">
        <f aca="false">_xlfn.UNICHAR(C891)</f>
        <v></v>
      </c>
      <c r="F891" s="1" t="n">
        <f aca="false">C891-C890</f>
        <v>1</v>
      </c>
      <c r="G891" s="18"/>
    </row>
    <row r="892" customFormat="false" ht="15" hidden="false" customHeight="false" outlineLevel="0" collapsed="false">
      <c r="A892" s="1" t="str">
        <f aca="false">_xlfn.TEXTJOIN( , ,"PRIVATE_EMOJI_",DEC2HEX(C892+64768))</f>
        <v>PRIVATE_EMOJI_1F48B</v>
      </c>
      <c r="B892" s="11" t="str">
        <f aca="false">DEC2HEX(C892+HEX2DEC("fd00"))</f>
        <v>1F48B</v>
      </c>
      <c r="C892" s="1" t="n">
        <v>63371</v>
      </c>
      <c r="D892" s="9" t="str">
        <f aca="false">DEC2HEX(C892,4)</f>
        <v>F78B</v>
      </c>
      <c r="E892" s="10" t="str">
        <f aca="false">_xlfn.UNICHAR(C892)</f>
        <v></v>
      </c>
      <c r="F892" s="1" t="n">
        <f aca="false">C892-C891</f>
        <v>1</v>
      </c>
      <c r="G892" s="18"/>
    </row>
    <row r="893" customFormat="false" ht="15" hidden="false" customHeight="false" outlineLevel="0" collapsed="false">
      <c r="A893" s="1" t="str">
        <f aca="false">_xlfn.TEXTJOIN( , ,"PRIVATE_EMOJI_",DEC2HEX(C893+64768))</f>
        <v>PRIVATE_EMOJI_1F48C</v>
      </c>
      <c r="B893" s="11" t="str">
        <f aca="false">DEC2HEX(C893+HEX2DEC("fd00"))</f>
        <v>1F48C</v>
      </c>
      <c r="C893" s="1" t="n">
        <v>63372</v>
      </c>
      <c r="D893" s="9" t="str">
        <f aca="false">DEC2HEX(C893,4)</f>
        <v>F78C</v>
      </c>
      <c r="E893" s="10" t="str">
        <f aca="false">_xlfn.UNICHAR(C893)</f>
        <v></v>
      </c>
      <c r="F893" s="1" t="n">
        <f aca="false">C893-C892</f>
        <v>1</v>
      </c>
      <c r="G893" s="18"/>
    </row>
    <row r="894" customFormat="false" ht="15" hidden="false" customHeight="false" outlineLevel="0" collapsed="false">
      <c r="A894" s="1" t="str">
        <f aca="false">_xlfn.TEXTJOIN( , ,"PRIVATE_EMOJI_",DEC2HEX(C894+64768))</f>
        <v>PRIVATE_EMOJI_1F48D</v>
      </c>
      <c r="B894" s="11" t="str">
        <f aca="false">DEC2HEX(C894+HEX2DEC("fd00"))</f>
        <v>1F48D</v>
      </c>
      <c r="C894" s="1" t="n">
        <v>63373</v>
      </c>
      <c r="D894" s="9" t="str">
        <f aca="false">DEC2HEX(C894,4)</f>
        <v>F78D</v>
      </c>
      <c r="E894" s="10" t="str">
        <f aca="false">_xlfn.UNICHAR(C894)</f>
        <v></v>
      </c>
      <c r="F894" s="1" t="n">
        <f aca="false">C894-C893</f>
        <v>1</v>
      </c>
      <c r="G894" s="18"/>
    </row>
    <row r="895" customFormat="false" ht="15" hidden="false" customHeight="false" outlineLevel="0" collapsed="false">
      <c r="A895" s="1" t="str">
        <f aca="false">_xlfn.TEXTJOIN( , ,"PRIVATE_EMOJI_",DEC2HEX(C895+64768))</f>
        <v>PRIVATE_EMOJI_1F48E</v>
      </c>
      <c r="B895" s="11" t="str">
        <f aca="false">DEC2HEX(C895+HEX2DEC("fd00"))</f>
        <v>1F48E</v>
      </c>
      <c r="C895" s="1" t="n">
        <v>63374</v>
      </c>
      <c r="D895" s="9" t="str">
        <f aca="false">DEC2HEX(C895,4)</f>
        <v>F78E</v>
      </c>
      <c r="E895" s="10" t="str">
        <f aca="false">_xlfn.UNICHAR(C895)</f>
        <v></v>
      </c>
      <c r="F895" s="1" t="n">
        <f aca="false">C895-C894</f>
        <v>1</v>
      </c>
      <c r="G895" s="18"/>
    </row>
    <row r="896" customFormat="false" ht="15" hidden="false" customHeight="false" outlineLevel="0" collapsed="false">
      <c r="A896" s="1" t="str">
        <f aca="false">_xlfn.TEXTJOIN( , ,"PRIVATE_EMOJI_",DEC2HEX(C896+64768))</f>
        <v>PRIVATE_EMOJI_1F48F</v>
      </c>
      <c r="B896" s="11" t="str">
        <f aca="false">DEC2HEX(C896+HEX2DEC("fd00"))</f>
        <v>1F48F</v>
      </c>
      <c r="C896" s="1" t="n">
        <v>63375</v>
      </c>
      <c r="D896" s="9" t="str">
        <f aca="false">DEC2HEX(C896,4)</f>
        <v>F78F</v>
      </c>
      <c r="E896" s="10" t="str">
        <f aca="false">_xlfn.UNICHAR(C896)</f>
        <v></v>
      </c>
      <c r="F896" s="1" t="n">
        <f aca="false">C896-C895</f>
        <v>1</v>
      </c>
      <c r="G896" s="18"/>
    </row>
    <row r="897" customFormat="false" ht="15" hidden="false" customHeight="false" outlineLevel="0" collapsed="false">
      <c r="A897" s="1" t="str">
        <f aca="false">_xlfn.TEXTJOIN( , ,"PRIVATE_EMOJI_",DEC2HEX(C897+64768))</f>
        <v>PRIVATE_EMOJI_1F490</v>
      </c>
      <c r="B897" s="11" t="str">
        <f aca="false">DEC2HEX(C897+HEX2DEC("fd00"))</f>
        <v>1F490</v>
      </c>
      <c r="C897" s="1" t="n">
        <v>63376</v>
      </c>
      <c r="D897" s="9" t="str">
        <f aca="false">DEC2HEX(C897,4)</f>
        <v>F790</v>
      </c>
      <c r="E897" s="10" t="str">
        <f aca="false">_xlfn.UNICHAR(C897)</f>
        <v></v>
      </c>
      <c r="F897" s="1" t="n">
        <f aca="false">C897-C896</f>
        <v>1</v>
      </c>
      <c r="G897" s="18"/>
    </row>
    <row r="898" customFormat="false" ht="15" hidden="false" customHeight="false" outlineLevel="0" collapsed="false">
      <c r="A898" s="1" t="str">
        <f aca="false">_xlfn.TEXTJOIN( , ,"PRIVATE_EMOJI_",DEC2HEX(C898+64768))</f>
        <v>PRIVATE_EMOJI_1F491</v>
      </c>
      <c r="B898" s="11" t="str">
        <f aca="false">DEC2HEX(C898+HEX2DEC("fd00"))</f>
        <v>1F491</v>
      </c>
      <c r="C898" s="1" t="n">
        <v>63377</v>
      </c>
      <c r="D898" s="9" t="str">
        <f aca="false">DEC2HEX(C898,4)</f>
        <v>F791</v>
      </c>
      <c r="E898" s="10" t="str">
        <f aca="false">_xlfn.UNICHAR(C898)</f>
        <v></v>
      </c>
      <c r="F898" s="1" t="n">
        <f aca="false">C898-C897</f>
        <v>1</v>
      </c>
      <c r="G898" s="18"/>
    </row>
    <row r="899" customFormat="false" ht="15" hidden="false" customHeight="false" outlineLevel="0" collapsed="false">
      <c r="A899" s="1" t="str">
        <f aca="false">_xlfn.TEXTJOIN( , ,"PRIVATE_EMOJI_",DEC2HEX(C899+64768))</f>
        <v>PRIVATE_EMOJI_1F492</v>
      </c>
      <c r="B899" s="11" t="str">
        <f aca="false">DEC2HEX(C899+HEX2DEC("fd00"))</f>
        <v>1F492</v>
      </c>
      <c r="C899" s="1" t="n">
        <v>63378</v>
      </c>
      <c r="D899" s="9" t="str">
        <f aca="false">DEC2HEX(C899,4)</f>
        <v>F792</v>
      </c>
      <c r="E899" s="10" t="str">
        <f aca="false">_xlfn.UNICHAR(C899)</f>
        <v></v>
      </c>
      <c r="F899" s="1" t="n">
        <f aca="false">C899-C898</f>
        <v>1</v>
      </c>
      <c r="G899" s="18"/>
    </row>
    <row r="900" customFormat="false" ht="15" hidden="false" customHeight="false" outlineLevel="0" collapsed="false">
      <c r="A900" s="1" t="str">
        <f aca="false">_xlfn.TEXTJOIN( , ,"PRIVATE_EMOJI_",DEC2HEX(C900+64768))</f>
        <v>PRIVATE_EMOJI_1F493</v>
      </c>
      <c r="B900" s="11" t="str">
        <f aca="false">DEC2HEX(C900+HEX2DEC("fd00"))</f>
        <v>1F493</v>
      </c>
      <c r="C900" s="1" t="n">
        <v>63379</v>
      </c>
      <c r="D900" s="9" t="str">
        <f aca="false">DEC2HEX(C900,4)</f>
        <v>F793</v>
      </c>
      <c r="E900" s="10" t="str">
        <f aca="false">_xlfn.UNICHAR(C900)</f>
        <v></v>
      </c>
      <c r="F900" s="1" t="n">
        <f aca="false">C900-C899</f>
        <v>1</v>
      </c>
      <c r="G900" s="18"/>
    </row>
    <row r="901" customFormat="false" ht="15" hidden="false" customHeight="false" outlineLevel="0" collapsed="false">
      <c r="A901" s="1" t="str">
        <f aca="false">_xlfn.TEXTJOIN( , ,"PRIVATE_EMOJI_",DEC2HEX(C901+64768))</f>
        <v>PRIVATE_EMOJI_1F494</v>
      </c>
      <c r="B901" s="11" t="str">
        <f aca="false">DEC2HEX(C901+HEX2DEC("fd00"))</f>
        <v>1F494</v>
      </c>
      <c r="C901" s="1" t="n">
        <v>63380</v>
      </c>
      <c r="D901" s="9" t="str">
        <f aca="false">DEC2HEX(C901,4)</f>
        <v>F794</v>
      </c>
      <c r="E901" s="10" t="str">
        <f aca="false">_xlfn.UNICHAR(C901)</f>
        <v></v>
      </c>
      <c r="F901" s="1" t="n">
        <f aca="false">C901-C900</f>
        <v>1</v>
      </c>
      <c r="G901" s="18"/>
    </row>
    <row r="902" customFormat="false" ht="15" hidden="false" customHeight="false" outlineLevel="0" collapsed="false">
      <c r="A902" s="1" t="str">
        <f aca="false">_xlfn.TEXTJOIN( , ,"PRIVATE_EMOJI_",DEC2HEX(C902+64768))</f>
        <v>PRIVATE_EMOJI_1F495</v>
      </c>
      <c r="B902" s="11" t="str">
        <f aca="false">DEC2HEX(C902+HEX2DEC("fd00"))</f>
        <v>1F495</v>
      </c>
      <c r="C902" s="1" t="n">
        <v>63381</v>
      </c>
      <c r="D902" s="9" t="str">
        <f aca="false">DEC2HEX(C902,4)</f>
        <v>F795</v>
      </c>
      <c r="E902" s="10" t="str">
        <f aca="false">_xlfn.UNICHAR(C902)</f>
        <v></v>
      </c>
      <c r="F902" s="1" t="n">
        <f aca="false">C902-C901</f>
        <v>1</v>
      </c>
      <c r="G902" s="18"/>
    </row>
    <row r="903" customFormat="false" ht="15" hidden="false" customHeight="false" outlineLevel="0" collapsed="false">
      <c r="A903" s="1" t="str">
        <f aca="false">_xlfn.TEXTJOIN( , ,"PRIVATE_EMOJI_",DEC2HEX(C903+64768))</f>
        <v>PRIVATE_EMOJI_1F496</v>
      </c>
      <c r="B903" s="11" t="str">
        <f aca="false">DEC2HEX(C903+HEX2DEC("fd00"))</f>
        <v>1F496</v>
      </c>
      <c r="C903" s="1" t="n">
        <v>63382</v>
      </c>
      <c r="D903" s="9" t="str">
        <f aca="false">DEC2HEX(C903,4)</f>
        <v>F796</v>
      </c>
      <c r="E903" s="10" t="str">
        <f aca="false">_xlfn.UNICHAR(C903)</f>
        <v></v>
      </c>
      <c r="F903" s="1" t="n">
        <f aca="false">C903-C902</f>
        <v>1</v>
      </c>
      <c r="G903" s="18"/>
    </row>
    <row r="904" customFormat="false" ht="15" hidden="false" customHeight="false" outlineLevel="0" collapsed="false">
      <c r="A904" s="1" t="str">
        <f aca="false">_xlfn.TEXTJOIN( , ,"PRIVATE_EMOJI_",DEC2HEX(C904+64768))</f>
        <v>PRIVATE_EMOJI_1F4A1</v>
      </c>
      <c r="B904" s="11" t="str">
        <f aca="false">DEC2HEX(C904+HEX2DEC("fd00"))</f>
        <v>1F4A1</v>
      </c>
      <c r="C904" s="1" t="n">
        <f aca="false">128161-64768</f>
        <v>63393</v>
      </c>
      <c r="D904" s="9" t="str">
        <f aca="false">DEC2HEX(C904,4)</f>
        <v>F7A1</v>
      </c>
      <c r="E904" s="10" t="str">
        <f aca="false">_xlfn.UNICHAR(C904)</f>
        <v></v>
      </c>
      <c r="F904" s="1" t="n">
        <f aca="false">C904-C903</f>
        <v>11</v>
      </c>
      <c r="G904" s="18"/>
    </row>
    <row r="905" customFormat="false" ht="15" hidden="false" customHeight="false" outlineLevel="0" collapsed="false">
      <c r="A905" s="1" t="str">
        <f aca="false">_xlfn.TEXTJOIN( , ,"PRIVATE_EMOJI_",DEC2HEX(C905+64768))</f>
        <v>PRIVATE_EMOJI_1F4A2</v>
      </c>
      <c r="B905" s="11" t="str">
        <f aca="false">DEC2HEX(C905+HEX2DEC("fd00"))</f>
        <v>1F4A2</v>
      </c>
      <c r="C905" s="1" t="n">
        <v>63394</v>
      </c>
      <c r="D905" s="9" t="str">
        <f aca="false">DEC2HEX(C905,4)</f>
        <v>F7A2</v>
      </c>
      <c r="E905" s="10" t="str">
        <f aca="false">_xlfn.UNICHAR(C905)</f>
        <v></v>
      </c>
      <c r="F905" s="1" t="n">
        <f aca="false">C905-C904</f>
        <v>1</v>
      </c>
      <c r="G905" s="18"/>
    </row>
    <row r="906" customFormat="false" ht="15" hidden="false" customHeight="false" outlineLevel="0" collapsed="false">
      <c r="A906" s="1" t="str">
        <f aca="false">_xlfn.TEXTJOIN( , ,"PRIVATE_EMOJI_",DEC2HEX(C906+64768))</f>
        <v>PRIVATE_EMOJI_1F4A3</v>
      </c>
      <c r="B906" s="11" t="str">
        <f aca="false">DEC2HEX(C906+HEX2DEC("fd00"))</f>
        <v>1F4A3</v>
      </c>
      <c r="C906" s="1" t="n">
        <v>63395</v>
      </c>
      <c r="D906" s="9" t="str">
        <f aca="false">DEC2HEX(C906,4)</f>
        <v>F7A3</v>
      </c>
      <c r="E906" s="10" t="str">
        <f aca="false">_xlfn.UNICHAR(C906)</f>
        <v></v>
      </c>
      <c r="F906" s="1" t="n">
        <f aca="false">C906-C905</f>
        <v>1</v>
      </c>
      <c r="G906" s="18"/>
    </row>
    <row r="907" customFormat="false" ht="15" hidden="false" customHeight="false" outlineLevel="0" collapsed="false">
      <c r="A907" s="1" t="str">
        <f aca="false">_xlfn.TEXTJOIN( , ,"PRIVATE_EMOJI_",DEC2HEX(C907+64768))</f>
        <v>PRIVATE_EMOJI_1F4A4</v>
      </c>
      <c r="B907" s="11" t="str">
        <f aca="false">DEC2HEX(C907+HEX2DEC("fd00"))</f>
        <v>1F4A4</v>
      </c>
      <c r="C907" s="1" t="n">
        <v>63396</v>
      </c>
      <c r="D907" s="9" t="str">
        <f aca="false">DEC2HEX(C907,4)</f>
        <v>F7A4</v>
      </c>
      <c r="E907" s="10" t="str">
        <f aca="false">_xlfn.UNICHAR(C907)</f>
        <v></v>
      </c>
      <c r="F907" s="1" t="n">
        <f aca="false">C907-C906</f>
        <v>1</v>
      </c>
      <c r="G907" s="18"/>
    </row>
    <row r="908" customFormat="false" ht="15" hidden="false" customHeight="false" outlineLevel="0" collapsed="false">
      <c r="A908" s="1" t="str">
        <f aca="false">_xlfn.TEXTJOIN( , ,"PRIVATE_EMOJI_",DEC2HEX(C908+64768))</f>
        <v>PRIVATE_EMOJI_1F4A5</v>
      </c>
      <c r="B908" s="11" t="str">
        <f aca="false">DEC2HEX(C908+HEX2DEC("fd00"))</f>
        <v>1F4A5</v>
      </c>
      <c r="C908" s="1" t="n">
        <v>63397</v>
      </c>
      <c r="D908" s="9" t="str">
        <f aca="false">DEC2HEX(C908,4)</f>
        <v>F7A5</v>
      </c>
      <c r="E908" s="10" t="str">
        <f aca="false">_xlfn.UNICHAR(C908)</f>
        <v></v>
      </c>
      <c r="F908" s="1" t="n">
        <f aca="false">C908-C907</f>
        <v>1</v>
      </c>
      <c r="G908" s="18"/>
    </row>
    <row r="909" customFormat="false" ht="15" hidden="false" customHeight="false" outlineLevel="0" collapsed="false">
      <c r="A909" s="1" t="str">
        <f aca="false">_xlfn.TEXTJOIN( , ,"PRIVATE_EMOJI_",DEC2HEX(C909+64768))</f>
        <v>PRIVATE_EMOJI_1F4A6</v>
      </c>
      <c r="B909" s="11" t="str">
        <f aca="false">DEC2HEX(C909+HEX2DEC("fd00"))</f>
        <v>1F4A6</v>
      </c>
      <c r="C909" s="1" t="n">
        <v>63398</v>
      </c>
      <c r="D909" s="9" t="str">
        <f aca="false">DEC2HEX(C909,4)</f>
        <v>F7A6</v>
      </c>
      <c r="E909" s="10" t="str">
        <f aca="false">_xlfn.UNICHAR(C909)</f>
        <v></v>
      </c>
      <c r="F909" s="1" t="n">
        <f aca="false">C909-C908</f>
        <v>1</v>
      </c>
      <c r="G909" s="18"/>
    </row>
    <row r="910" customFormat="false" ht="15" hidden="false" customHeight="false" outlineLevel="0" collapsed="false">
      <c r="A910" s="1" t="str">
        <f aca="false">_xlfn.TEXTJOIN( , ,"PRIVATE_EMOJI_",DEC2HEX(C910+64768))</f>
        <v>PRIVATE_EMOJI_1F4A7</v>
      </c>
      <c r="B910" s="11" t="str">
        <f aca="false">DEC2HEX(C910+HEX2DEC("fd00"))</f>
        <v>1F4A7</v>
      </c>
      <c r="C910" s="1" t="n">
        <v>63399</v>
      </c>
      <c r="D910" s="9" t="str">
        <f aca="false">DEC2HEX(C910,4)</f>
        <v>F7A7</v>
      </c>
      <c r="E910" s="10" t="str">
        <f aca="false">_xlfn.UNICHAR(C910)</f>
        <v></v>
      </c>
      <c r="F910" s="1" t="n">
        <f aca="false">C910-C909</f>
        <v>1</v>
      </c>
      <c r="G910" s="18"/>
    </row>
    <row r="911" customFormat="false" ht="15" hidden="false" customHeight="false" outlineLevel="0" collapsed="false">
      <c r="A911" s="1" t="str">
        <f aca="false">_xlfn.TEXTJOIN( , ,"PRIVATE_EMOJI_",DEC2HEX(C911+64768))</f>
        <v>PRIVATE_EMOJI_1F4A8</v>
      </c>
      <c r="B911" s="11" t="str">
        <f aca="false">DEC2HEX(C911+HEX2DEC("fd00"))</f>
        <v>1F4A8</v>
      </c>
      <c r="C911" s="1" t="n">
        <v>63400</v>
      </c>
      <c r="D911" s="9" t="str">
        <f aca="false">DEC2HEX(C911,4)</f>
        <v>F7A8</v>
      </c>
      <c r="E911" s="10" t="str">
        <f aca="false">_xlfn.UNICHAR(C911)</f>
        <v></v>
      </c>
      <c r="F911" s="1" t="n">
        <f aca="false">C911-C910</f>
        <v>1</v>
      </c>
      <c r="G911" s="18"/>
    </row>
    <row r="912" customFormat="false" ht="15" hidden="false" customHeight="false" outlineLevel="0" collapsed="false">
      <c r="A912" s="1" t="str">
        <f aca="false">_xlfn.TEXTJOIN( , ,"PRIVATE_EMOJI_",DEC2HEX(C912+64768))</f>
        <v>PRIVATE_EMOJI_1F4A9</v>
      </c>
      <c r="B912" s="11" t="str">
        <f aca="false">DEC2HEX(C912+HEX2DEC("fd00"))</f>
        <v>1F4A9</v>
      </c>
      <c r="C912" s="1" t="n">
        <v>63401</v>
      </c>
      <c r="D912" s="9" t="str">
        <f aca="false">DEC2HEX(C912,4)</f>
        <v>F7A9</v>
      </c>
      <c r="E912" s="10" t="str">
        <f aca="false">_xlfn.UNICHAR(C912)</f>
        <v></v>
      </c>
      <c r="F912" s="1" t="n">
        <f aca="false">C912-C911</f>
        <v>1</v>
      </c>
      <c r="G912" s="18"/>
    </row>
    <row r="913" customFormat="false" ht="15" hidden="false" customHeight="false" outlineLevel="0" collapsed="false">
      <c r="A913" s="1" t="str">
        <f aca="false">_xlfn.TEXTJOIN( , ,"PRIVATE_EMOJI_",DEC2HEX(C913+64768))</f>
        <v>PRIVATE_EMOJI_1F4AA</v>
      </c>
      <c r="B913" s="11" t="str">
        <f aca="false">DEC2HEX(C913+HEX2DEC("fd00"))</f>
        <v>1F4AA</v>
      </c>
      <c r="C913" s="1" t="n">
        <v>63402</v>
      </c>
      <c r="D913" s="9" t="str">
        <f aca="false">DEC2HEX(C913,4)</f>
        <v>F7AA</v>
      </c>
      <c r="E913" s="10" t="str">
        <f aca="false">_xlfn.UNICHAR(C913)</f>
        <v></v>
      </c>
      <c r="F913" s="1" t="n">
        <f aca="false">C913-C912</f>
        <v>1</v>
      </c>
      <c r="G913" s="18"/>
    </row>
    <row r="914" customFormat="false" ht="15" hidden="false" customHeight="false" outlineLevel="0" collapsed="false">
      <c r="A914" s="1" t="str">
        <f aca="false">_xlfn.TEXTJOIN( , ,"PRIVATE_EMOJI_",DEC2HEX(C914+64768))</f>
        <v>PRIVATE_EMOJI_1F4AB</v>
      </c>
      <c r="B914" s="11" t="str">
        <f aca="false">DEC2HEX(C914+HEX2DEC("fd00"))</f>
        <v>1F4AB</v>
      </c>
      <c r="C914" s="1" t="n">
        <v>63403</v>
      </c>
      <c r="D914" s="9" t="str">
        <f aca="false">DEC2HEX(C914,4)</f>
        <v>F7AB</v>
      </c>
      <c r="E914" s="10" t="str">
        <f aca="false">_xlfn.UNICHAR(C914)</f>
        <v></v>
      </c>
      <c r="F914" s="1" t="n">
        <f aca="false">C914-C913</f>
        <v>1</v>
      </c>
      <c r="G914" s="18"/>
    </row>
    <row r="915" customFormat="false" ht="15" hidden="false" customHeight="false" outlineLevel="0" collapsed="false">
      <c r="A915" s="1" t="str">
        <f aca="false">_xlfn.TEXTJOIN( , ,"PRIVATE_EMOJI_",DEC2HEX(C915+64768))</f>
        <v>PRIVATE_EMOJI_1F4AC</v>
      </c>
      <c r="B915" s="11" t="str">
        <f aca="false">DEC2HEX(C915+HEX2DEC("fd00"))</f>
        <v>1F4AC</v>
      </c>
      <c r="C915" s="1" t="n">
        <v>63404</v>
      </c>
      <c r="D915" s="9" t="str">
        <f aca="false">DEC2HEX(C915,4)</f>
        <v>F7AC</v>
      </c>
      <c r="E915" s="10" t="str">
        <f aca="false">_xlfn.UNICHAR(C915)</f>
        <v></v>
      </c>
      <c r="F915" s="1" t="n">
        <f aca="false">C915-C914</f>
        <v>1</v>
      </c>
      <c r="G915" s="18"/>
    </row>
    <row r="916" customFormat="false" ht="15" hidden="false" customHeight="false" outlineLevel="0" collapsed="false">
      <c r="A916" s="1" t="str">
        <f aca="false">_xlfn.TEXTJOIN( , ,"PRIVATE_EMOJI_",DEC2HEX(C916+64768))</f>
        <v>PRIVATE_EMOJI_1F4AD</v>
      </c>
      <c r="B916" s="11" t="str">
        <f aca="false">DEC2HEX(C916+HEX2DEC("fd00"))</f>
        <v>1F4AD</v>
      </c>
      <c r="C916" s="1" t="n">
        <v>63405</v>
      </c>
      <c r="D916" s="9" t="str">
        <f aca="false">DEC2HEX(C916,4)</f>
        <v>F7AD</v>
      </c>
      <c r="E916" s="10" t="str">
        <f aca="false">_xlfn.UNICHAR(C916)</f>
        <v></v>
      </c>
      <c r="F916" s="1" t="n">
        <f aca="false">C916-C915</f>
        <v>1</v>
      </c>
      <c r="G916" s="18"/>
    </row>
    <row r="917" customFormat="false" ht="15" hidden="false" customHeight="false" outlineLevel="0" collapsed="false">
      <c r="A917" s="1" t="str">
        <f aca="false">_xlfn.TEXTJOIN( , ,"PRIVATE_EMOJI_",DEC2HEX(C917+64768))</f>
        <v>PRIVATE_EMOJI_1F4AE</v>
      </c>
      <c r="B917" s="11" t="str">
        <f aca="false">DEC2HEX(C917+HEX2DEC("fd00"))</f>
        <v>1F4AE</v>
      </c>
      <c r="C917" s="1" t="n">
        <v>63406</v>
      </c>
      <c r="D917" s="9" t="str">
        <f aca="false">DEC2HEX(C917,4)</f>
        <v>F7AE</v>
      </c>
      <c r="E917" s="10" t="str">
        <f aca="false">_xlfn.UNICHAR(C917)</f>
        <v></v>
      </c>
      <c r="F917" s="1" t="n">
        <f aca="false">C917-C916</f>
        <v>1</v>
      </c>
      <c r="G917" s="18"/>
    </row>
    <row r="918" customFormat="false" ht="15" hidden="false" customHeight="false" outlineLevel="0" collapsed="false">
      <c r="A918" s="1" t="str">
        <f aca="false">_xlfn.TEXTJOIN( , ,"PRIVATE_EMOJI_",DEC2HEX(C918+64768))</f>
        <v>PRIVATE_EMOJI_1F4AF</v>
      </c>
      <c r="B918" s="11" t="str">
        <f aca="false">DEC2HEX(C918+HEX2DEC("fd00"))</f>
        <v>1F4AF</v>
      </c>
      <c r="C918" s="1" t="n">
        <v>63407</v>
      </c>
      <c r="D918" s="9" t="str">
        <f aca="false">DEC2HEX(C918,4)</f>
        <v>F7AF</v>
      </c>
      <c r="E918" s="10" t="str">
        <f aca="false">_xlfn.UNICHAR(C918)</f>
        <v></v>
      </c>
      <c r="F918" s="1" t="n">
        <f aca="false">C918-C917</f>
        <v>1</v>
      </c>
      <c r="G918" s="18"/>
    </row>
    <row r="919" customFormat="false" ht="15" hidden="false" customHeight="false" outlineLevel="0" collapsed="false">
      <c r="A919" s="1" t="str">
        <f aca="false">_xlfn.TEXTJOIN( , ,"PRIVATE_EMOJI_",DEC2HEX(C919+64768))</f>
        <v>PRIVATE_EMOJI_1F4B0</v>
      </c>
      <c r="B919" s="11" t="str">
        <f aca="false">DEC2HEX(C919+HEX2DEC("fd00"))</f>
        <v>1F4B0</v>
      </c>
      <c r="C919" s="1" t="n">
        <v>63408</v>
      </c>
      <c r="D919" s="9" t="str">
        <f aca="false">DEC2HEX(C919,4)</f>
        <v>F7B0</v>
      </c>
      <c r="E919" s="10" t="str">
        <f aca="false">_xlfn.UNICHAR(C919)</f>
        <v></v>
      </c>
      <c r="F919" s="1" t="n">
        <f aca="false">C919-C918</f>
        <v>1</v>
      </c>
      <c r="G919" s="18"/>
    </row>
    <row r="920" customFormat="false" ht="15" hidden="false" customHeight="false" outlineLevel="0" collapsed="false">
      <c r="A920" s="1" t="str">
        <f aca="false">_xlfn.TEXTJOIN( , ,"PRIVATE_EMOJI_",DEC2HEX(C920+64768))</f>
        <v>PRIVATE_EMOJI_1F4B1</v>
      </c>
      <c r="B920" s="11" t="str">
        <f aca="false">DEC2HEX(C920+HEX2DEC("fd00"))</f>
        <v>1F4B1</v>
      </c>
      <c r="C920" s="1" t="n">
        <v>63409</v>
      </c>
      <c r="D920" s="9" t="str">
        <f aca="false">DEC2HEX(C920,4)</f>
        <v>F7B1</v>
      </c>
      <c r="E920" s="10" t="str">
        <f aca="false">_xlfn.UNICHAR(C920)</f>
        <v></v>
      </c>
      <c r="F920" s="1" t="n">
        <f aca="false">C920-C919</f>
        <v>1</v>
      </c>
      <c r="G920" s="18"/>
    </row>
    <row r="921" customFormat="false" ht="15" hidden="false" customHeight="false" outlineLevel="0" collapsed="false">
      <c r="A921" s="1" t="str">
        <f aca="false">_xlfn.TEXTJOIN( , ,"PRIVATE_EMOJI_",DEC2HEX(C921+HEX2DEC(10100)))</f>
        <v>PRIVATE_EMOJI_1F912</v>
      </c>
      <c r="B921" s="11" t="str">
        <f aca="false">DEC2HEX(C921+HEX2DEC("10100"))</f>
        <v>1F912</v>
      </c>
      <c r="C921" s="1" t="n">
        <f aca="false">129298-HEX2DEC(10100)</f>
        <v>63506</v>
      </c>
      <c r="D921" s="9" t="str">
        <f aca="false">DEC2HEX(C921,4)</f>
        <v>F812</v>
      </c>
      <c r="E921" s="10" t="str">
        <f aca="false">_xlfn.UNICHAR(C921)</f>
        <v></v>
      </c>
      <c r="F921" s="1" t="n">
        <f aca="false">C921-C920</f>
        <v>97</v>
      </c>
      <c r="G921" s="19" t="s">
        <v>1078</v>
      </c>
    </row>
    <row r="922" customFormat="false" ht="15" hidden="false" customHeight="false" outlineLevel="0" collapsed="false">
      <c r="A922" s="1" t="str">
        <f aca="false">_xlfn.TEXTJOIN( , ,"PRIVATE_EMOJI_",DEC2HEX(C922+HEX2DEC(10100)))</f>
        <v>PRIVATE_EMOJI_1F913</v>
      </c>
      <c r="B922" s="11" t="str">
        <f aca="false">DEC2HEX(C922+HEX2DEC("10100"))</f>
        <v>1F913</v>
      </c>
      <c r="C922" s="1" t="n">
        <v>63507</v>
      </c>
      <c r="D922" s="9" t="str">
        <f aca="false">DEC2HEX(C922,4)</f>
        <v>F813</v>
      </c>
      <c r="E922" s="10" t="str">
        <f aca="false">_xlfn.UNICHAR(C922)</f>
        <v></v>
      </c>
      <c r="F922" s="1" t="n">
        <f aca="false">C922-C921</f>
        <v>1</v>
      </c>
      <c r="G922" s="19"/>
    </row>
    <row r="923" customFormat="false" ht="15" hidden="false" customHeight="false" outlineLevel="0" collapsed="false">
      <c r="A923" s="1" t="str">
        <f aca="false">_xlfn.TEXTJOIN( , ,"PRIVATE_EMOJI_",DEC2HEX(C923+HEX2DEC(10100)))</f>
        <v>PRIVATE_EMOJI_1F914</v>
      </c>
      <c r="B923" s="11" t="str">
        <f aca="false">DEC2HEX(C923+HEX2DEC("10100"))</f>
        <v>1F914</v>
      </c>
      <c r="C923" s="1" t="n">
        <v>63508</v>
      </c>
      <c r="D923" s="9" t="str">
        <f aca="false">DEC2HEX(C923,4)</f>
        <v>F814</v>
      </c>
      <c r="E923" s="10" t="str">
        <f aca="false">_xlfn.UNICHAR(C923)</f>
        <v></v>
      </c>
      <c r="F923" s="1" t="n">
        <f aca="false">C923-C922</f>
        <v>1</v>
      </c>
      <c r="G923" s="19"/>
    </row>
    <row r="924" customFormat="false" ht="15" hidden="false" customHeight="false" outlineLevel="0" collapsed="false">
      <c r="A924" s="1" t="str">
        <f aca="false">_xlfn.TEXTJOIN( , ,"PRIVATE_EMOJI_",DEC2HEX(C924+HEX2DEC(10100)))</f>
        <v>PRIVATE_EMOJI_1F915</v>
      </c>
      <c r="B924" s="11" t="str">
        <f aca="false">DEC2HEX(C924+HEX2DEC("10100"))</f>
        <v>1F915</v>
      </c>
      <c r="C924" s="1" t="n">
        <v>63509</v>
      </c>
      <c r="D924" s="9" t="str">
        <f aca="false">DEC2HEX(C924,4)</f>
        <v>F815</v>
      </c>
      <c r="E924" s="10" t="str">
        <f aca="false">_xlfn.UNICHAR(C924)</f>
        <v></v>
      </c>
      <c r="F924" s="1" t="n">
        <f aca="false">C924-C923</f>
        <v>1</v>
      </c>
      <c r="G924" s="19"/>
    </row>
    <row r="925" customFormat="false" ht="15" hidden="false" customHeight="false" outlineLevel="0" collapsed="false">
      <c r="A925" s="1" t="str">
        <f aca="false">_xlfn.TEXTJOIN( , ,"PRIVATE_EMOJI_",DEC2HEX(C925+HEX2DEC(10100)))</f>
        <v>PRIVATE_EMOJI_1F916</v>
      </c>
      <c r="B925" s="11" t="str">
        <f aca="false">DEC2HEX(C925+HEX2DEC("10100"))</f>
        <v>1F916</v>
      </c>
      <c r="C925" s="1" t="n">
        <v>63510</v>
      </c>
      <c r="D925" s="9" t="str">
        <f aca="false">DEC2HEX(C925,4)</f>
        <v>F816</v>
      </c>
      <c r="E925" s="10" t="str">
        <f aca="false">_xlfn.UNICHAR(C925)</f>
        <v></v>
      </c>
      <c r="F925" s="1" t="n">
        <f aca="false">C925-C924</f>
        <v>1</v>
      </c>
      <c r="G925" s="19"/>
    </row>
    <row r="926" customFormat="false" ht="15" hidden="false" customHeight="false" outlineLevel="0" collapsed="false">
      <c r="A926" s="1" t="str">
        <f aca="false">_xlfn.TEXTJOIN( , ,"PRIVATE_EMOJI_",DEC2HEX(C926+HEX2DEC(10100)))</f>
        <v>PRIVATE_EMOJI_1F917</v>
      </c>
      <c r="B926" s="11" t="str">
        <f aca="false">DEC2HEX(C926+HEX2DEC("10100"))</f>
        <v>1F917</v>
      </c>
      <c r="C926" s="1" t="n">
        <v>63511</v>
      </c>
      <c r="D926" s="9" t="str">
        <f aca="false">DEC2HEX(C926,4)</f>
        <v>F817</v>
      </c>
      <c r="E926" s="10" t="str">
        <f aca="false">_xlfn.UNICHAR(C926)</f>
        <v></v>
      </c>
      <c r="F926" s="1" t="n">
        <f aca="false">C926-C925</f>
        <v>1</v>
      </c>
      <c r="G926" s="19"/>
    </row>
    <row r="927" customFormat="false" ht="15" hidden="false" customHeight="false" outlineLevel="0" collapsed="false">
      <c r="A927" s="1" t="str">
        <f aca="false">_xlfn.TEXTJOIN( , ,"PRIVATE_EMOJI_",DEC2HEX(C927+HEX2DEC(10100)))</f>
        <v>PRIVATE_EMOJI_1F918</v>
      </c>
      <c r="B927" s="11" t="str">
        <f aca="false">DEC2HEX(C927+HEX2DEC("10100"))</f>
        <v>1F918</v>
      </c>
      <c r="C927" s="1" t="n">
        <v>63512</v>
      </c>
      <c r="D927" s="9" t="str">
        <f aca="false">DEC2HEX(C927,4)</f>
        <v>F818</v>
      </c>
      <c r="E927" s="10" t="str">
        <f aca="false">_xlfn.UNICHAR(C927)</f>
        <v></v>
      </c>
      <c r="F927" s="1" t="n">
        <f aca="false">C927-C926</f>
        <v>1</v>
      </c>
      <c r="G927" s="19"/>
    </row>
    <row r="928" customFormat="false" ht="15" hidden="false" customHeight="false" outlineLevel="0" collapsed="false">
      <c r="A928" s="1" t="str">
        <f aca="false">_xlfn.TEXTJOIN( , ,"PRIVATE_EMOJI_",DEC2HEX(C928+HEX2DEC(10100)))</f>
        <v>PRIVATE_EMOJI_1F919</v>
      </c>
      <c r="B928" s="11" t="str">
        <f aca="false">DEC2HEX(C928+HEX2DEC("10100"))</f>
        <v>1F919</v>
      </c>
      <c r="C928" s="1" t="n">
        <v>63513</v>
      </c>
      <c r="D928" s="9" t="str">
        <f aca="false">DEC2HEX(C928,4)</f>
        <v>F819</v>
      </c>
      <c r="E928" s="10" t="str">
        <f aca="false">_xlfn.UNICHAR(C928)</f>
        <v></v>
      </c>
      <c r="F928" s="1" t="n">
        <f aca="false">C928-C927</f>
        <v>1</v>
      </c>
      <c r="G928" s="19"/>
    </row>
    <row r="929" customFormat="false" ht="15" hidden="false" customHeight="false" outlineLevel="0" collapsed="false">
      <c r="A929" s="1" t="s">
        <v>1079</v>
      </c>
      <c r="B929" s="2" t="s">
        <v>1080</v>
      </c>
      <c r="C929" s="1" t="n">
        <f aca="false">HEX2DEC(B929)</f>
        <v>65269</v>
      </c>
      <c r="D929" s="9" t="str">
        <f aca="false">DEC2HEX(C929,4)</f>
        <v>FEF5</v>
      </c>
      <c r="E929" s="10" t="str">
        <f aca="false">_xlfn.UNICHAR(C929)</f>
        <v>ﻵ</v>
      </c>
      <c r="F929" s="1" t="n">
        <f aca="false">C929-C928</f>
        <v>1756</v>
      </c>
    </row>
    <row r="930" customFormat="false" ht="15" hidden="false" customHeight="false" outlineLevel="0" collapsed="false">
      <c r="A930" s="1" t="s">
        <v>1081</v>
      </c>
      <c r="B930" s="2" t="s">
        <v>1082</v>
      </c>
      <c r="C930" s="1" t="n">
        <f aca="false">HEX2DEC(B930)</f>
        <v>65275</v>
      </c>
      <c r="D930" s="9" t="str">
        <f aca="false">DEC2HEX(C930,4)</f>
        <v>FEFB</v>
      </c>
      <c r="E930" s="10" t="str">
        <f aca="false">_xlfn.UNICHAR(C930)</f>
        <v>ﻻ</v>
      </c>
      <c r="F930" s="1" t="n">
        <f aca="false">C930-C929</f>
        <v>6</v>
      </c>
    </row>
    <row r="931" customFormat="false" ht="15" hidden="false" customHeight="false" outlineLevel="0" collapsed="false">
      <c r="A931" s="12" t="s">
        <v>1083</v>
      </c>
      <c r="B931" s="20" t="s">
        <v>1084</v>
      </c>
      <c r="C931" s="1" t="n">
        <f aca="false">HEX2DEC(B931)</f>
        <v>12032</v>
      </c>
      <c r="D931" s="9" t="str">
        <f aca="false">DEC2HEX(C931,4)</f>
        <v>2F00</v>
      </c>
      <c r="E931" s="10" t="str">
        <f aca="false">_xlfn.UNICHAR(C931)</f>
        <v>⼀</v>
      </c>
      <c r="F931" s="1" t="n">
        <f aca="false">C931-C930</f>
        <v>-53243</v>
      </c>
      <c r="H931" s="7"/>
    </row>
    <row r="932" customFormat="false" ht="15" hidden="false" customHeight="false" outlineLevel="0" collapsed="false">
      <c r="A932" s="12" t="s">
        <v>1085</v>
      </c>
      <c r="B932" s="20" t="s">
        <v>1086</v>
      </c>
      <c r="C932" s="1" t="n">
        <f aca="false">HEX2DEC(B932)</f>
        <v>12040</v>
      </c>
      <c r="D932" s="9" t="str">
        <f aca="false">DEC2HEX(C932,4)</f>
        <v>2F08</v>
      </c>
      <c r="E932" s="10" t="str">
        <f aca="false">_xlfn.UNICHAR(C932)</f>
        <v>⼈</v>
      </c>
      <c r="F932" s="1" t="n">
        <f aca="false">C932-C931</f>
        <v>8</v>
      </c>
      <c r="H932" s="7"/>
    </row>
    <row r="933" customFormat="false" ht="15" hidden="false" customHeight="false" outlineLevel="0" collapsed="false">
      <c r="A933" s="12" t="s">
        <v>1087</v>
      </c>
      <c r="B933" s="20" t="s">
        <v>1088</v>
      </c>
      <c r="C933" s="1" t="n">
        <f aca="false">HEX2DEC(B933)</f>
        <v>12055</v>
      </c>
      <c r="D933" s="9" t="str">
        <f aca="false">DEC2HEX(C933,4)</f>
        <v>2F17</v>
      </c>
      <c r="E933" s="10" t="str">
        <f aca="false">_xlfn.UNICHAR(C933)</f>
        <v>⼗</v>
      </c>
      <c r="F933" s="1" t="n">
        <f aca="false">C933-C932</f>
        <v>15</v>
      </c>
      <c r="H933" s="7"/>
    </row>
    <row r="934" customFormat="false" ht="15" hidden="false" customHeight="false" outlineLevel="0" collapsed="false">
      <c r="A934" s="12" t="s">
        <v>1089</v>
      </c>
      <c r="B934" s="20" t="s">
        <v>1090</v>
      </c>
      <c r="C934" s="1" t="n">
        <f aca="false">HEX2DEC(B934)</f>
        <v>12056</v>
      </c>
      <c r="D934" s="9" t="str">
        <f aca="false">DEC2HEX(C934,4)</f>
        <v>2F18</v>
      </c>
      <c r="E934" s="10" t="str">
        <f aca="false">_xlfn.UNICHAR(C934)</f>
        <v>⼘</v>
      </c>
      <c r="F934" s="1" t="n">
        <f aca="false">C934-C933</f>
        <v>1</v>
      </c>
      <c r="H934" s="7"/>
    </row>
    <row r="935" customFormat="false" ht="15" hidden="false" customHeight="false" outlineLevel="0" collapsed="false">
      <c r="A935" s="12" t="s">
        <v>1091</v>
      </c>
      <c r="B935" s="20" t="s">
        <v>1092</v>
      </c>
      <c r="C935" s="1" t="n">
        <f aca="false">HEX2DEC(B935)</f>
        <v>12061</v>
      </c>
      <c r="D935" s="9" t="str">
        <f aca="false">DEC2HEX(C935,4)</f>
        <v>2F1D</v>
      </c>
      <c r="E935" s="10" t="str">
        <f aca="false">_xlfn.UNICHAR(C935)</f>
        <v>⼝</v>
      </c>
      <c r="F935" s="1" t="n">
        <f aca="false">C935-C934</f>
        <v>5</v>
      </c>
      <c r="H935" s="7"/>
    </row>
    <row r="936" customFormat="false" ht="15" hidden="false" customHeight="false" outlineLevel="0" collapsed="false">
      <c r="A936" s="12" t="s">
        <v>1093</v>
      </c>
      <c r="B936" s="20" t="s">
        <v>1094</v>
      </c>
      <c r="C936" s="1" t="n">
        <f aca="false">HEX2DEC(B936)</f>
        <v>12064</v>
      </c>
      <c r="D936" s="9" t="str">
        <f aca="false">DEC2HEX(C936,4)</f>
        <v>2F20</v>
      </c>
      <c r="E936" s="10" t="str">
        <f aca="false">_xlfn.UNICHAR(C936)</f>
        <v>⼠</v>
      </c>
      <c r="F936" s="1" t="n">
        <f aca="false">C936-C935</f>
        <v>3</v>
      </c>
      <c r="H936" s="7"/>
    </row>
    <row r="937" customFormat="false" ht="15" hidden="false" customHeight="false" outlineLevel="0" collapsed="false">
      <c r="A937" s="12" t="s">
        <v>1095</v>
      </c>
      <c r="B937" s="20" t="s">
        <v>1096</v>
      </c>
      <c r="C937" s="1" t="n">
        <f aca="false">HEX2DEC(B937)</f>
        <v>12068</v>
      </c>
      <c r="D937" s="9" t="str">
        <f aca="false">DEC2HEX(C937,4)</f>
        <v>2F24</v>
      </c>
      <c r="E937" s="10" t="str">
        <f aca="false">_xlfn.UNICHAR(C937)</f>
        <v>⼤</v>
      </c>
      <c r="F937" s="1" t="n">
        <f aca="false">C937-C936</f>
        <v>4</v>
      </c>
      <c r="H937" s="7"/>
    </row>
    <row r="938" customFormat="false" ht="15" hidden="false" customHeight="false" outlineLevel="0" collapsed="false">
      <c r="A938" s="12" t="s">
        <v>1097</v>
      </c>
      <c r="B938" s="20" t="s">
        <v>1098</v>
      </c>
      <c r="C938" s="1" t="n">
        <f aca="false">HEX2DEC(B938)</f>
        <v>12069</v>
      </c>
      <c r="D938" s="9" t="str">
        <f aca="false">DEC2HEX(C938,4)</f>
        <v>2F25</v>
      </c>
      <c r="E938" s="10" t="str">
        <f aca="false">_xlfn.UNICHAR(C938)</f>
        <v>⼥</v>
      </c>
      <c r="F938" s="1" t="n">
        <f aca="false">C938-C937</f>
        <v>1</v>
      </c>
      <c r="H938" s="7"/>
    </row>
    <row r="939" customFormat="false" ht="15" hidden="false" customHeight="false" outlineLevel="0" collapsed="false">
      <c r="A939" s="12" t="s">
        <v>1099</v>
      </c>
      <c r="B939" s="20" t="s">
        <v>1100</v>
      </c>
      <c r="C939" s="1" t="n">
        <f aca="false">HEX2DEC(B939)</f>
        <v>12075</v>
      </c>
      <c r="D939" s="9" t="str">
        <f aca="false">DEC2HEX(C939,4)</f>
        <v>2F2B</v>
      </c>
      <c r="E939" s="10" t="str">
        <f aca="false">_xlfn.UNICHAR(C939)</f>
        <v>⼫</v>
      </c>
      <c r="F939" s="1" t="n">
        <f aca="false">C939-C938</f>
        <v>6</v>
      </c>
      <c r="H939" s="7"/>
    </row>
    <row r="940" customFormat="false" ht="15" hidden="false" customHeight="false" outlineLevel="0" collapsed="false">
      <c r="A940" s="12" t="s">
        <v>1101</v>
      </c>
      <c r="B940" s="20" t="s">
        <v>1102</v>
      </c>
      <c r="C940" s="1" t="n">
        <f aca="false">HEX2DEC(B940)</f>
        <v>12077</v>
      </c>
      <c r="D940" s="9" t="str">
        <f aca="false">DEC2HEX(C940,4)</f>
        <v>2F2D</v>
      </c>
      <c r="E940" s="10" t="str">
        <f aca="false">_xlfn.UNICHAR(C940)</f>
        <v>⼭</v>
      </c>
      <c r="F940" s="1" t="n">
        <f aca="false">C940-C939</f>
        <v>2</v>
      </c>
      <c r="H940" s="7"/>
    </row>
    <row r="941" customFormat="false" ht="15" hidden="false" customHeight="false" outlineLevel="0" collapsed="false">
      <c r="A941" s="12" t="s">
        <v>1103</v>
      </c>
      <c r="B941" s="20" t="s">
        <v>1104</v>
      </c>
      <c r="C941" s="1" t="n">
        <f aca="false">HEX2DEC(B941)</f>
        <v>12088</v>
      </c>
      <c r="D941" s="9" t="str">
        <f aca="false">DEC2HEX(C941,4)</f>
        <v>2F38</v>
      </c>
      <c r="E941" s="10" t="str">
        <f aca="false">_xlfn.UNICHAR(C941)</f>
        <v>⼸</v>
      </c>
      <c r="F941" s="1" t="n">
        <f aca="false">C941-C940</f>
        <v>11</v>
      </c>
      <c r="H941" s="7"/>
    </row>
    <row r="942" customFormat="false" ht="15" hidden="false" customHeight="false" outlineLevel="0" collapsed="false">
      <c r="A942" s="12" t="s">
        <v>1105</v>
      </c>
      <c r="B942" s="20" t="s">
        <v>1106</v>
      </c>
      <c r="C942" s="1" t="n">
        <f aca="false">HEX2DEC(B942)</f>
        <v>12092</v>
      </c>
      <c r="D942" s="9" t="str">
        <f aca="false">DEC2HEX(C942,4)</f>
        <v>2F3C</v>
      </c>
      <c r="E942" s="10" t="str">
        <f aca="false">_xlfn.UNICHAR(C942)</f>
        <v>⼼</v>
      </c>
      <c r="F942" s="1" t="n">
        <f aca="false">C942-C941</f>
        <v>4</v>
      </c>
      <c r="H942" s="7"/>
    </row>
    <row r="943" customFormat="false" ht="15" hidden="false" customHeight="false" outlineLevel="0" collapsed="false">
      <c r="A943" s="12" t="s">
        <v>1107</v>
      </c>
      <c r="B943" s="20" t="s">
        <v>1108</v>
      </c>
      <c r="C943" s="1" t="n">
        <f aca="false">HEX2DEC(B943)</f>
        <v>12093</v>
      </c>
      <c r="D943" s="9" t="str">
        <f aca="false">DEC2HEX(C943,4)</f>
        <v>2F3D</v>
      </c>
      <c r="E943" s="10" t="str">
        <f aca="false">_xlfn.UNICHAR(C943)</f>
        <v>⼽</v>
      </c>
      <c r="F943" s="1" t="n">
        <f aca="false">C943-C942</f>
        <v>1</v>
      </c>
      <c r="H943" s="7"/>
    </row>
    <row r="944" customFormat="false" ht="15" hidden="false" customHeight="false" outlineLevel="0" collapsed="false">
      <c r="A944" s="12" t="s">
        <v>1109</v>
      </c>
      <c r="B944" s="20" t="s">
        <v>1110</v>
      </c>
      <c r="C944" s="1" t="n">
        <f aca="false">HEX2DEC(B944)</f>
        <v>12095</v>
      </c>
      <c r="D944" s="9" t="str">
        <f aca="false">DEC2HEX(C944,4)</f>
        <v>2F3F</v>
      </c>
      <c r="E944" s="10" t="str">
        <f aca="false">_xlfn.UNICHAR(C944)</f>
        <v>⼿</v>
      </c>
      <c r="F944" s="1" t="n">
        <f aca="false">C944-C943</f>
        <v>2</v>
      </c>
      <c r="H944" s="7"/>
    </row>
    <row r="945" customFormat="false" ht="15" hidden="false" customHeight="false" outlineLevel="0" collapsed="false">
      <c r="A945" s="12" t="s">
        <v>1111</v>
      </c>
      <c r="B945" s="20" t="s">
        <v>1112</v>
      </c>
      <c r="C945" s="1" t="n">
        <f aca="false">HEX2DEC(B945)</f>
        <v>12103</v>
      </c>
      <c r="D945" s="9" t="str">
        <f aca="false">DEC2HEX(C945,4)</f>
        <v>2F47</v>
      </c>
      <c r="E945" s="10" t="str">
        <f aca="false">_xlfn.UNICHAR(C945)</f>
        <v>⽇</v>
      </c>
      <c r="F945" s="1" t="n">
        <f aca="false">C945-C944</f>
        <v>8</v>
      </c>
      <c r="H945" s="7"/>
    </row>
    <row r="946" customFormat="false" ht="15" hidden="false" customHeight="false" outlineLevel="0" collapsed="false">
      <c r="A946" s="12" t="s">
        <v>1113</v>
      </c>
      <c r="B946" s="20" t="s">
        <v>1114</v>
      </c>
      <c r="C946" s="1" t="n">
        <f aca="false">HEX2DEC(B946)</f>
        <v>12105</v>
      </c>
      <c r="D946" s="9" t="str">
        <f aca="false">DEC2HEX(C946,4)</f>
        <v>2F49</v>
      </c>
      <c r="E946" s="10" t="str">
        <f aca="false">_xlfn.UNICHAR(C946)</f>
        <v>⽉</v>
      </c>
      <c r="F946" s="1" t="n">
        <f aca="false">C946-C945</f>
        <v>2</v>
      </c>
      <c r="H946" s="7"/>
    </row>
    <row r="947" customFormat="false" ht="15" hidden="false" customHeight="false" outlineLevel="0" collapsed="false">
      <c r="A947" s="12" t="s">
        <v>1115</v>
      </c>
      <c r="B947" s="20" t="s">
        <v>1116</v>
      </c>
      <c r="C947" s="1" t="n">
        <f aca="false">HEX2DEC(B947)</f>
        <v>12106</v>
      </c>
      <c r="D947" s="9" t="str">
        <f aca="false">DEC2HEX(C947,4)</f>
        <v>2F4A</v>
      </c>
      <c r="E947" s="10" t="str">
        <f aca="false">_xlfn.UNICHAR(C947)</f>
        <v>⽊</v>
      </c>
      <c r="F947" s="1" t="n">
        <f aca="false">C947-C946</f>
        <v>1</v>
      </c>
      <c r="H947" s="7"/>
    </row>
    <row r="948" customFormat="false" ht="15" hidden="false" customHeight="false" outlineLevel="0" collapsed="false">
      <c r="A948" s="12" t="s">
        <v>1117</v>
      </c>
      <c r="B948" s="20" t="s">
        <v>1118</v>
      </c>
      <c r="C948" s="1" t="n">
        <f aca="false">HEX2DEC(B948)</f>
        <v>12116</v>
      </c>
      <c r="D948" s="9" t="str">
        <f aca="false">DEC2HEX(C948,4)</f>
        <v>2F54</v>
      </c>
      <c r="E948" s="10" t="str">
        <f aca="false">_xlfn.UNICHAR(C948)</f>
        <v>⽔</v>
      </c>
      <c r="F948" s="1" t="n">
        <f aca="false">C948-C947</f>
        <v>10</v>
      </c>
      <c r="H948" s="7"/>
    </row>
    <row r="949" customFormat="false" ht="15" hidden="false" customHeight="false" outlineLevel="0" collapsed="false">
      <c r="A949" s="12" t="s">
        <v>1119</v>
      </c>
      <c r="B949" s="20" t="s">
        <v>1120</v>
      </c>
      <c r="C949" s="1" t="n">
        <f aca="false">HEX2DEC(B949)</f>
        <v>12117</v>
      </c>
      <c r="D949" s="9" t="str">
        <f aca="false">DEC2HEX(C949,4)</f>
        <v>2F55</v>
      </c>
      <c r="E949" s="10" t="str">
        <f aca="false">_xlfn.UNICHAR(C949)</f>
        <v>⽕</v>
      </c>
      <c r="F949" s="1" t="n">
        <f aca="false">C949-C948</f>
        <v>1</v>
      </c>
      <c r="H949" s="7"/>
    </row>
    <row r="950" customFormat="false" ht="15" hidden="false" customHeight="false" outlineLevel="0" collapsed="false">
      <c r="A950" s="12" t="s">
        <v>1121</v>
      </c>
      <c r="B950" s="20" t="s">
        <v>1122</v>
      </c>
      <c r="C950" s="1" t="n">
        <f aca="false">HEX2DEC(B950)</f>
        <v>12133</v>
      </c>
      <c r="D950" s="9" t="str">
        <f aca="false">DEC2HEX(C950,4)</f>
        <v>2F65</v>
      </c>
      <c r="E950" s="10" t="str">
        <f aca="false">_xlfn.UNICHAR(C950)</f>
        <v>⽥</v>
      </c>
      <c r="F950" s="1" t="n">
        <f aca="false">C950-C949</f>
        <v>16</v>
      </c>
      <c r="H950" s="7"/>
    </row>
    <row r="951" customFormat="false" ht="15" hidden="false" customHeight="false" outlineLevel="0" collapsed="false">
      <c r="A951" s="12" t="s">
        <v>1123</v>
      </c>
      <c r="B951" s="20" t="s">
        <v>1124</v>
      </c>
      <c r="C951" s="1" t="n">
        <f aca="false">HEX2DEC(B951)</f>
        <v>12149</v>
      </c>
      <c r="D951" s="9" t="str">
        <f aca="false">DEC2HEX(C951,4)</f>
        <v>2F75</v>
      </c>
      <c r="E951" s="10" t="str">
        <f aca="false">_xlfn.UNICHAR(C951)</f>
        <v>⽵</v>
      </c>
      <c r="F951" s="1" t="n">
        <f aca="false">C951-C950</f>
        <v>16</v>
      </c>
      <c r="H951" s="7"/>
    </row>
    <row r="952" customFormat="false" ht="15" hidden="false" customHeight="false" outlineLevel="0" collapsed="false">
      <c r="A952" s="12" t="s">
        <v>1125</v>
      </c>
      <c r="B952" s="20" t="s">
        <v>1126</v>
      </c>
      <c r="C952" s="1" t="n">
        <f aca="false">HEX2DEC(B952)</f>
        <v>12198</v>
      </c>
      <c r="D952" s="9" t="str">
        <f aca="false">DEC2HEX(C952,4)</f>
        <v>2FA6</v>
      </c>
      <c r="E952" s="10" t="str">
        <f aca="false">_xlfn.UNICHAR(C952)</f>
        <v>⾦</v>
      </c>
      <c r="F952" s="1" t="n">
        <f aca="false">C952-C951</f>
        <v>49</v>
      </c>
      <c r="H952" s="7"/>
    </row>
    <row r="953" customFormat="false" ht="15" hidden="false" customHeight="false" outlineLevel="0" collapsed="false">
      <c r="A953" s="12" t="s">
        <v>1127</v>
      </c>
      <c r="B953" s="15" t="s">
        <v>1128</v>
      </c>
      <c r="C953" s="1" t="n">
        <f aca="false">HEX2DEC(B953)</f>
        <v>20013</v>
      </c>
      <c r="D953" s="9" t="str">
        <f aca="false">DEC2HEX(C953,4)</f>
        <v>4E2D</v>
      </c>
      <c r="E953" s="10" t="str">
        <f aca="false">_xlfn.UNICHAR(C953)</f>
        <v>中</v>
      </c>
      <c r="F953" s="1" t="n">
        <f aca="false">C953-C952</f>
        <v>7815</v>
      </c>
      <c r="G953" s="7" t="s">
        <v>1129</v>
      </c>
      <c r="H953" s="7"/>
      <c r="I953" s="15"/>
    </row>
    <row r="954" customFormat="false" ht="15" hidden="false" customHeight="false" outlineLevel="0" collapsed="false">
      <c r="A954" s="12" t="s">
        <v>1130</v>
      </c>
      <c r="B954" s="15" t="s">
        <v>1131</v>
      </c>
      <c r="C954" s="1" t="n">
        <f aca="false">HEX2DEC(B954)</f>
        <v>24319</v>
      </c>
      <c r="D954" s="9" t="str">
        <f aca="false">DEC2HEX(C954,4)</f>
        <v>5EFF</v>
      </c>
      <c r="E954" s="10" t="str">
        <f aca="false">_xlfn.UNICHAR(C954)</f>
        <v>廿</v>
      </c>
      <c r="F954" s="1" t="n">
        <f aca="false">C954-C953</f>
        <v>4306</v>
      </c>
      <c r="G954" s="7" t="s">
        <v>1132</v>
      </c>
      <c r="H954" s="7"/>
      <c r="I954" s="15"/>
    </row>
    <row r="955" customFormat="false" ht="15" hidden="false" customHeight="false" outlineLevel="0" collapsed="false">
      <c r="A955" s="12" t="s">
        <v>1133</v>
      </c>
      <c r="B955" s="15" t="s">
        <v>1134</v>
      </c>
      <c r="C955" s="1" t="n">
        <f aca="false">HEX2DEC(B955)</f>
        <v>38627</v>
      </c>
      <c r="D955" s="9" t="str">
        <f aca="false">DEC2HEX(C955,4)</f>
        <v>96E3</v>
      </c>
      <c r="E955" s="10" t="str">
        <f aca="false">_xlfn.UNICHAR(C955)</f>
        <v>難</v>
      </c>
      <c r="F955" s="1" t="n">
        <f aca="false">C955-C954</f>
        <v>14308</v>
      </c>
      <c r="G955" s="7" t="s">
        <v>1135</v>
      </c>
      <c r="H955" s="7"/>
      <c r="I955" s="15"/>
    </row>
    <row r="956" customFormat="false" ht="15" hidden="false" customHeight="false" outlineLevel="0" collapsed="false">
      <c r="A956" s="12"/>
      <c r="B956" s="15"/>
      <c r="D956" s="9"/>
      <c r="E956" s="10"/>
      <c r="F956" s="1"/>
      <c r="H956" s="7"/>
    </row>
    <row r="957" customFormat="false" ht="12.8" hidden="false" customHeight="false" outlineLevel="0" collapsed="false">
      <c r="A957" s="7"/>
      <c r="B957" s="7"/>
      <c r="C957" s="7"/>
      <c r="D957" s="7"/>
      <c r="E957" s="7"/>
    </row>
    <row r="958" customFormat="false" ht="12.8" hidden="false" customHeight="false" outlineLevel="0" collapsed="false">
      <c r="A958" s="7"/>
      <c r="B958" s="7"/>
      <c r="C958" s="7"/>
      <c r="D958" s="7"/>
      <c r="E958" s="7"/>
    </row>
    <row r="959" customFormat="false" ht="12.8" hidden="false" customHeight="false" outlineLevel="0" collapsed="false">
      <c r="A959" s="7"/>
      <c r="B959" s="7"/>
      <c r="C959" s="7"/>
      <c r="D959" s="7"/>
      <c r="E959" s="7"/>
    </row>
    <row r="960" customFormat="false" ht="12.8" hidden="false" customHeight="false" outlineLevel="0" collapsed="false">
      <c r="A960" s="7"/>
      <c r="B960" s="7"/>
      <c r="C960" s="7"/>
      <c r="D960" s="7"/>
      <c r="E960" s="7"/>
    </row>
    <row r="961" customFormat="false" ht="12.8" hidden="false" customHeight="false" outlineLevel="0" collapsed="false">
      <c r="A961" s="7"/>
      <c r="B961" s="7"/>
      <c r="C961" s="7"/>
      <c r="D961" s="7"/>
      <c r="E961" s="7"/>
    </row>
    <row r="962" customFormat="false" ht="12.8" hidden="false" customHeight="false" outlineLevel="0" collapsed="false">
      <c r="A962" s="7"/>
      <c r="B962" s="7"/>
      <c r="C962" s="7"/>
      <c r="D962" s="7"/>
      <c r="E962" s="7"/>
    </row>
    <row r="963" customFormat="false" ht="12.8" hidden="false" customHeight="false" outlineLevel="0" collapsed="false">
      <c r="A963" s="7"/>
      <c r="B963" s="7"/>
      <c r="C963" s="7"/>
      <c r="D963" s="7"/>
      <c r="E963" s="7"/>
    </row>
    <row r="964" customFormat="false" ht="12.8" hidden="false" customHeight="false" outlineLevel="0" collapsed="false">
      <c r="A964" s="7"/>
      <c r="B964" s="7"/>
      <c r="C964" s="7"/>
      <c r="D964" s="7"/>
      <c r="E964" s="7"/>
    </row>
    <row r="965" customFormat="false" ht="12.8" hidden="false" customHeight="false" outlineLevel="0" collapsed="false">
      <c r="A965" s="7"/>
      <c r="B965" s="7"/>
      <c r="C965" s="7"/>
      <c r="D965" s="7"/>
      <c r="E965" s="7"/>
    </row>
    <row r="966" customFormat="false" ht="12.8" hidden="false" customHeight="false" outlineLevel="0" collapsed="false">
      <c r="A966" s="7"/>
      <c r="B966" s="7"/>
      <c r="C966" s="7"/>
      <c r="D966" s="7"/>
      <c r="E966" s="7"/>
    </row>
    <row r="967" customFormat="false" ht="12.8" hidden="false" customHeight="false" outlineLevel="0" collapsed="false">
      <c r="A967" s="7"/>
      <c r="B967" s="7"/>
      <c r="C967" s="7"/>
      <c r="D967" s="7"/>
      <c r="E967" s="7"/>
    </row>
    <row r="968" customFormat="false" ht="12.8" hidden="false" customHeight="false" outlineLevel="0" collapsed="false">
      <c r="A968" s="7"/>
      <c r="B968" s="7"/>
      <c r="C968" s="7"/>
      <c r="D968" s="7"/>
      <c r="E968" s="7"/>
    </row>
    <row r="969" customFormat="false" ht="12.8" hidden="false" customHeight="false" outlineLevel="0" collapsed="false">
      <c r="A969" s="7"/>
      <c r="B969" s="7"/>
      <c r="C969" s="7"/>
      <c r="D969" s="7"/>
      <c r="E969" s="7"/>
    </row>
    <row r="970" customFormat="false" ht="12.8" hidden="false" customHeight="false" outlineLevel="0" collapsed="false">
      <c r="A970" s="7"/>
      <c r="B970" s="7"/>
      <c r="C970" s="7"/>
      <c r="D970" s="7"/>
      <c r="E970" s="7"/>
    </row>
    <row r="971" customFormat="false" ht="12.8" hidden="false" customHeight="false" outlineLevel="0" collapsed="false">
      <c r="A971" s="7"/>
      <c r="B971" s="7"/>
      <c r="C971" s="7"/>
      <c r="D971" s="7"/>
      <c r="E971" s="7"/>
    </row>
    <row r="972" customFormat="false" ht="12.8" hidden="false" customHeight="false" outlineLevel="0" collapsed="false">
      <c r="A972" s="7"/>
      <c r="B972" s="7"/>
      <c r="C972" s="7"/>
      <c r="D972" s="7"/>
      <c r="E972" s="7"/>
    </row>
    <row r="973" customFormat="false" ht="12.8" hidden="false" customHeight="false" outlineLevel="0" collapsed="false">
      <c r="A973" s="7"/>
      <c r="B973" s="7"/>
      <c r="C973" s="7"/>
      <c r="D973" s="7"/>
      <c r="E973" s="7"/>
    </row>
    <row r="974" customFormat="false" ht="12.8" hidden="false" customHeight="false" outlineLevel="0" collapsed="false">
      <c r="A974" s="7"/>
      <c r="B974" s="7"/>
      <c r="C974" s="7"/>
      <c r="D974" s="7"/>
      <c r="E974" s="7"/>
    </row>
    <row r="975" customFormat="false" ht="12.8" hidden="false" customHeight="false" outlineLevel="0" collapsed="false">
      <c r="A975" s="7"/>
      <c r="B975" s="7"/>
      <c r="C975" s="7"/>
      <c r="D975" s="7"/>
      <c r="E975" s="7"/>
    </row>
    <row r="976" customFormat="false" ht="12.8" hidden="false" customHeight="false" outlineLevel="0" collapsed="false">
      <c r="A976" s="7"/>
      <c r="B976" s="7"/>
      <c r="C976" s="7"/>
      <c r="D976" s="7"/>
      <c r="E976" s="7"/>
    </row>
    <row r="977" customFormat="false" ht="12.8" hidden="false" customHeight="false" outlineLevel="0" collapsed="false">
      <c r="A977" s="7"/>
      <c r="B977" s="7"/>
      <c r="C977" s="7"/>
      <c r="D977" s="7"/>
      <c r="E977" s="7"/>
    </row>
    <row r="978" customFormat="false" ht="12.8" hidden="false" customHeight="false" outlineLevel="0" collapsed="false">
      <c r="A978" s="7"/>
      <c r="B978" s="7"/>
      <c r="C978" s="7"/>
      <c r="D978" s="7"/>
      <c r="E978" s="7"/>
    </row>
    <row r="979" customFormat="false" ht="12.8" hidden="false" customHeight="false" outlineLevel="0" collapsed="false">
      <c r="A979" s="7"/>
      <c r="B979" s="7"/>
      <c r="C979" s="7"/>
      <c r="D979" s="7"/>
      <c r="E979" s="7"/>
    </row>
    <row r="980" customFormat="false" ht="12.8" hidden="false" customHeight="false" outlineLevel="0" collapsed="false">
      <c r="A980" s="7"/>
      <c r="B980" s="7"/>
      <c r="C980" s="7"/>
      <c r="D980" s="7"/>
      <c r="E980" s="7"/>
    </row>
    <row r="981" customFormat="false" ht="12.8" hidden="false" customHeight="false" outlineLevel="0" collapsed="false">
      <c r="A981" s="7"/>
      <c r="B981" s="7"/>
      <c r="C981" s="7"/>
      <c r="D981" s="7"/>
      <c r="E981" s="7"/>
    </row>
    <row r="982" customFormat="false" ht="12.8" hidden="false" customHeight="false" outlineLevel="0" collapsed="false">
      <c r="A982" s="7"/>
      <c r="B982" s="7"/>
      <c r="C982" s="7"/>
      <c r="D982" s="7"/>
      <c r="E982" s="7"/>
    </row>
    <row r="983" customFormat="false" ht="12.8" hidden="false" customHeight="false" outlineLevel="0" collapsed="false">
      <c r="A983" s="7"/>
      <c r="B983" s="7"/>
      <c r="C983" s="7"/>
      <c r="D983" s="7"/>
      <c r="E983" s="7"/>
    </row>
    <row r="984" customFormat="false" ht="12.8" hidden="false" customHeight="false" outlineLevel="0" collapsed="false">
      <c r="A984" s="7"/>
      <c r="B984" s="7"/>
      <c r="C984" s="7"/>
      <c r="D984" s="7"/>
      <c r="E984" s="7"/>
    </row>
    <row r="985" customFormat="false" ht="12.8" hidden="false" customHeight="false" outlineLevel="0" collapsed="false">
      <c r="A985" s="7"/>
      <c r="B985" s="7"/>
      <c r="C985" s="7"/>
      <c r="D985" s="7"/>
      <c r="E985" s="7"/>
    </row>
    <row r="986" customFormat="false" ht="12.8" hidden="false" customHeight="false" outlineLevel="0" collapsed="false">
      <c r="A986" s="7"/>
      <c r="B986" s="7"/>
      <c r="C986" s="7"/>
      <c r="D986" s="7"/>
      <c r="E986" s="7"/>
    </row>
    <row r="987" customFormat="false" ht="12.8" hidden="false" customHeight="false" outlineLevel="0" collapsed="false">
      <c r="A987" s="7"/>
      <c r="B987" s="7"/>
      <c r="C987" s="7"/>
      <c r="D987" s="7"/>
      <c r="E987" s="7"/>
    </row>
    <row r="988" customFormat="false" ht="12.8" hidden="false" customHeight="false" outlineLevel="0" collapsed="false">
      <c r="A988" s="7"/>
      <c r="B988" s="7"/>
      <c r="C988" s="7"/>
      <c r="D988" s="7"/>
      <c r="E988" s="7"/>
    </row>
    <row r="989" customFormat="false" ht="12.8" hidden="false" customHeight="false" outlineLevel="0" collapsed="false">
      <c r="A989" s="7"/>
      <c r="B989" s="7"/>
      <c r="C989" s="7"/>
      <c r="D989" s="7"/>
      <c r="E989" s="7"/>
    </row>
    <row r="990" customFormat="false" ht="12.8" hidden="false" customHeight="false" outlineLevel="0" collapsed="false">
      <c r="A990" s="7"/>
      <c r="B990" s="7"/>
      <c r="C990" s="7"/>
      <c r="D990" s="7"/>
      <c r="E990" s="7"/>
    </row>
    <row r="991" customFormat="false" ht="12.8" hidden="false" customHeight="false" outlineLevel="0" collapsed="false">
      <c r="A991" s="7"/>
      <c r="B991" s="7"/>
      <c r="C991" s="7"/>
      <c r="D991" s="7"/>
      <c r="E991" s="7"/>
    </row>
    <row r="992" customFormat="false" ht="12.8" hidden="false" customHeight="false" outlineLevel="0" collapsed="false">
      <c r="A992" s="7"/>
      <c r="B992" s="7"/>
      <c r="C992" s="7"/>
      <c r="D992" s="7"/>
      <c r="E992" s="7"/>
    </row>
    <row r="993" customFormat="false" ht="12.8" hidden="false" customHeight="false" outlineLevel="0" collapsed="false">
      <c r="A993" s="7"/>
      <c r="B993" s="7"/>
      <c r="C993" s="7"/>
      <c r="D993" s="7"/>
      <c r="E993" s="7"/>
    </row>
    <row r="994" customFormat="false" ht="12.8" hidden="false" customHeight="false" outlineLevel="0" collapsed="false">
      <c r="A994" s="7"/>
      <c r="B994" s="7"/>
      <c r="C994" s="7"/>
      <c r="D994" s="7"/>
      <c r="E994" s="7"/>
    </row>
    <row r="995" customFormat="false" ht="12.8" hidden="false" customHeight="false" outlineLevel="0" collapsed="false">
      <c r="A995" s="7"/>
      <c r="B995" s="7"/>
      <c r="C995" s="7"/>
      <c r="D995" s="7"/>
      <c r="E995" s="7"/>
    </row>
    <row r="996" customFormat="false" ht="12.8" hidden="false" customHeight="false" outlineLevel="0" collapsed="false">
      <c r="A996" s="7"/>
      <c r="B996" s="7"/>
      <c r="C996" s="7"/>
      <c r="D996" s="7"/>
      <c r="E996" s="7"/>
    </row>
    <row r="997" customFormat="false" ht="12.8" hidden="false" customHeight="false" outlineLevel="0" collapsed="false">
      <c r="A997" s="7"/>
      <c r="B997" s="7"/>
      <c r="C997" s="7"/>
      <c r="D997" s="7"/>
      <c r="E997" s="7"/>
    </row>
    <row r="998" customFormat="false" ht="12.8" hidden="false" customHeight="false" outlineLevel="0" collapsed="false">
      <c r="A998" s="7"/>
      <c r="B998" s="7"/>
      <c r="C998" s="7"/>
      <c r="D998" s="7"/>
      <c r="E998" s="7"/>
    </row>
    <row r="999" customFormat="false" ht="12.8" hidden="false" customHeight="false" outlineLevel="0" collapsed="false">
      <c r="A999" s="7"/>
      <c r="B999" s="7"/>
      <c r="C999" s="7"/>
      <c r="D999" s="7"/>
      <c r="E999" s="7"/>
    </row>
    <row r="1000" customFormat="false" ht="12.8" hidden="false" customHeight="false" outlineLevel="0" collapsed="false">
      <c r="A1000" s="7"/>
      <c r="B1000" s="7"/>
      <c r="C1000" s="7"/>
      <c r="D1000" s="7"/>
      <c r="E1000" s="7"/>
    </row>
    <row r="1001" customFormat="false" ht="12.8" hidden="false" customHeight="false" outlineLevel="0" collapsed="false">
      <c r="A1001" s="7"/>
      <c r="B1001" s="7"/>
      <c r="C1001" s="7"/>
      <c r="D1001" s="7"/>
      <c r="E1001" s="7"/>
    </row>
    <row r="1002" customFormat="false" ht="12.8" hidden="false" customHeight="false" outlineLevel="0" collapsed="false">
      <c r="A1002" s="7"/>
      <c r="B1002" s="7"/>
      <c r="C1002" s="7"/>
      <c r="D1002" s="7"/>
      <c r="E1002" s="7"/>
    </row>
    <row r="1003" customFormat="false" ht="12.8" hidden="false" customHeight="false" outlineLevel="0" collapsed="false">
      <c r="A1003" s="7"/>
      <c r="B1003" s="7"/>
      <c r="C1003" s="7"/>
      <c r="D1003" s="7"/>
      <c r="E1003" s="7"/>
    </row>
    <row r="1004" customFormat="false" ht="12.8" hidden="false" customHeight="false" outlineLevel="0" collapsed="false">
      <c r="A1004" s="7"/>
      <c r="B1004" s="7"/>
      <c r="C1004" s="7"/>
      <c r="D1004" s="7"/>
      <c r="E1004" s="7"/>
    </row>
    <row r="1005" customFormat="false" ht="12.8" hidden="false" customHeight="false" outlineLevel="0" collapsed="false">
      <c r="A1005" s="7"/>
      <c r="B1005" s="7"/>
      <c r="C1005" s="7"/>
      <c r="D1005" s="7"/>
      <c r="E1005" s="7"/>
    </row>
    <row r="1006" customFormat="false" ht="12.8" hidden="false" customHeight="false" outlineLevel="0" collapsed="false">
      <c r="A1006" s="7"/>
      <c r="B1006" s="7"/>
      <c r="C1006" s="7"/>
      <c r="D1006" s="7"/>
      <c r="E1006" s="7"/>
    </row>
    <row r="1007" customFormat="false" ht="12.8" hidden="false" customHeight="false" outlineLevel="0" collapsed="false">
      <c r="A1007" s="7"/>
      <c r="B1007" s="7"/>
      <c r="C1007" s="7"/>
      <c r="D1007" s="7"/>
      <c r="E1007" s="7"/>
    </row>
    <row r="1008" customFormat="false" ht="12.8" hidden="false" customHeight="false" outlineLevel="0" collapsed="false">
      <c r="A1008" s="7"/>
      <c r="B1008" s="7"/>
      <c r="C1008" s="7"/>
      <c r="D1008" s="7"/>
      <c r="E1008" s="7"/>
    </row>
    <row r="1009" customFormat="false" ht="12.8" hidden="false" customHeight="false" outlineLevel="0" collapsed="false">
      <c r="A1009" s="7"/>
      <c r="B1009" s="7"/>
      <c r="C1009" s="7"/>
      <c r="D1009" s="7"/>
      <c r="E1009" s="7"/>
    </row>
    <row r="1010" customFormat="false" ht="12.8" hidden="false" customHeight="false" outlineLevel="0" collapsed="false">
      <c r="A1010" s="7"/>
      <c r="B1010" s="7"/>
      <c r="C1010" s="7"/>
      <c r="D1010" s="7"/>
      <c r="E1010" s="7"/>
    </row>
    <row r="1011" customFormat="false" ht="12.8" hidden="false" customHeight="false" outlineLevel="0" collapsed="false">
      <c r="A1011" s="7"/>
      <c r="B1011" s="7"/>
      <c r="C1011" s="7"/>
      <c r="D1011" s="7"/>
      <c r="E1011" s="7"/>
    </row>
    <row r="1012" customFormat="false" ht="12.8" hidden="false" customHeight="false" outlineLevel="0" collapsed="false">
      <c r="A1012" s="7"/>
      <c r="B1012" s="7"/>
      <c r="C1012" s="7"/>
      <c r="D1012" s="7"/>
      <c r="E1012" s="7"/>
    </row>
    <row r="1013" customFormat="false" ht="12.8" hidden="false" customHeight="false" outlineLevel="0" collapsed="false">
      <c r="A1013" s="7"/>
      <c r="B1013" s="7"/>
      <c r="C1013" s="7"/>
      <c r="D1013" s="7"/>
      <c r="E1013" s="7"/>
    </row>
    <row r="1014" customFormat="false" ht="12.8" hidden="false" customHeight="false" outlineLevel="0" collapsed="false">
      <c r="A1014" s="7"/>
      <c r="B1014" s="7"/>
      <c r="C1014" s="7"/>
      <c r="D1014" s="7"/>
      <c r="E1014" s="7"/>
    </row>
    <row r="1015" customFormat="false" ht="12.8" hidden="false" customHeight="false" outlineLevel="0" collapsed="false">
      <c r="A1015" s="7"/>
      <c r="B1015" s="7"/>
      <c r="C1015" s="7"/>
      <c r="D1015" s="7"/>
      <c r="E1015" s="7"/>
    </row>
    <row r="1016" customFormat="false" ht="12.8" hidden="false" customHeight="false" outlineLevel="0" collapsed="false">
      <c r="A1016" s="7"/>
      <c r="B1016" s="7"/>
      <c r="C1016" s="7"/>
      <c r="D1016" s="7"/>
      <c r="E1016" s="7"/>
    </row>
    <row r="1017" customFormat="false" ht="12.8" hidden="false" customHeight="false" outlineLevel="0" collapsed="false">
      <c r="A1017" s="7"/>
      <c r="B1017" s="7"/>
      <c r="C1017" s="7"/>
      <c r="D1017" s="7"/>
      <c r="E1017" s="7"/>
    </row>
    <row r="1018" customFormat="false" ht="12.8" hidden="false" customHeight="false" outlineLevel="0" collapsed="false">
      <c r="A1018" s="7"/>
      <c r="B1018" s="7"/>
      <c r="C1018" s="7"/>
      <c r="D1018" s="7"/>
      <c r="E1018" s="7"/>
    </row>
    <row r="1019" customFormat="false" ht="12.8" hidden="false" customHeight="false" outlineLevel="0" collapsed="false">
      <c r="A1019" s="7"/>
      <c r="B1019" s="7"/>
      <c r="C1019" s="7"/>
      <c r="D1019" s="7"/>
      <c r="E1019" s="7"/>
    </row>
    <row r="1020" customFormat="false" ht="12.8" hidden="false" customHeight="false" outlineLevel="0" collapsed="false">
      <c r="A1020" s="7"/>
      <c r="B1020" s="7"/>
      <c r="C1020" s="7"/>
      <c r="D1020" s="7"/>
      <c r="E1020" s="7"/>
    </row>
    <row r="1021" customFormat="false" ht="12.8" hidden="false" customHeight="false" outlineLevel="0" collapsed="false">
      <c r="A1021" s="7"/>
      <c r="B1021" s="7"/>
      <c r="C1021" s="7"/>
      <c r="D1021" s="7"/>
      <c r="E1021" s="7"/>
    </row>
    <row r="1022" customFormat="false" ht="12.8" hidden="false" customHeight="false" outlineLevel="0" collapsed="false">
      <c r="A1022" s="7"/>
      <c r="B1022" s="7"/>
      <c r="C1022" s="7"/>
      <c r="D1022" s="7"/>
      <c r="E1022" s="7"/>
    </row>
    <row r="1023" customFormat="false" ht="12.8" hidden="false" customHeight="false" outlineLevel="0" collapsed="false">
      <c r="A1023" s="7"/>
      <c r="B1023" s="7"/>
      <c r="C1023" s="7"/>
      <c r="D1023" s="7"/>
      <c r="E1023" s="7"/>
    </row>
    <row r="1024" customFormat="false" ht="12.8" hidden="false" customHeight="false" outlineLevel="0" collapsed="false">
      <c r="A1024" s="7"/>
      <c r="B1024" s="7"/>
      <c r="C1024" s="7"/>
      <c r="D1024" s="7"/>
      <c r="E1024" s="7"/>
    </row>
    <row r="1025" customFormat="false" ht="12.8" hidden="false" customHeight="false" outlineLevel="0" collapsed="false">
      <c r="A1025" s="7"/>
      <c r="B1025" s="7"/>
      <c r="C1025" s="7"/>
      <c r="D1025" s="7"/>
      <c r="E1025" s="7"/>
    </row>
    <row r="1026" customFormat="false" ht="12.8" hidden="false" customHeight="false" outlineLevel="0" collapsed="false">
      <c r="A1026" s="7"/>
      <c r="B1026" s="7"/>
      <c r="C1026" s="7"/>
      <c r="D1026" s="7"/>
      <c r="E1026" s="7"/>
    </row>
    <row r="1027" customFormat="false" ht="12.8" hidden="false" customHeight="false" outlineLevel="0" collapsed="false">
      <c r="A1027" s="7"/>
      <c r="B1027" s="7"/>
      <c r="C1027" s="7"/>
      <c r="D1027" s="7"/>
      <c r="E1027" s="7"/>
    </row>
    <row r="1028" customFormat="false" ht="12.8" hidden="false" customHeight="false" outlineLevel="0" collapsed="false">
      <c r="A1028" s="7"/>
      <c r="B1028" s="7"/>
      <c r="C1028" s="7"/>
      <c r="D1028" s="7"/>
      <c r="E1028" s="7"/>
    </row>
    <row r="1029" customFormat="false" ht="12.8" hidden="false" customHeight="false" outlineLevel="0" collapsed="false">
      <c r="A1029" s="7"/>
      <c r="B1029" s="7"/>
      <c r="C1029" s="7"/>
      <c r="D1029" s="7"/>
      <c r="E1029" s="7"/>
    </row>
    <row r="1030" customFormat="false" ht="12.8" hidden="false" customHeight="false" outlineLevel="0" collapsed="false">
      <c r="A1030" s="7"/>
      <c r="B1030" s="7"/>
      <c r="C1030" s="7"/>
      <c r="D1030" s="7"/>
      <c r="E1030" s="7"/>
    </row>
    <row r="1031" customFormat="false" ht="12.8" hidden="false" customHeight="false" outlineLevel="0" collapsed="false">
      <c r="A1031" s="7"/>
      <c r="B1031" s="7"/>
      <c r="C1031" s="7"/>
      <c r="D1031" s="7"/>
      <c r="E1031" s="7"/>
    </row>
    <row r="1032" customFormat="false" ht="12.8" hidden="false" customHeight="false" outlineLevel="0" collapsed="false">
      <c r="A1032" s="7"/>
      <c r="B1032" s="7"/>
      <c r="C1032" s="7"/>
      <c r="D1032" s="7"/>
      <c r="E1032" s="7"/>
    </row>
    <row r="1033" customFormat="false" ht="12.8" hidden="false" customHeight="false" outlineLevel="0" collapsed="false">
      <c r="A1033" s="7"/>
      <c r="B1033" s="7"/>
      <c r="C1033" s="7"/>
      <c r="D1033" s="7"/>
      <c r="E1033" s="7"/>
    </row>
    <row r="1034" customFormat="false" ht="12.8" hidden="false" customHeight="false" outlineLevel="0" collapsed="false">
      <c r="A1034" s="7"/>
      <c r="B1034" s="7"/>
      <c r="C1034" s="7"/>
      <c r="D1034" s="7"/>
      <c r="E1034" s="7"/>
    </row>
    <row r="1035" customFormat="false" ht="12.8" hidden="false" customHeight="false" outlineLevel="0" collapsed="false">
      <c r="A1035" s="7"/>
      <c r="B1035" s="7"/>
      <c r="C1035" s="7"/>
      <c r="D1035" s="7"/>
      <c r="E1035" s="7"/>
    </row>
    <row r="1036" customFormat="false" ht="12.8" hidden="false" customHeight="false" outlineLevel="0" collapsed="false">
      <c r="A1036" s="7"/>
      <c r="B1036" s="7"/>
      <c r="C1036" s="7"/>
      <c r="D1036" s="7"/>
      <c r="E1036" s="7"/>
    </row>
    <row r="1037" customFormat="false" ht="12.8" hidden="false" customHeight="false" outlineLevel="0" collapsed="false">
      <c r="A1037" s="7"/>
      <c r="B1037" s="7"/>
      <c r="C1037" s="7"/>
      <c r="D1037" s="7"/>
      <c r="E1037" s="7"/>
    </row>
    <row r="1038" customFormat="false" ht="12.8" hidden="false" customHeight="false" outlineLevel="0" collapsed="false">
      <c r="A1038" s="7"/>
      <c r="B1038" s="7"/>
      <c r="C1038" s="7"/>
      <c r="D1038" s="7"/>
      <c r="E1038" s="7"/>
    </row>
    <row r="1039" customFormat="false" ht="12.8" hidden="false" customHeight="false" outlineLevel="0" collapsed="false">
      <c r="A1039" s="7"/>
      <c r="B1039" s="7"/>
      <c r="C1039" s="7"/>
      <c r="D1039" s="7"/>
      <c r="E1039" s="7"/>
    </row>
    <row r="1040" customFormat="false" ht="12.8" hidden="false" customHeight="false" outlineLevel="0" collapsed="false">
      <c r="A1040" s="7"/>
      <c r="B1040" s="7"/>
      <c r="C1040" s="7"/>
      <c r="D1040" s="7"/>
      <c r="E1040" s="7"/>
    </row>
    <row r="1041" customFormat="false" ht="12.8" hidden="false" customHeight="false" outlineLevel="0" collapsed="false">
      <c r="A1041" s="7"/>
      <c r="B1041" s="7"/>
      <c r="C1041" s="7"/>
      <c r="D1041" s="7"/>
      <c r="E1041" s="7"/>
    </row>
    <row r="1042" customFormat="false" ht="12.8" hidden="false" customHeight="false" outlineLevel="0" collapsed="false">
      <c r="A1042" s="7"/>
      <c r="B1042" s="7"/>
      <c r="C1042" s="7"/>
      <c r="D1042" s="7"/>
      <c r="E1042" s="7"/>
    </row>
    <row r="1043" customFormat="false" ht="12.8" hidden="false" customHeight="false" outlineLevel="0" collapsed="false">
      <c r="A1043" s="7"/>
      <c r="B1043" s="7"/>
      <c r="C1043" s="7"/>
      <c r="D1043" s="7"/>
      <c r="E1043" s="7"/>
    </row>
    <row r="1044" customFormat="false" ht="12.8" hidden="false" customHeight="false" outlineLevel="0" collapsed="false">
      <c r="A1044" s="7"/>
      <c r="B1044" s="7"/>
      <c r="C1044" s="7"/>
      <c r="D1044" s="7"/>
      <c r="E1044" s="7"/>
    </row>
    <row r="1045" customFormat="false" ht="12.8" hidden="false" customHeight="false" outlineLevel="0" collapsed="false">
      <c r="A1045" s="7"/>
      <c r="B1045" s="7"/>
      <c r="C1045" s="7"/>
      <c r="D1045" s="7"/>
      <c r="E1045" s="7"/>
    </row>
    <row r="1046" customFormat="false" ht="12.8" hidden="false" customHeight="false" outlineLevel="0" collapsed="false">
      <c r="A1046" s="7"/>
      <c r="B1046" s="7"/>
      <c r="C1046" s="7"/>
      <c r="D1046" s="7"/>
      <c r="E1046" s="7"/>
    </row>
    <row r="1047" customFormat="false" ht="12.8" hidden="false" customHeight="false" outlineLevel="0" collapsed="false">
      <c r="A1047" s="7"/>
      <c r="B1047" s="7"/>
      <c r="C1047" s="7"/>
      <c r="D1047" s="7"/>
      <c r="E1047" s="7"/>
    </row>
    <row r="1048" customFormat="false" ht="12.8" hidden="false" customHeight="false" outlineLevel="0" collapsed="false">
      <c r="A1048" s="7"/>
      <c r="B1048" s="7"/>
      <c r="C1048" s="7"/>
      <c r="D1048" s="7"/>
      <c r="E1048" s="7"/>
    </row>
    <row r="1049" customFormat="false" ht="12.8" hidden="false" customHeight="false" outlineLevel="0" collapsed="false">
      <c r="A1049" s="7"/>
      <c r="B1049" s="7"/>
      <c r="C1049" s="7"/>
      <c r="D1049" s="7"/>
      <c r="E1049" s="7"/>
    </row>
    <row r="1050" customFormat="false" ht="12.8" hidden="false" customHeight="false" outlineLevel="0" collapsed="false">
      <c r="A1050" s="7"/>
      <c r="B1050" s="7"/>
      <c r="C1050" s="7"/>
      <c r="D1050" s="7"/>
      <c r="E1050" s="7"/>
    </row>
    <row r="1051" customFormat="false" ht="12.8" hidden="false" customHeight="false" outlineLevel="0" collapsed="false">
      <c r="A1051" s="7"/>
      <c r="B1051" s="7"/>
      <c r="C1051" s="7"/>
      <c r="D1051" s="7"/>
      <c r="E1051" s="7"/>
    </row>
    <row r="1052" customFormat="false" ht="12.8" hidden="false" customHeight="false" outlineLevel="0" collapsed="false">
      <c r="A1052" s="7"/>
      <c r="B1052" s="7"/>
      <c r="C1052" s="7"/>
      <c r="D1052" s="7"/>
      <c r="E1052" s="7"/>
    </row>
    <row r="1053" customFormat="false" ht="12.8" hidden="false" customHeight="false" outlineLevel="0" collapsed="false">
      <c r="A1053" s="7"/>
      <c r="B1053" s="7"/>
      <c r="C1053" s="7"/>
      <c r="D1053" s="7"/>
      <c r="E1053" s="7"/>
    </row>
    <row r="1054" customFormat="false" ht="12.8" hidden="false" customHeight="false" outlineLevel="0" collapsed="false">
      <c r="A1054" s="7"/>
      <c r="B1054" s="7"/>
      <c r="C1054" s="7"/>
      <c r="D1054" s="7"/>
      <c r="E1054" s="7"/>
    </row>
    <row r="1055" customFormat="false" ht="12.8" hidden="false" customHeight="false" outlineLevel="0" collapsed="false">
      <c r="A1055" s="7"/>
      <c r="B1055" s="7"/>
      <c r="C1055" s="7"/>
      <c r="D1055" s="7"/>
      <c r="E1055" s="7"/>
    </row>
    <row r="1056" customFormat="false" ht="12.8" hidden="false" customHeight="false" outlineLevel="0" collapsed="false">
      <c r="A1056" s="7"/>
      <c r="B1056" s="7"/>
      <c r="C1056" s="7"/>
      <c r="D1056" s="7"/>
      <c r="E1056" s="7"/>
    </row>
    <row r="1057" customFormat="false" ht="12.8" hidden="false" customHeight="false" outlineLevel="0" collapsed="false">
      <c r="A1057" s="7"/>
      <c r="B1057" s="7"/>
      <c r="C1057" s="7"/>
      <c r="D1057" s="7"/>
      <c r="E1057" s="7"/>
    </row>
    <row r="1058" customFormat="false" ht="12.8" hidden="false" customHeight="false" outlineLevel="0" collapsed="false">
      <c r="A1058" s="7"/>
      <c r="B1058" s="7"/>
      <c r="C1058" s="7"/>
      <c r="D1058" s="7"/>
      <c r="E1058" s="7"/>
    </row>
    <row r="1059" customFormat="false" ht="12.8" hidden="false" customHeight="false" outlineLevel="0" collapsed="false">
      <c r="A1059" s="7"/>
      <c r="B1059" s="7"/>
      <c r="C1059" s="7"/>
      <c r="D1059" s="7"/>
      <c r="E1059" s="7"/>
    </row>
    <row r="1060" customFormat="false" ht="12.8" hidden="false" customHeight="false" outlineLevel="0" collapsed="false">
      <c r="A1060" s="7"/>
      <c r="B1060" s="7"/>
      <c r="C1060" s="7"/>
      <c r="D1060" s="7"/>
      <c r="E1060" s="7"/>
    </row>
    <row r="1061" customFormat="false" ht="12.8" hidden="false" customHeight="false" outlineLevel="0" collapsed="false">
      <c r="A1061" s="7"/>
      <c r="B1061" s="7"/>
      <c r="C1061" s="7"/>
      <c r="D1061" s="7"/>
      <c r="E1061" s="7"/>
    </row>
    <row r="1062" customFormat="false" ht="12.8" hidden="false" customHeight="false" outlineLevel="0" collapsed="false">
      <c r="A1062" s="7"/>
      <c r="B1062" s="7"/>
      <c r="C1062" s="7"/>
      <c r="D1062" s="7"/>
      <c r="E1062" s="7"/>
    </row>
    <row r="1063" customFormat="false" ht="12.8" hidden="false" customHeight="false" outlineLevel="0" collapsed="false">
      <c r="A1063" s="7"/>
      <c r="B1063" s="7"/>
      <c r="C1063" s="7"/>
      <c r="D1063" s="7"/>
      <c r="E1063" s="7"/>
    </row>
    <row r="1064" customFormat="false" ht="12.8" hidden="false" customHeight="false" outlineLevel="0" collapsed="false">
      <c r="A1064" s="7"/>
      <c r="B1064" s="7"/>
      <c r="C1064" s="7"/>
      <c r="D1064" s="7"/>
      <c r="E1064" s="7"/>
    </row>
    <row r="1065" customFormat="false" ht="12.8" hidden="false" customHeight="false" outlineLevel="0" collapsed="false">
      <c r="A1065" s="7"/>
      <c r="B1065" s="7"/>
      <c r="C1065" s="7"/>
      <c r="D1065" s="7"/>
      <c r="E1065" s="7"/>
    </row>
    <row r="1066" customFormat="false" ht="12.8" hidden="false" customHeight="false" outlineLevel="0" collapsed="false">
      <c r="A1066" s="7"/>
      <c r="B1066" s="7"/>
      <c r="C1066" s="7"/>
      <c r="D1066" s="7"/>
      <c r="E1066" s="7"/>
    </row>
    <row r="1067" customFormat="false" ht="12.8" hidden="false" customHeight="false" outlineLevel="0" collapsed="false">
      <c r="A1067" s="7"/>
      <c r="B1067" s="7"/>
      <c r="C1067" s="7"/>
      <c r="D1067" s="7"/>
      <c r="E1067" s="7"/>
    </row>
    <row r="1068" customFormat="false" ht="12.8" hidden="false" customHeight="false" outlineLevel="0" collapsed="false">
      <c r="A1068" s="7"/>
      <c r="B1068" s="7"/>
      <c r="C1068" s="7"/>
      <c r="D1068" s="7"/>
      <c r="E1068" s="7"/>
    </row>
    <row r="1069" customFormat="false" ht="12.8" hidden="false" customHeight="false" outlineLevel="0" collapsed="false">
      <c r="A1069" s="7"/>
      <c r="B1069" s="7"/>
      <c r="C1069" s="7"/>
      <c r="D1069" s="7"/>
      <c r="E1069" s="7"/>
    </row>
    <row r="1070" customFormat="false" ht="12.8" hidden="false" customHeight="false" outlineLevel="0" collapsed="false">
      <c r="A1070" s="7"/>
      <c r="B1070" s="7"/>
      <c r="C1070" s="7"/>
      <c r="D1070" s="7"/>
      <c r="E1070" s="7"/>
    </row>
    <row r="1071" customFormat="false" ht="12.8" hidden="false" customHeight="false" outlineLevel="0" collapsed="false">
      <c r="A1071" s="7"/>
      <c r="B1071" s="7"/>
      <c r="C1071" s="7"/>
      <c r="D1071" s="7"/>
      <c r="E1071" s="7"/>
    </row>
    <row r="1072" customFormat="false" ht="12.8" hidden="false" customHeight="false" outlineLevel="0" collapsed="false">
      <c r="A1072" s="7"/>
      <c r="B1072" s="7"/>
      <c r="C1072" s="7"/>
      <c r="D1072" s="7"/>
      <c r="E1072" s="7"/>
    </row>
    <row r="1073" customFormat="false" ht="12.8" hidden="false" customHeight="false" outlineLevel="0" collapsed="false">
      <c r="A1073" s="7"/>
      <c r="B1073" s="7"/>
      <c r="C1073" s="7"/>
      <c r="D1073" s="7"/>
      <c r="E1073" s="7"/>
    </row>
    <row r="1074" customFormat="false" ht="12.8" hidden="false" customHeight="false" outlineLevel="0" collapsed="false">
      <c r="A1074" s="7"/>
      <c r="B1074" s="7"/>
      <c r="C1074" s="7"/>
      <c r="D1074" s="7"/>
      <c r="E1074" s="7"/>
    </row>
    <row r="1075" customFormat="false" ht="12.8" hidden="false" customHeight="false" outlineLevel="0" collapsed="false">
      <c r="A1075" s="7"/>
      <c r="B1075" s="7"/>
      <c r="C1075" s="7"/>
      <c r="D1075" s="7"/>
      <c r="E1075" s="7"/>
    </row>
    <row r="1076" customFormat="false" ht="12.8" hidden="false" customHeight="false" outlineLevel="0" collapsed="false">
      <c r="A1076" s="7"/>
      <c r="B1076" s="7"/>
      <c r="C1076" s="7"/>
      <c r="D1076" s="7"/>
      <c r="E1076" s="7"/>
    </row>
    <row r="1077" customFormat="false" ht="12.8" hidden="false" customHeight="false" outlineLevel="0" collapsed="false">
      <c r="A1077" s="7"/>
      <c r="B1077" s="7"/>
      <c r="C1077" s="7"/>
      <c r="D1077" s="7"/>
      <c r="E1077" s="7"/>
    </row>
    <row r="1078" customFormat="false" ht="12.8" hidden="false" customHeight="false" outlineLevel="0" collapsed="false">
      <c r="A1078" s="7"/>
      <c r="B1078" s="7"/>
      <c r="C1078" s="7"/>
      <c r="D1078" s="7"/>
      <c r="E1078" s="7"/>
    </row>
    <row r="1079" customFormat="false" ht="12.8" hidden="false" customHeight="false" outlineLevel="0" collapsed="false">
      <c r="A1079" s="7"/>
      <c r="B1079" s="7"/>
      <c r="C1079" s="7"/>
      <c r="D1079" s="7"/>
      <c r="E1079" s="7"/>
    </row>
    <row r="1080" customFormat="false" ht="12.8" hidden="false" customHeight="false" outlineLevel="0" collapsed="false">
      <c r="A1080" s="7"/>
      <c r="B1080" s="7"/>
      <c r="C1080" s="7"/>
      <c r="D1080" s="7"/>
      <c r="E1080" s="7"/>
    </row>
    <row r="1081" customFormat="false" ht="12.8" hidden="false" customHeight="false" outlineLevel="0" collapsed="false">
      <c r="A1081" s="7"/>
      <c r="B1081" s="7"/>
      <c r="C1081" s="7"/>
      <c r="D1081" s="7"/>
      <c r="E1081" s="7"/>
    </row>
    <row r="1082" customFormat="false" ht="12.8" hidden="false" customHeight="false" outlineLevel="0" collapsed="false">
      <c r="A1082" s="7"/>
      <c r="B1082" s="7"/>
      <c r="C1082" s="7"/>
      <c r="D1082" s="7"/>
      <c r="E1082" s="7"/>
    </row>
    <row r="1083" customFormat="false" ht="12.8" hidden="false" customHeight="false" outlineLevel="0" collapsed="false">
      <c r="A1083" s="7"/>
      <c r="B1083" s="7"/>
      <c r="C1083" s="7"/>
      <c r="D1083" s="7"/>
      <c r="E1083" s="7"/>
    </row>
    <row r="1084" customFormat="false" ht="12.8" hidden="false" customHeight="false" outlineLevel="0" collapsed="false">
      <c r="A1084" s="7"/>
      <c r="B1084" s="7"/>
      <c r="C1084" s="7"/>
      <c r="D1084" s="7"/>
      <c r="E1084" s="7"/>
    </row>
    <row r="1085" customFormat="false" ht="12.8" hidden="false" customHeight="false" outlineLevel="0" collapsed="false">
      <c r="A1085" s="7"/>
      <c r="B1085" s="7"/>
      <c r="C1085" s="7"/>
      <c r="D1085" s="7"/>
      <c r="E1085" s="7"/>
    </row>
    <row r="1086" customFormat="false" ht="12.8" hidden="false" customHeight="false" outlineLevel="0" collapsed="false">
      <c r="A1086" s="7"/>
      <c r="B1086" s="7"/>
      <c r="C1086" s="7"/>
      <c r="D1086" s="7"/>
      <c r="E1086" s="7"/>
    </row>
    <row r="1087" customFormat="false" ht="12.8" hidden="false" customHeight="false" outlineLevel="0" collapsed="false">
      <c r="A1087" s="7"/>
      <c r="B1087" s="7"/>
      <c r="C1087" s="7"/>
      <c r="D1087" s="7"/>
      <c r="E1087" s="7"/>
    </row>
    <row r="1088" customFormat="false" ht="12.8" hidden="false" customHeight="false" outlineLevel="0" collapsed="false">
      <c r="A1088" s="7"/>
      <c r="B1088" s="7"/>
      <c r="C1088" s="7"/>
      <c r="D1088" s="7"/>
      <c r="E1088" s="7"/>
    </row>
    <row r="1089" customFormat="false" ht="12.8" hidden="false" customHeight="false" outlineLevel="0" collapsed="false">
      <c r="A1089" s="7"/>
      <c r="B1089" s="7"/>
      <c r="C1089" s="7"/>
      <c r="D1089" s="7"/>
      <c r="E1089" s="7"/>
    </row>
    <row r="1090" customFormat="false" ht="12.8" hidden="false" customHeight="false" outlineLevel="0" collapsed="false">
      <c r="A1090" s="7"/>
      <c r="B1090" s="7"/>
      <c r="C1090" s="7"/>
      <c r="D1090" s="7"/>
      <c r="E1090" s="7"/>
    </row>
    <row r="1091" customFormat="false" ht="12.8" hidden="false" customHeight="false" outlineLevel="0" collapsed="false">
      <c r="A1091" s="7"/>
      <c r="B1091" s="7"/>
      <c r="C1091" s="7"/>
      <c r="D1091" s="7"/>
      <c r="E1091" s="7"/>
    </row>
    <row r="1092" customFormat="false" ht="12.8" hidden="false" customHeight="false" outlineLevel="0" collapsed="false">
      <c r="A1092" s="7"/>
      <c r="B1092" s="7"/>
      <c r="C1092" s="7"/>
      <c r="D1092" s="7"/>
      <c r="E1092" s="7"/>
    </row>
    <row r="1093" customFormat="false" ht="12.8" hidden="false" customHeight="false" outlineLevel="0" collapsed="false">
      <c r="A1093" s="7"/>
      <c r="B1093" s="7"/>
      <c r="C1093" s="7"/>
      <c r="D1093" s="7"/>
      <c r="E1093" s="7"/>
    </row>
    <row r="1094" customFormat="false" ht="12.8" hidden="false" customHeight="false" outlineLevel="0" collapsed="false">
      <c r="A1094" s="7"/>
      <c r="B1094" s="7"/>
      <c r="C1094" s="7"/>
      <c r="D1094" s="7"/>
      <c r="E1094" s="7"/>
    </row>
    <row r="1095" customFormat="false" ht="12.8" hidden="false" customHeight="false" outlineLevel="0" collapsed="false">
      <c r="A1095" s="7"/>
      <c r="B1095" s="7"/>
      <c r="C1095" s="7"/>
      <c r="D1095" s="7"/>
      <c r="E1095" s="7"/>
    </row>
    <row r="1096" customFormat="false" ht="12.8" hidden="false" customHeight="false" outlineLevel="0" collapsed="false">
      <c r="A1096" s="7"/>
      <c r="B1096" s="7"/>
      <c r="C1096" s="7"/>
      <c r="D1096" s="7"/>
      <c r="E1096" s="7"/>
    </row>
    <row r="1097" customFormat="false" ht="12.8" hidden="false" customHeight="false" outlineLevel="0" collapsed="false">
      <c r="A1097" s="7"/>
      <c r="B1097" s="7"/>
      <c r="C1097" s="7"/>
      <c r="D1097" s="7"/>
      <c r="E1097" s="7"/>
    </row>
    <row r="1098" customFormat="false" ht="12.8" hidden="false" customHeight="false" outlineLevel="0" collapsed="false">
      <c r="A1098" s="7"/>
      <c r="B1098" s="7"/>
      <c r="C1098" s="7"/>
      <c r="D1098" s="7"/>
      <c r="E1098" s="7"/>
    </row>
    <row r="1099" customFormat="false" ht="12.8" hidden="false" customHeight="false" outlineLevel="0" collapsed="false">
      <c r="A1099" s="7"/>
      <c r="B1099" s="7"/>
      <c r="C1099" s="7"/>
      <c r="D1099" s="7"/>
      <c r="E1099" s="7"/>
    </row>
    <row r="1100" customFormat="false" ht="12.8" hidden="false" customHeight="false" outlineLevel="0" collapsed="false">
      <c r="A1100" s="7"/>
      <c r="B1100" s="7"/>
      <c r="C1100" s="7"/>
      <c r="D1100" s="7"/>
      <c r="E1100" s="7"/>
    </row>
    <row r="1101" customFormat="false" ht="12.8" hidden="false" customHeight="false" outlineLevel="0" collapsed="false">
      <c r="A1101" s="7"/>
      <c r="B1101" s="7"/>
      <c r="C1101" s="7"/>
      <c r="D1101" s="7"/>
      <c r="E1101" s="7"/>
    </row>
    <row r="1102" customFormat="false" ht="12.8" hidden="false" customHeight="false" outlineLevel="0" collapsed="false">
      <c r="A1102" s="7"/>
      <c r="B1102" s="7"/>
      <c r="C1102" s="7"/>
      <c r="D1102" s="7"/>
      <c r="E1102" s="7"/>
    </row>
    <row r="1103" customFormat="false" ht="12.8" hidden="false" customHeight="false" outlineLevel="0" collapsed="false">
      <c r="A1103" s="7"/>
      <c r="B1103" s="7"/>
      <c r="C1103" s="7"/>
      <c r="D1103" s="7"/>
      <c r="E1103" s="7"/>
    </row>
    <row r="1104" customFormat="false" ht="12.8" hidden="false" customHeight="false" outlineLevel="0" collapsed="false">
      <c r="A1104" s="7"/>
      <c r="B1104" s="7"/>
      <c r="C1104" s="7"/>
      <c r="D1104" s="7"/>
      <c r="E1104" s="7"/>
    </row>
    <row r="1105" customFormat="false" ht="12.8" hidden="false" customHeight="false" outlineLevel="0" collapsed="false">
      <c r="A1105" s="7"/>
      <c r="B1105" s="7"/>
      <c r="C1105" s="7"/>
      <c r="D1105" s="7"/>
      <c r="E1105" s="7"/>
    </row>
    <row r="1106" customFormat="false" ht="12.8" hidden="false" customHeight="false" outlineLevel="0" collapsed="false">
      <c r="A1106" s="7"/>
      <c r="B1106" s="7"/>
      <c r="C1106" s="7"/>
      <c r="D1106" s="7"/>
      <c r="E1106" s="7"/>
    </row>
    <row r="1107" customFormat="false" ht="12.8" hidden="false" customHeight="false" outlineLevel="0" collapsed="false">
      <c r="A1107" s="7"/>
      <c r="B1107" s="7"/>
      <c r="C1107" s="7"/>
      <c r="D1107" s="7"/>
      <c r="E1107" s="7"/>
    </row>
    <row r="1108" customFormat="false" ht="12.8" hidden="false" customHeight="false" outlineLevel="0" collapsed="false">
      <c r="A1108" s="7"/>
      <c r="B1108" s="7"/>
      <c r="C1108" s="7"/>
      <c r="D1108" s="7"/>
      <c r="E1108" s="7"/>
    </row>
    <row r="1109" customFormat="false" ht="12.8" hidden="false" customHeight="false" outlineLevel="0" collapsed="false">
      <c r="A1109" s="7"/>
      <c r="B1109" s="7"/>
      <c r="C1109" s="7"/>
      <c r="D1109" s="7"/>
      <c r="E1109" s="7"/>
    </row>
    <row r="1110" customFormat="false" ht="12.8" hidden="false" customHeight="false" outlineLevel="0" collapsed="false">
      <c r="A1110" s="7"/>
      <c r="B1110" s="7"/>
      <c r="C1110" s="7"/>
      <c r="D1110" s="7"/>
      <c r="E1110" s="7"/>
    </row>
    <row r="1111" customFormat="false" ht="12.8" hidden="false" customHeight="false" outlineLevel="0" collapsed="false">
      <c r="A1111" s="7"/>
      <c r="B1111" s="7"/>
      <c r="C1111" s="7"/>
      <c r="D1111" s="7"/>
      <c r="E1111" s="7"/>
    </row>
    <row r="1112" customFormat="false" ht="12.8" hidden="false" customHeight="false" outlineLevel="0" collapsed="false">
      <c r="A1112" s="7"/>
      <c r="B1112" s="7"/>
      <c r="C1112" s="7"/>
      <c r="D1112" s="7"/>
      <c r="E1112" s="7"/>
    </row>
    <row r="1113" customFormat="false" ht="12.8" hidden="false" customHeight="false" outlineLevel="0" collapsed="false">
      <c r="A1113" s="7"/>
      <c r="B1113" s="7"/>
      <c r="C1113" s="7"/>
      <c r="D1113" s="7"/>
      <c r="E1113" s="7"/>
    </row>
    <row r="1114" customFormat="false" ht="12.8" hidden="false" customHeight="false" outlineLevel="0" collapsed="false">
      <c r="A1114" s="7"/>
      <c r="B1114" s="7"/>
      <c r="C1114" s="7"/>
      <c r="D1114" s="7"/>
      <c r="E1114" s="7"/>
    </row>
    <row r="1115" customFormat="false" ht="12.8" hidden="false" customHeight="false" outlineLevel="0" collapsed="false">
      <c r="A1115" s="7"/>
      <c r="B1115" s="7"/>
      <c r="C1115" s="7"/>
      <c r="D1115" s="7"/>
      <c r="E1115" s="7"/>
    </row>
    <row r="1116" customFormat="false" ht="12.8" hidden="false" customHeight="false" outlineLevel="0" collapsed="false">
      <c r="A1116" s="7"/>
      <c r="B1116" s="7"/>
      <c r="C1116" s="7"/>
      <c r="D1116" s="7"/>
      <c r="E1116" s="7"/>
    </row>
    <row r="1117" customFormat="false" ht="12.8" hidden="false" customHeight="false" outlineLevel="0" collapsed="false">
      <c r="A1117" s="7"/>
      <c r="B1117" s="7"/>
      <c r="C1117" s="7"/>
      <c r="D1117" s="7"/>
      <c r="E1117" s="7"/>
    </row>
    <row r="1118" customFormat="false" ht="12.8" hidden="false" customHeight="false" outlineLevel="0" collapsed="false">
      <c r="A1118" s="7"/>
      <c r="B1118" s="7"/>
      <c r="C1118" s="7"/>
      <c r="D1118" s="7"/>
      <c r="E1118" s="7"/>
    </row>
    <row r="1119" customFormat="false" ht="12.8" hidden="false" customHeight="false" outlineLevel="0" collapsed="false">
      <c r="A1119" s="7"/>
      <c r="B1119" s="7"/>
      <c r="C1119" s="7"/>
      <c r="D1119" s="7"/>
      <c r="E1119" s="7"/>
    </row>
    <row r="1120" customFormat="false" ht="12.8" hidden="false" customHeight="false" outlineLevel="0" collapsed="false">
      <c r="A1120" s="7"/>
      <c r="B1120" s="7"/>
      <c r="C1120" s="7"/>
      <c r="D1120" s="7"/>
      <c r="E1120" s="7"/>
    </row>
    <row r="1121" customFormat="false" ht="12.8" hidden="false" customHeight="false" outlineLevel="0" collapsed="false">
      <c r="A1121" s="7"/>
      <c r="B1121" s="7"/>
      <c r="C1121" s="7"/>
      <c r="D1121" s="7"/>
      <c r="E1121" s="7"/>
    </row>
    <row r="1122" customFormat="false" ht="15" hidden="false" customHeight="false" outlineLevel="0" collapsed="false">
      <c r="B1122" s="11"/>
      <c r="D1122" s="9"/>
      <c r="E1122" s="10"/>
    </row>
    <row r="1123" customFormat="false" ht="15" hidden="false" customHeight="false" outlineLevel="0" collapsed="false">
      <c r="B1123" s="11"/>
      <c r="D1123" s="9"/>
      <c r="E1123" s="10"/>
    </row>
    <row r="1124" customFormat="false" ht="15" hidden="false" customHeight="false" outlineLevel="0" collapsed="false">
      <c r="B1124" s="11"/>
      <c r="D1124" s="9"/>
      <c r="E1124" s="10"/>
    </row>
    <row r="1125" customFormat="false" ht="15" hidden="false" customHeight="false" outlineLevel="0" collapsed="false">
      <c r="B1125" s="11"/>
      <c r="D1125" s="9"/>
      <c r="E1125" s="10"/>
    </row>
  </sheetData>
  <mergeCells count="5">
    <mergeCell ref="G103:G293"/>
    <mergeCell ref="G749:G788"/>
    <mergeCell ref="G789:G858"/>
    <mergeCell ref="G859:G920"/>
    <mergeCell ref="G921:G928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E79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pane xSplit="1" ySplit="1" topLeftCell="V47" activePane="bottomRight" state="frozen"/>
      <selection pane="topLeft" activeCell="A1" activeCellId="0" sqref="A1"/>
      <selection pane="topRight" activeCell="V1" activeCellId="0" sqref="V1"/>
      <selection pane="bottomLeft" activeCell="A47" activeCellId="0" sqref="A47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21" width="21.56"/>
    <col collapsed="false" customWidth="true" hidden="false" outlineLevel="0" max="5" min="2" style="22" width="16.9"/>
    <col collapsed="false" customWidth="true" hidden="false" outlineLevel="0" max="9" min="6" style="23" width="16.9"/>
    <col collapsed="false" customWidth="true" hidden="false" outlineLevel="0" max="13" min="10" style="24" width="16.9"/>
    <col collapsed="false" customWidth="true" hidden="false" outlineLevel="0" max="17" min="14" style="25" width="16.9"/>
    <col collapsed="false" customWidth="true" hidden="false" outlineLevel="0" max="21" min="18" style="26" width="16.9"/>
    <col collapsed="false" customWidth="true" hidden="false" outlineLevel="0" max="25" min="22" style="27" width="16.9"/>
    <col collapsed="false" customWidth="true" hidden="false" outlineLevel="0" max="29" min="26" style="28" width="16.9"/>
    <col collapsed="false" customWidth="true" hidden="false" outlineLevel="0" max="33" min="30" style="29" width="16.9"/>
    <col collapsed="false" customWidth="true" hidden="false" outlineLevel="0" max="37" min="34" style="30" width="16.9"/>
    <col collapsed="false" customWidth="true" hidden="false" outlineLevel="0" max="41" min="38" style="31" width="16.9"/>
    <col collapsed="false" customWidth="true" hidden="false" outlineLevel="0" max="44" min="42" style="32" width="16.9"/>
    <col collapsed="false" customWidth="true" hidden="false" outlineLevel="0" max="45" min="45" style="32" width="16.55"/>
    <col collapsed="false" customWidth="true" hidden="false" outlineLevel="0" max="49" min="46" style="33" width="16.55"/>
    <col collapsed="false" customWidth="true" hidden="false" outlineLevel="0" max="53" min="50" style="34" width="16.55"/>
    <col collapsed="false" customWidth="true" hidden="false" outlineLevel="0" max="57" min="54" style="35" width="16.55"/>
    <col collapsed="false" customWidth="true" hidden="false" outlineLevel="0" max="61" min="58" style="36" width="16.55"/>
    <col collapsed="false" customWidth="true" hidden="false" outlineLevel="0" max="64" min="62" style="37" width="16.55"/>
    <col collapsed="false" customWidth="true" hidden="false" outlineLevel="0" max="65" min="65" style="37" width="16.9"/>
    <col collapsed="false" customWidth="true" hidden="false" outlineLevel="0" max="69" min="66" style="23" width="16.9"/>
    <col collapsed="false" customWidth="true" hidden="false" outlineLevel="0" max="73" min="70" style="38" width="16.9"/>
    <col collapsed="false" customWidth="true" hidden="false" outlineLevel="0" max="77" min="74" style="39" width="16.9"/>
    <col collapsed="false" customWidth="true" hidden="false" outlineLevel="0" max="81" min="78" style="40" width="16.82"/>
    <col collapsed="false" customWidth="true" hidden="false" outlineLevel="0" max="93" min="82" style="23" width="16.9"/>
    <col collapsed="false" customWidth="true" hidden="false" outlineLevel="0" max="97" min="94" style="39" width="16.9"/>
    <col collapsed="false" customWidth="true" hidden="false" outlineLevel="0" max="101" min="98" style="38" width="16.9"/>
    <col collapsed="false" customWidth="true" hidden="false" outlineLevel="0" max="105" min="102" style="41" width="16.9"/>
    <col collapsed="false" customWidth="true" hidden="false" outlineLevel="0" max="109" min="106" style="42" width="16.9"/>
    <col collapsed="false" customWidth="false" hidden="false" outlineLevel="0" max="1024" min="110" style="43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4" t="s">
        <v>1136</v>
      </c>
      <c r="B1" s="45" t="s">
        <v>1137</v>
      </c>
      <c r="C1" s="45"/>
      <c r="D1" s="45"/>
      <c r="E1" s="45" t="n">
        <v>1033</v>
      </c>
      <c r="F1" s="46" t="s">
        <v>1138</v>
      </c>
      <c r="G1" s="46"/>
      <c r="H1" s="46"/>
      <c r="I1" s="46" t="n">
        <v>1031</v>
      </c>
      <c r="J1" s="47" t="s">
        <v>1139</v>
      </c>
      <c r="K1" s="47"/>
      <c r="L1" s="47"/>
      <c r="M1" s="47" t="n">
        <v>1036</v>
      </c>
      <c r="N1" s="48" t="s">
        <v>1140</v>
      </c>
      <c r="O1" s="48"/>
      <c r="P1" s="48"/>
      <c r="Q1" s="48" t="n">
        <v>1034</v>
      </c>
      <c r="R1" s="49" t="s">
        <v>1141</v>
      </c>
      <c r="S1" s="49"/>
      <c r="T1" s="49"/>
      <c r="U1" s="49" t="n">
        <v>2070</v>
      </c>
      <c r="V1" s="50" t="s">
        <v>1142</v>
      </c>
      <c r="W1" s="50"/>
      <c r="X1" s="50"/>
      <c r="Y1" s="50" t="n">
        <v>1040</v>
      </c>
      <c r="Z1" s="51" t="s">
        <v>1143</v>
      </c>
      <c r="AA1" s="51"/>
      <c r="AB1" s="51"/>
      <c r="AC1" s="51" t="n">
        <v>1055</v>
      </c>
      <c r="AD1" s="52" t="s">
        <v>1144</v>
      </c>
      <c r="AE1" s="52"/>
      <c r="AF1" s="52"/>
      <c r="AG1" s="52" t="n">
        <v>1042</v>
      </c>
      <c r="AH1" s="53" t="s">
        <v>1145</v>
      </c>
      <c r="AI1" s="53"/>
      <c r="AJ1" s="53"/>
      <c r="AK1" s="53" t="n">
        <v>1041</v>
      </c>
      <c r="AL1" s="54" t="s">
        <v>1146</v>
      </c>
      <c r="AM1" s="54"/>
      <c r="AN1" s="54"/>
      <c r="AO1" s="54" t="n">
        <v>1025</v>
      </c>
      <c r="AP1" s="55" t="s">
        <v>1147</v>
      </c>
      <c r="AQ1" s="55"/>
      <c r="AR1" s="55"/>
      <c r="AS1" s="55" t="n">
        <v>1032</v>
      </c>
      <c r="AT1" s="56" t="s">
        <v>1148</v>
      </c>
      <c r="AU1" s="56"/>
      <c r="AV1" s="56"/>
      <c r="AW1" s="56" t="n">
        <v>1058</v>
      </c>
      <c r="AX1" s="57" t="s">
        <v>1149</v>
      </c>
      <c r="AY1" s="57"/>
      <c r="AZ1" s="57"/>
      <c r="BA1" s="57" t="n">
        <v>1059</v>
      </c>
      <c r="BB1" s="58" t="s">
        <v>1150</v>
      </c>
      <c r="BC1" s="58"/>
      <c r="BD1" s="58"/>
      <c r="BE1" s="58" t="n">
        <v>1059</v>
      </c>
      <c r="BF1" s="59" t="s">
        <v>1151</v>
      </c>
      <c r="BG1" s="59"/>
      <c r="BH1" s="59"/>
      <c r="BI1" s="59" t="n">
        <v>1087</v>
      </c>
      <c r="BJ1" s="60" t="s">
        <v>1152</v>
      </c>
      <c r="BK1" s="60"/>
      <c r="BL1" s="60"/>
      <c r="BM1" s="60" t="n">
        <v>1026</v>
      </c>
      <c r="BN1" s="46" t="s">
        <v>1153</v>
      </c>
      <c r="BO1" s="46"/>
      <c r="BP1" s="46"/>
      <c r="BQ1" s="46" t="n">
        <v>1045</v>
      </c>
      <c r="BR1" s="61" t="s">
        <v>1154</v>
      </c>
      <c r="BS1" s="61"/>
      <c r="BT1" s="61"/>
      <c r="BU1" s="61" t="n">
        <v>1048</v>
      </c>
      <c r="BV1" s="62" t="s">
        <v>1155</v>
      </c>
      <c r="BW1" s="62"/>
      <c r="BX1" s="62"/>
      <c r="BY1" s="62" t="n">
        <v>2052</v>
      </c>
      <c r="BZ1" s="63" t="s">
        <v>1156</v>
      </c>
      <c r="CA1" s="63"/>
      <c r="CB1" s="63"/>
      <c r="CC1" s="63" t="n">
        <v>1043</v>
      </c>
      <c r="CD1" s="46" t="s">
        <v>1157</v>
      </c>
      <c r="CE1" s="46"/>
      <c r="CF1" s="46"/>
      <c r="CG1" s="46" t="n">
        <v>1037</v>
      </c>
      <c r="CH1" s="64" t="s">
        <v>1158</v>
      </c>
      <c r="CI1" s="64"/>
      <c r="CJ1" s="64"/>
      <c r="CK1" s="64" t="n">
        <v>1053</v>
      </c>
      <c r="CL1" s="65" t="s">
        <v>1159</v>
      </c>
      <c r="CM1" s="65"/>
      <c r="CN1" s="65"/>
      <c r="CO1" s="65" t="n">
        <v>1035</v>
      </c>
      <c r="CP1" s="62" t="s">
        <v>1160</v>
      </c>
      <c r="CQ1" s="62"/>
      <c r="CR1" s="62"/>
      <c r="CS1" s="62" t="n">
        <v>1044</v>
      </c>
      <c r="CT1" s="61" t="s">
        <v>1161</v>
      </c>
      <c r="CU1" s="61"/>
      <c r="CV1" s="61"/>
      <c r="CW1" s="61" t="n">
        <v>1030</v>
      </c>
      <c r="CX1" s="66" t="s">
        <v>1162</v>
      </c>
      <c r="CY1" s="66"/>
      <c r="CZ1" s="66"/>
      <c r="DA1" s="66" t="n">
        <v>1038</v>
      </c>
      <c r="DB1" s="67" t="s">
        <v>1163</v>
      </c>
      <c r="DC1" s="67"/>
      <c r="DD1" s="67"/>
      <c r="DE1" s="67" t="n">
        <v>1029</v>
      </c>
    </row>
    <row r="2" s="96" customFormat="true" ht="15.95" hidden="false" customHeight="true" outlineLevel="0" collapsed="false">
      <c r="A2" s="68" t="s">
        <v>1164</v>
      </c>
      <c r="B2" s="69" t="s">
        <v>1165</v>
      </c>
      <c r="C2" s="69" t="s">
        <v>1166</v>
      </c>
      <c r="D2" s="69"/>
      <c r="E2" s="69"/>
      <c r="F2" s="70"/>
      <c r="G2" s="70"/>
      <c r="H2" s="70"/>
      <c r="I2" s="70"/>
      <c r="J2" s="71" t="s">
        <v>1167</v>
      </c>
      <c r="K2" s="71" t="s">
        <v>1168</v>
      </c>
      <c r="L2" s="71"/>
      <c r="M2" s="71"/>
      <c r="N2" s="72"/>
      <c r="O2" s="72"/>
      <c r="P2" s="72"/>
      <c r="Q2" s="72"/>
      <c r="R2" s="73"/>
      <c r="S2" s="73"/>
      <c r="T2" s="73"/>
      <c r="U2" s="73"/>
      <c r="V2" s="74"/>
      <c r="W2" s="74"/>
      <c r="X2" s="74"/>
      <c r="Y2" s="74"/>
      <c r="Z2" s="75"/>
      <c r="AA2" s="75"/>
      <c r="AB2" s="75"/>
      <c r="AC2" s="76" t="s">
        <v>141</v>
      </c>
      <c r="AD2" s="77" t="s">
        <v>672</v>
      </c>
      <c r="AE2" s="77"/>
      <c r="AF2" s="77"/>
      <c r="AG2" s="77"/>
      <c r="AH2" s="78" t="s">
        <v>836</v>
      </c>
      <c r="AI2" s="78"/>
      <c r="AJ2" s="78"/>
      <c r="AK2" s="78"/>
      <c r="AL2" s="79" t="s">
        <v>574</v>
      </c>
      <c r="AM2" s="79" t="s">
        <v>16</v>
      </c>
      <c r="AN2" s="79" t="s">
        <v>574</v>
      </c>
      <c r="AO2" s="79"/>
      <c r="AP2" s="80" t="s">
        <v>254</v>
      </c>
      <c r="AQ2" s="80" t="s">
        <v>206</v>
      </c>
      <c r="AR2" s="80"/>
      <c r="AS2" s="80"/>
      <c r="AT2" s="81" t="s">
        <v>386</v>
      </c>
      <c r="AU2" s="81" t="s">
        <v>342</v>
      </c>
      <c r="AV2" s="81"/>
      <c r="AW2" s="81"/>
      <c r="AX2" s="82" t="s">
        <v>386</v>
      </c>
      <c r="AY2" s="82" t="s">
        <v>342</v>
      </c>
      <c r="AZ2" s="82"/>
      <c r="BA2" s="82"/>
      <c r="BB2" s="83" t="s">
        <v>386</v>
      </c>
      <c r="BC2" s="83" t="s">
        <v>342</v>
      </c>
      <c r="BD2" s="83"/>
      <c r="BE2" s="83"/>
      <c r="BF2" s="84" t="s">
        <v>386</v>
      </c>
      <c r="BG2" s="84" t="s">
        <v>342</v>
      </c>
      <c r="BH2" s="84"/>
      <c r="BI2" s="84"/>
      <c r="BJ2" s="85" t="s">
        <v>396</v>
      </c>
      <c r="BK2" s="85" t="s">
        <v>352</v>
      </c>
      <c r="BL2" s="85"/>
      <c r="BM2" s="85"/>
      <c r="BN2" s="70"/>
      <c r="BO2" s="70"/>
      <c r="BP2" s="70"/>
      <c r="BQ2" s="70"/>
      <c r="BR2" s="86"/>
      <c r="BS2" s="86"/>
      <c r="BT2" s="86"/>
      <c r="BU2" s="86"/>
      <c r="BV2" s="87" t="s">
        <v>1111</v>
      </c>
      <c r="BW2" s="88" t="s">
        <v>1165</v>
      </c>
      <c r="BX2" s="87" t="s">
        <v>1111</v>
      </c>
      <c r="BY2" s="87"/>
      <c r="BZ2" s="89"/>
      <c r="CA2" s="89"/>
      <c r="CB2" s="89"/>
      <c r="CC2" s="89"/>
      <c r="CD2" s="70" t="s">
        <v>496</v>
      </c>
      <c r="CE2" s="70"/>
      <c r="CF2" s="70"/>
      <c r="CG2" s="70"/>
      <c r="CH2" s="90"/>
      <c r="CI2" s="90"/>
      <c r="CJ2" s="90"/>
      <c r="CK2" s="90"/>
      <c r="CL2" s="91"/>
      <c r="CM2" s="91"/>
      <c r="CN2" s="91"/>
      <c r="CO2" s="91"/>
      <c r="CP2" s="87"/>
      <c r="CQ2" s="87"/>
      <c r="CR2" s="87"/>
      <c r="CS2" s="87"/>
      <c r="CT2" s="86"/>
      <c r="CU2" s="86"/>
      <c r="CV2" s="86"/>
      <c r="CW2" s="86"/>
      <c r="CX2" s="92"/>
      <c r="CY2" s="92"/>
      <c r="CZ2" s="92"/>
      <c r="DA2" s="93" t="s">
        <v>139</v>
      </c>
      <c r="DB2" s="94"/>
      <c r="DC2" s="94"/>
      <c r="DD2" s="94"/>
      <c r="DE2" s="95"/>
    </row>
    <row r="3" s="120" customFormat="true" ht="15.95" hidden="false" customHeight="true" outlineLevel="0" collapsed="false">
      <c r="A3" s="97" t="s">
        <v>1169</v>
      </c>
      <c r="B3" s="98" t="s">
        <v>1170</v>
      </c>
      <c r="C3" s="98" t="s">
        <v>1171</v>
      </c>
      <c r="D3" s="98"/>
      <c r="E3" s="98"/>
      <c r="F3" s="99"/>
      <c r="G3" s="99"/>
      <c r="H3" s="99"/>
      <c r="I3" s="99"/>
      <c r="J3" s="100"/>
      <c r="K3" s="100"/>
      <c r="L3" s="100"/>
      <c r="M3" s="100"/>
      <c r="N3" s="101"/>
      <c r="O3" s="101"/>
      <c r="P3" s="101"/>
      <c r="Q3" s="101"/>
      <c r="R3" s="102"/>
      <c r="S3" s="102"/>
      <c r="T3" s="102"/>
      <c r="U3" s="102"/>
      <c r="V3" s="103"/>
      <c r="W3" s="103"/>
      <c r="X3" s="103"/>
      <c r="Y3" s="103"/>
      <c r="Z3" s="104"/>
      <c r="AA3" s="104"/>
      <c r="AB3" s="104"/>
      <c r="AC3" s="104"/>
      <c r="AD3" s="105" t="s">
        <v>704</v>
      </c>
      <c r="AE3" s="105"/>
      <c r="AF3" s="105"/>
      <c r="AG3" s="105"/>
      <c r="AH3" s="106" t="s">
        <v>816</v>
      </c>
      <c r="AI3" s="106"/>
      <c r="AJ3" s="106"/>
      <c r="AK3" s="106"/>
      <c r="AL3" s="107" t="s">
        <v>1081</v>
      </c>
      <c r="AM3" s="107" t="s">
        <v>1079</v>
      </c>
      <c r="AN3" s="107"/>
      <c r="AO3" s="107"/>
      <c r="AP3" s="108" t="s">
        <v>256</v>
      </c>
      <c r="AQ3" s="108" t="s">
        <v>208</v>
      </c>
      <c r="AR3" s="108"/>
      <c r="AS3" s="108"/>
      <c r="AT3" s="109" t="s">
        <v>368</v>
      </c>
      <c r="AU3" s="109" t="s">
        <v>324</v>
      </c>
      <c r="AV3" s="109"/>
      <c r="AW3" s="109"/>
      <c r="AX3" s="110" t="s">
        <v>368</v>
      </c>
      <c r="AY3" s="110" t="s">
        <v>324</v>
      </c>
      <c r="AZ3" s="110"/>
      <c r="BA3" s="110"/>
      <c r="BB3" s="111" t="s">
        <v>406</v>
      </c>
      <c r="BC3" s="111" t="s">
        <v>308</v>
      </c>
      <c r="BD3" s="111"/>
      <c r="BE3" s="111"/>
      <c r="BF3" s="112" t="s">
        <v>406</v>
      </c>
      <c r="BG3" s="112" t="s">
        <v>308</v>
      </c>
      <c r="BH3" s="112"/>
      <c r="BI3" s="112"/>
      <c r="BJ3" s="113" t="s">
        <v>386</v>
      </c>
      <c r="BK3" s="113" t="s">
        <v>342</v>
      </c>
      <c r="BL3" s="113"/>
      <c r="BM3" s="113"/>
      <c r="BN3" s="99"/>
      <c r="BO3" s="99"/>
      <c r="BP3" s="99"/>
      <c r="BQ3" s="99" t="s">
        <v>1172</v>
      </c>
      <c r="BR3" s="114"/>
      <c r="BS3" s="114"/>
      <c r="BT3" s="114"/>
      <c r="BU3" s="114"/>
      <c r="BV3" s="87" t="s">
        <v>1113</v>
      </c>
      <c r="BW3" s="88" t="s">
        <v>1170</v>
      </c>
      <c r="BX3" s="87" t="s">
        <v>1113</v>
      </c>
      <c r="BY3" s="88"/>
      <c r="BZ3" s="115"/>
      <c r="CA3" s="115"/>
      <c r="CB3" s="115"/>
      <c r="CC3" s="115"/>
      <c r="CD3" s="99" t="s">
        <v>487</v>
      </c>
      <c r="CE3" s="99"/>
      <c r="CF3" s="99"/>
      <c r="CG3" s="99"/>
      <c r="CH3" s="116"/>
      <c r="CI3" s="116"/>
      <c r="CJ3" s="116"/>
      <c r="CK3" s="116"/>
      <c r="CL3" s="117"/>
      <c r="CM3" s="117"/>
      <c r="CN3" s="117"/>
      <c r="CO3" s="117"/>
      <c r="CP3" s="88"/>
      <c r="CQ3" s="88"/>
      <c r="CR3" s="88"/>
      <c r="CS3" s="88"/>
      <c r="CT3" s="114"/>
      <c r="CU3" s="114"/>
      <c r="CV3" s="114"/>
      <c r="CW3" s="114"/>
      <c r="CX3" s="118"/>
      <c r="CY3" s="118"/>
      <c r="CZ3" s="118"/>
      <c r="DA3" s="118" t="s">
        <v>1172</v>
      </c>
      <c r="DB3" s="119"/>
      <c r="DC3" s="119"/>
      <c r="DD3" s="119"/>
      <c r="DE3" s="119" t="s">
        <v>1172</v>
      </c>
    </row>
    <row r="4" s="120" customFormat="true" ht="15.95" hidden="false" customHeight="true" outlineLevel="0" collapsed="false">
      <c r="A4" s="97" t="s">
        <v>1173</v>
      </c>
      <c r="B4" s="98" t="s">
        <v>1174</v>
      </c>
      <c r="C4" s="98" t="s">
        <v>1175</v>
      </c>
      <c r="D4" s="98"/>
      <c r="E4" s="98"/>
      <c r="F4" s="99"/>
      <c r="G4" s="99"/>
      <c r="H4" s="99"/>
      <c r="I4" s="99"/>
      <c r="J4" s="100"/>
      <c r="K4" s="100"/>
      <c r="L4" s="100"/>
      <c r="M4" s="100"/>
      <c r="N4" s="101"/>
      <c r="O4" s="101"/>
      <c r="P4" s="101"/>
      <c r="Q4" s="101"/>
      <c r="R4" s="102"/>
      <c r="S4" s="102"/>
      <c r="T4" s="102"/>
      <c r="U4" s="102"/>
      <c r="V4" s="103"/>
      <c r="W4" s="103"/>
      <c r="X4" s="103"/>
      <c r="Y4" s="103"/>
      <c r="Z4" s="104"/>
      <c r="AA4" s="104"/>
      <c r="AB4" s="104"/>
      <c r="AC4" s="104"/>
      <c r="AD4" s="105" t="s">
        <v>684</v>
      </c>
      <c r="AE4" s="105"/>
      <c r="AF4" s="105"/>
      <c r="AG4" s="105"/>
      <c r="AH4" s="106" t="s">
        <v>829</v>
      </c>
      <c r="AI4" s="106"/>
      <c r="AJ4" s="106"/>
      <c r="AK4" s="106"/>
      <c r="AL4" s="107" t="s">
        <v>526</v>
      </c>
      <c r="AM4" s="121" t="s">
        <v>650</v>
      </c>
      <c r="AN4" s="107" t="s">
        <v>526</v>
      </c>
      <c r="AO4" s="107"/>
      <c r="AP4" s="108" t="s">
        <v>300</v>
      </c>
      <c r="AQ4" s="122" t="s">
        <v>250</v>
      </c>
      <c r="AR4" s="108"/>
      <c r="AS4" s="122" t="s">
        <v>70</v>
      </c>
      <c r="AT4" s="109" t="s">
        <v>383</v>
      </c>
      <c r="AU4" s="123" t="s">
        <v>339</v>
      </c>
      <c r="AV4" s="109"/>
      <c r="AW4" s="109"/>
      <c r="AX4" s="110" t="s">
        <v>383</v>
      </c>
      <c r="AY4" s="124" t="s">
        <v>339</v>
      </c>
      <c r="AZ4" s="110"/>
      <c r="BA4" s="110"/>
      <c r="BB4" s="111" t="s">
        <v>383</v>
      </c>
      <c r="BC4" s="125" t="s">
        <v>339</v>
      </c>
      <c r="BD4" s="111"/>
      <c r="BE4" s="111"/>
      <c r="BF4" s="112" t="s">
        <v>383</v>
      </c>
      <c r="BG4" s="126" t="s">
        <v>339</v>
      </c>
      <c r="BH4" s="112"/>
      <c r="BI4" s="112"/>
      <c r="BJ4" s="113" t="s">
        <v>392</v>
      </c>
      <c r="BK4" s="127" t="s">
        <v>348</v>
      </c>
      <c r="BL4" s="113"/>
      <c r="BM4" s="113"/>
      <c r="BN4" s="99"/>
      <c r="BO4" s="99"/>
      <c r="BP4" s="99"/>
      <c r="BQ4" s="99"/>
      <c r="BR4" s="114"/>
      <c r="BS4" s="114"/>
      <c r="BT4" s="114"/>
      <c r="BU4" s="128" t="s">
        <v>62</v>
      </c>
      <c r="BV4" s="87" t="s">
        <v>1125</v>
      </c>
      <c r="BW4" s="88" t="s">
        <v>1174</v>
      </c>
      <c r="BX4" s="87" t="s">
        <v>1125</v>
      </c>
      <c r="BY4" s="88"/>
      <c r="BZ4" s="115"/>
      <c r="CA4" s="115"/>
      <c r="CB4" s="129" t="s">
        <v>47</v>
      </c>
      <c r="CC4" s="129"/>
      <c r="CD4" s="99" t="s">
        <v>472</v>
      </c>
      <c r="CE4" s="99"/>
      <c r="CF4" s="99"/>
      <c r="CG4" s="99"/>
      <c r="CH4" s="116"/>
      <c r="CI4" s="116"/>
      <c r="CJ4" s="116"/>
      <c r="CK4" s="116"/>
      <c r="CL4" s="117"/>
      <c r="CM4" s="117"/>
      <c r="CN4" s="117"/>
      <c r="CO4" s="117"/>
      <c r="CP4" s="88"/>
      <c r="CQ4" s="88"/>
      <c r="CR4" s="88"/>
      <c r="CS4" s="88"/>
      <c r="CT4" s="114"/>
      <c r="CU4" s="114"/>
      <c r="CV4" s="114"/>
      <c r="CW4" s="114"/>
      <c r="CX4" s="118"/>
      <c r="CY4" s="118"/>
      <c r="CZ4" s="118"/>
      <c r="DA4" s="130" t="s">
        <v>1176</v>
      </c>
      <c r="DB4" s="119"/>
      <c r="DC4" s="119"/>
      <c r="DD4" s="119"/>
      <c r="DE4" s="131" t="s">
        <v>1176</v>
      </c>
    </row>
    <row r="5" s="120" customFormat="true" ht="15.95" hidden="false" customHeight="true" outlineLevel="0" collapsed="false">
      <c r="A5" s="97" t="s">
        <v>1177</v>
      </c>
      <c r="B5" s="98" t="s">
        <v>1178</v>
      </c>
      <c r="C5" s="98" t="s">
        <v>1179</v>
      </c>
      <c r="D5" s="98"/>
      <c r="E5" s="98"/>
      <c r="F5" s="99"/>
      <c r="G5" s="99"/>
      <c r="H5" s="99"/>
      <c r="I5" s="99"/>
      <c r="J5" s="100"/>
      <c r="K5" s="100"/>
      <c r="L5" s="100"/>
      <c r="M5" s="100"/>
      <c r="N5" s="101"/>
      <c r="O5" s="101"/>
      <c r="P5" s="101"/>
      <c r="Q5" s="101"/>
      <c r="R5" s="102"/>
      <c r="S5" s="102"/>
      <c r="T5" s="102"/>
      <c r="U5" s="102"/>
      <c r="V5" s="103"/>
      <c r="W5" s="103"/>
      <c r="X5" s="103"/>
      <c r="Y5" s="103"/>
      <c r="Z5" s="104"/>
      <c r="AA5" s="104"/>
      <c r="AB5" s="104"/>
      <c r="AC5" s="104"/>
      <c r="AD5" s="105" t="s">
        <v>678</v>
      </c>
      <c r="AE5" s="105"/>
      <c r="AF5" s="105"/>
      <c r="AG5" s="105"/>
      <c r="AH5" s="106" t="s">
        <v>820</v>
      </c>
      <c r="AI5" s="106"/>
      <c r="AJ5" s="106"/>
      <c r="AK5" s="106"/>
      <c r="AL5" s="107" t="s">
        <v>638</v>
      </c>
      <c r="AM5" s="107" t="s">
        <v>1180</v>
      </c>
      <c r="AN5" s="107" t="s">
        <v>638</v>
      </c>
      <c r="AO5" s="107"/>
      <c r="AP5" s="108" t="s">
        <v>260</v>
      </c>
      <c r="AQ5" s="108" t="s">
        <v>212</v>
      </c>
      <c r="AR5" s="108"/>
      <c r="AS5" s="108"/>
      <c r="AT5" s="109" t="s">
        <v>362</v>
      </c>
      <c r="AU5" s="109" t="s">
        <v>318</v>
      </c>
      <c r="AV5" s="109"/>
      <c r="AW5" s="109"/>
      <c r="AX5" s="110" t="s">
        <v>362</v>
      </c>
      <c r="AY5" s="110" t="s">
        <v>318</v>
      </c>
      <c r="AZ5" s="110"/>
      <c r="BA5" s="110"/>
      <c r="BB5" s="111" t="s">
        <v>362</v>
      </c>
      <c r="BC5" s="111" t="s">
        <v>318</v>
      </c>
      <c r="BD5" s="111"/>
      <c r="BE5" s="111"/>
      <c r="BF5" s="112" t="s">
        <v>362</v>
      </c>
      <c r="BG5" s="112" t="s">
        <v>318</v>
      </c>
      <c r="BH5" s="112"/>
      <c r="BI5" s="112"/>
      <c r="BJ5" s="113" t="s">
        <v>360</v>
      </c>
      <c r="BK5" s="113" t="s">
        <v>316</v>
      </c>
      <c r="BL5" s="113"/>
      <c r="BM5" s="127" t="s">
        <v>412</v>
      </c>
      <c r="BN5" s="99"/>
      <c r="BO5" s="99"/>
      <c r="BP5" s="99"/>
      <c r="BQ5" s="99" t="s">
        <v>1181</v>
      </c>
      <c r="BR5" s="114"/>
      <c r="BS5" s="114"/>
      <c r="BT5" s="114"/>
      <c r="BU5" s="114" t="s">
        <v>1181</v>
      </c>
      <c r="BV5" s="87" t="s">
        <v>1115</v>
      </c>
      <c r="BW5" s="88" t="s">
        <v>1178</v>
      </c>
      <c r="BX5" s="87" t="s">
        <v>1115</v>
      </c>
      <c r="BY5" s="88"/>
      <c r="BZ5" s="115"/>
      <c r="CA5" s="115"/>
      <c r="CB5" s="115"/>
      <c r="CC5" s="115"/>
      <c r="CD5" s="99" t="s">
        <v>473</v>
      </c>
      <c r="CE5" s="99"/>
      <c r="CF5" s="99"/>
      <c r="CG5" s="99"/>
      <c r="CH5" s="116"/>
      <c r="CI5" s="116"/>
      <c r="CJ5" s="116"/>
      <c r="CK5" s="116"/>
      <c r="CL5" s="117"/>
      <c r="CM5" s="117"/>
      <c r="CN5" s="117"/>
      <c r="CO5" s="117"/>
      <c r="CP5" s="88"/>
      <c r="CQ5" s="88"/>
      <c r="CR5" s="88"/>
      <c r="CS5" s="88"/>
      <c r="CT5" s="114"/>
      <c r="CU5" s="114"/>
      <c r="CV5" s="114"/>
      <c r="CW5" s="114"/>
      <c r="CX5" s="118"/>
      <c r="CY5" s="118"/>
      <c r="CZ5" s="118"/>
      <c r="DA5" s="118" t="s">
        <v>1181</v>
      </c>
      <c r="DB5" s="119"/>
      <c r="DC5" s="119"/>
      <c r="DD5" s="119"/>
      <c r="DE5" s="119" t="s">
        <v>1181</v>
      </c>
    </row>
    <row r="6" s="120" customFormat="true" ht="15.95" hidden="false" customHeight="true" outlineLevel="0" collapsed="false">
      <c r="A6" s="97" t="s">
        <v>1182</v>
      </c>
      <c r="B6" s="98" t="s">
        <v>1183</v>
      </c>
      <c r="C6" s="98" t="s">
        <v>1184</v>
      </c>
      <c r="D6" s="98"/>
      <c r="E6" s="98"/>
      <c r="F6" s="99"/>
      <c r="G6" s="99"/>
      <c r="H6" s="99"/>
      <c r="I6" s="99" t="s">
        <v>713</v>
      </c>
      <c r="J6" s="100"/>
      <c r="K6" s="100"/>
      <c r="L6" s="100"/>
      <c r="M6" s="100" t="s">
        <v>713</v>
      </c>
      <c r="N6" s="101"/>
      <c r="O6" s="101"/>
      <c r="P6" s="101"/>
      <c r="Q6" s="101" t="s">
        <v>713</v>
      </c>
      <c r="R6" s="102"/>
      <c r="S6" s="102"/>
      <c r="T6" s="102"/>
      <c r="U6" s="102" t="s">
        <v>713</v>
      </c>
      <c r="V6" s="103"/>
      <c r="W6" s="103"/>
      <c r="X6" s="103"/>
      <c r="Y6" s="103" t="s">
        <v>713</v>
      </c>
      <c r="Z6" s="104"/>
      <c r="AA6" s="104"/>
      <c r="AB6" s="104"/>
      <c r="AC6" s="104" t="s">
        <v>713</v>
      </c>
      <c r="AD6" s="105" t="s">
        <v>669</v>
      </c>
      <c r="AE6" s="105" t="s">
        <v>670</v>
      </c>
      <c r="AF6" s="105"/>
      <c r="AG6" s="105"/>
      <c r="AH6" s="106" t="s">
        <v>795</v>
      </c>
      <c r="AI6" s="106" t="s">
        <v>794</v>
      </c>
      <c r="AJ6" s="106"/>
      <c r="AK6" s="106"/>
      <c r="AL6" s="107" t="s">
        <v>547</v>
      </c>
      <c r="AM6" s="121" t="s">
        <v>1185</v>
      </c>
      <c r="AN6" s="107" t="s">
        <v>547</v>
      </c>
      <c r="AO6" s="107"/>
      <c r="AP6" s="108" t="s">
        <v>262</v>
      </c>
      <c r="AQ6" s="122" t="s">
        <v>214</v>
      </c>
      <c r="AR6" s="108"/>
      <c r="AS6" s="108" t="s">
        <v>713</v>
      </c>
      <c r="AT6" s="109" t="s">
        <v>385</v>
      </c>
      <c r="AU6" s="123" t="s">
        <v>341</v>
      </c>
      <c r="AV6" s="109"/>
      <c r="AW6" s="109"/>
      <c r="AX6" s="110" t="s">
        <v>385</v>
      </c>
      <c r="AY6" s="124" t="s">
        <v>341</v>
      </c>
      <c r="AZ6" s="110"/>
      <c r="BA6" s="110"/>
      <c r="BB6" s="111" t="s">
        <v>385</v>
      </c>
      <c r="BC6" s="125" t="s">
        <v>341</v>
      </c>
      <c r="BD6" s="111"/>
      <c r="BE6" s="111"/>
      <c r="BF6" s="112" t="s">
        <v>385</v>
      </c>
      <c r="BG6" s="126" t="s">
        <v>341</v>
      </c>
      <c r="BH6" s="112"/>
      <c r="BI6" s="112"/>
      <c r="BJ6" s="113" t="s">
        <v>365</v>
      </c>
      <c r="BK6" s="127" t="s">
        <v>321</v>
      </c>
      <c r="BL6" s="113"/>
      <c r="BM6" s="127" t="s">
        <v>413</v>
      </c>
      <c r="BN6" s="99"/>
      <c r="BO6" s="99"/>
      <c r="BP6" s="99"/>
      <c r="BQ6" s="99"/>
      <c r="BR6" s="114"/>
      <c r="BS6" s="114"/>
      <c r="BT6" s="114"/>
      <c r="BU6" s="114" t="s">
        <v>713</v>
      </c>
      <c r="BV6" s="87" t="s">
        <v>1117</v>
      </c>
      <c r="BW6" s="88" t="s">
        <v>1183</v>
      </c>
      <c r="BX6" s="87" t="s">
        <v>1117</v>
      </c>
      <c r="BY6" s="88"/>
      <c r="BZ6" s="115"/>
      <c r="CA6" s="115"/>
      <c r="CB6" s="115" t="s">
        <v>713</v>
      </c>
      <c r="CC6" s="115"/>
      <c r="CD6" s="99" t="s">
        <v>494</v>
      </c>
      <c r="CE6" s="99"/>
      <c r="CF6" s="99"/>
      <c r="CG6" s="99" t="s">
        <v>713</v>
      </c>
      <c r="CH6" s="116"/>
      <c r="CI6" s="116"/>
      <c r="CJ6" s="116"/>
      <c r="CK6" s="116" t="s">
        <v>713</v>
      </c>
      <c r="CL6" s="117"/>
      <c r="CM6" s="117"/>
      <c r="CN6" s="117"/>
      <c r="CO6" s="117" t="s">
        <v>713</v>
      </c>
      <c r="CP6" s="88"/>
      <c r="CQ6" s="88"/>
      <c r="CR6" s="88"/>
      <c r="CS6" s="88" t="s">
        <v>713</v>
      </c>
      <c r="CT6" s="114"/>
      <c r="CU6" s="114"/>
      <c r="CV6" s="114"/>
      <c r="CW6" s="114" t="s">
        <v>713</v>
      </c>
      <c r="CX6" s="118"/>
      <c r="CY6" s="118"/>
      <c r="CZ6" s="118"/>
      <c r="DA6" s="118" t="s">
        <v>106</v>
      </c>
      <c r="DB6" s="119"/>
      <c r="DC6" s="119"/>
      <c r="DD6" s="119"/>
      <c r="DE6" s="119" t="s">
        <v>713</v>
      </c>
    </row>
    <row r="7" s="120" customFormat="true" ht="15.95" hidden="false" customHeight="true" outlineLevel="0" collapsed="false">
      <c r="A7" s="97" t="s">
        <v>1186</v>
      </c>
      <c r="B7" s="98" t="s">
        <v>1187</v>
      </c>
      <c r="C7" s="98" t="s">
        <v>1188</v>
      </c>
      <c r="D7" s="98"/>
      <c r="E7" s="98"/>
      <c r="F7" s="99"/>
      <c r="G7" s="99"/>
      <c r="H7" s="99"/>
      <c r="I7" s="99"/>
      <c r="J7" s="100"/>
      <c r="K7" s="100"/>
      <c r="L7" s="100"/>
      <c r="M7" s="100"/>
      <c r="N7" s="101"/>
      <c r="O7" s="101"/>
      <c r="P7" s="101"/>
      <c r="Q7" s="101"/>
      <c r="R7" s="102"/>
      <c r="S7" s="102"/>
      <c r="T7" s="102"/>
      <c r="U7" s="102"/>
      <c r="V7" s="103"/>
      <c r="W7" s="103"/>
      <c r="X7" s="103"/>
      <c r="Y7" s="103"/>
      <c r="Z7" s="104"/>
      <c r="AA7" s="104"/>
      <c r="AB7" s="104"/>
      <c r="AC7" s="104"/>
      <c r="AD7" s="105" t="s">
        <v>671</v>
      </c>
      <c r="AE7" s="105"/>
      <c r="AF7" s="105"/>
      <c r="AG7" s="105"/>
      <c r="AH7" s="106" t="s">
        <v>855</v>
      </c>
      <c r="AI7" s="106"/>
      <c r="AJ7" s="106"/>
      <c r="AK7" s="106"/>
      <c r="AL7" s="107" t="s">
        <v>538</v>
      </c>
      <c r="AM7" s="107" t="s">
        <v>1189</v>
      </c>
      <c r="AN7" s="107" t="s">
        <v>538</v>
      </c>
      <c r="AO7" s="107"/>
      <c r="AP7" s="108" t="s">
        <v>296</v>
      </c>
      <c r="AQ7" s="108" t="s">
        <v>246</v>
      </c>
      <c r="AR7" s="108"/>
      <c r="AS7" s="108"/>
      <c r="AT7" s="109" t="s">
        <v>360</v>
      </c>
      <c r="AU7" s="109" t="s">
        <v>316</v>
      </c>
      <c r="AV7" s="109"/>
      <c r="AW7" s="109"/>
      <c r="AX7" s="110" t="s">
        <v>360</v>
      </c>
      <c r="AY7" s="110" t="s">
        <v>316</v>
      </c>
      <c r="AZ7" s="110"/>
      <c r="BA7" s="110"/>
      <c r="BB7" s="111" t="s">
        <v>360</v>
      </c>
      <c r="BC7" s="111" t="s">
        <v>316</v>
      </c>
      <c r="BD7" s="111"/>
      <c r="BE7" s="111"/>
      <c r="BF7" s="112" t="s">
        <v>360</v>
      </c>
      <c r="BG7" s="112" t="s">
        <v>316</v>
      </c>
      <c r="BH7" s="112"/>
      <c r="BI7" s="112"/>
      <c r="BJ7" s="113" t="s">
        <v>378</v>
      </c>
      <c r="BK7" s="113" t="s">
        <v>334</v>
      </c>
      <c r="BL7" s="113"/>
      <c r="BM7" s="113"/>
      <c r="BN7" s="99"/>
      <c r="BO7" s="99"/>
      <c r="BP7" s="99"/>
      <c r="BQ7" s="99"/>
      <c r="BR7" s="114"/>
      <c r="BS7" s="114"/>
      <c r="BT7" s="114"/>
      <c r="BU7" s="114"/>
      <c r="BV7" s="87" t="s">
        <v>1119</v>
      </c>
      <c r="BW7" s="88" t="s">
        <v>1187</v>
      </c>
      <c r="BX7" s="87" t="s">
        <v>1119</v>
      </c>
      <c r="BY7" s="88"/>
      <c r="BZ7" s="115"/>
      <c r="CA7" s="115"/>
      <c r="CB7" s="115"/>
      <c r="CC7" s="115"/>
      <c r="CD7" s="99" t="s">
        <v>482</v>
      </c>
      <c r="CE7" s="99"/>
      <c r="CF7" s="99"/>
      <c r="CG7" s="99"/>
      <c r="CH7" s="116"/>
      <c r="CI7" s="116"/>
      <c r="CJ7" s="116"/>
      <c r="CK7" s="116"/>
      <c r="CL7" s="117"/>
      <c r="CM7" s="117"/>
      <c r="CN7" s="117"/>
      <c r="CO7" s="117"/>
      <c r="CP7" s="88"/>
      <c r="CQ7" s="88"/>
      <c r="CR7" s="88"/>
      <c r="CS7" s="88"/>
      <c r="CT7" s="114"/>
      <c r="CU7" s="114"/>
      <c r="CV7" s="114"/>
      <c r="CW7" s="114"/>
      <c r="CX7" s="118"/>
      <c r="CY7" s="118"/>
      <c r="CZ7" s="118"/>
      <c r="DA7" s="118" t="s">
        <v>1189</v>
      </c>
      <c r="DB7" s="119"/>
      <c r="DC7" s="119"/>
      <c r="DD7" s="119"/>
      <c r="DE7" s="119" t="s">
        <v>1189</v>
      </c>
    </row>
    <row r="8" s="120" customFormat="true" ht="15.95" hidden="false" customHeight="true" outlineLevel="0" collapsed="false">
      <c r="A8" s="97" t="s">
        <v>1190</v>
      </c>
      <c r="B8" s="98" t="s">
        <v>1191</v>
      </c>
      <c r="C8" s="98" t="s">
        <v>1192</v>
      </c>
      <c r="D8" s="98"/>
      <c r="E8" s="98"/>
      <c r="F8" s="99"/>
      <c r="G8" s="99"/>
      <c r="H8" s="99"/>
      <c r="I8" s="99"/>
      <c r="J8" s="100"/>
      <c r="K8" s="100"/>
      <c r="L8" s="100"/>
      <c r="M8" s="100"/>
      <c r="N8" s="101"/>
      <c r="O8" s="101"/>
      <c r="P8" s="101"/>
      <c r="Q8" s="101"/>
      <c r="R8" s="102"/>
      <c r="S8" s="102"/>
      <c r="T8" s="102"/>
      <c r="U8" s="102"/>
      <c r="V8" s="103"/>
      <c r="W8" s="103"/>
      <c r="X8" s="103"/>
      <c r="Y8" s="103"/>
      <c r="Z8" s="104"/>
      <c r="AA8" s="104"/>
      <c r="AB8" s="104"/>
      <c r="AC8" s="104"/>
      <c r="AD8" s="105" t="s">
        <v>690</v>
      </c>
      <c r="AE8" s="105"/>
      <c r="AF8" s="105"/>
      <c r="AG8" s="105"/>
      <c r="AH8" s="106" t="s">
        <v>807</v>
      </c>
      <c r="AI8" s="106"/>
      <c r="AJ8" s="106"/>
      <c r="AK8" s="106"/>
      <c r="AL8" s="107" t="s">
        <v>622</v>
      </c>
      <c r="AM8" s="107"/>
      <c r="AN8" s="107"/>
      <c r="AO8" s="107"/>
      <c r="AP8" s="108" t="s">
        <v>258</v>
      </c>
      <c r="AQ8" s="108" t="s">
        <v>210</v>
      </c>
      <c r="AR8" s="108"/>
      <c r="AS8" s="108"/>
      <c r="AT8" s="109" t="s">
        <v>380</v>
      </c>
      <c r="AU8" s="109" t="s">
        <v>336</v>
      </c>
      <c r="AV8" s="109"/>
      <c r="AW8" s="109"/>
      <c r="AX8" s="110" t="s">
        <v>380</v>
      </c>
      <c r="AY8" s="110" t="s">
        <v>336</v>
      </c>
      <c r="AZ8" s="110"/>
      <c r="BA8" s="110"/>
      <c r="BB8" s="111" t="s">
        <v>380</v>
      </c>
      <c r="BC8" s="111" t="s">
        <v>336</v>
      </c>
      <c r="BD8" s="111"/>
      <c r="BE8" s="111"/>
      <c r="BF8" s="112" t="s">
        <v>380</v>
      </c>
      <c r="BG8" s="112" t="s">
        <v>336</v>
      </c>
      <c r="BH8" s="112"/>
      <c r="BI8" s="112"/>
      <c r="BJ8" s="113" t="s">
        <v>366</v>
      </c>
      <c r="BK8" s="113" t="s">
        <v>322</v>
      </c>
      <c r="BL8" s="113"/>
      <c r="BM8" s="113"/>
      <c r="BN8" s="99"/>
      <c r="BO8" s="99"/>
      <c r="BP8" s="99"/>
      <c r="BQ8" s="99"/>
      <c r="BR8" s="114"/>
      <c r="BS8" s="114"/>
      <c r="BT8" s="114"/>
      <c r="BU8" s="114"/>
      <c r="BV8" s="87" t="s">
        <v>1093</v>
      </c>
      <c r="BW8" s="88" t="s">
        <v>1191</v>
      </c>
      <c r="BX8" s="87" t="s">
        <v>1093</v>
      </c>
      <c r="BY8" s="88"/>
      <c r="BZ8" s="115"/>
      <c r="CA8" s="115"/>
      <c r="CB8" s="115"/>
      <c r="CC8" s="115"/>
      <c r="CD8" s="99" t="s">
        <v>489</v>
      </c>
      <c r="CE8" s="99" t="s">
        <v>501</v>
      </c>
      <c r="CF8" s="99"/>
      <c r="CG8" s="99"/>
      <c r="CH8" s="116"/>
      <c r="CI8" s="116"/>
      <c r="CJ8" s="116"/>
      <c r="CK8" s="116"/>
      <c r="CL8" s="117"/>
      <c r="CM8" s="117"/>
      <c r="CN8" s="117"/>
      <c r="CO8" s="117"/>
      <c r="CP8" s="88"/>
      <c r="CQ8" s="88"/>
      <c r="CR8" s="88"/>
      <c r="CS8" s="88"/>
      <c r="CT8" s="114"/>
      <c r="CU8" s="114"/>
      <c r="CV8" s="114"/>
      <c r="CW8" s="114"/>
      <c r="CX8" s="118"/>
      <c r="CY8" s="118"/>
      <c r="CZ8" s="118"/>
      <c r="DA8" s="118" t="s">
        <v>1180</v>
      </c>
      <c r="DB8" s="119"/>
      <c r="DC8" s="119"/>
      <c r="DD8" s="119"/>
      <c r="DE8" s="119" t="s">
        <v>1180</v>
      </c>
    </row>
    <row r="9" s="120" customFormat="true" ht="15.95" hidden="false" customHeight="true" outlineLevel="0" collapsed="false">
      <c r="A9" s="97" t="s">
        <v>1193</v>
      </c>
      <c r="B9" s="98" t="s">
        <v>1194</v>
      </c>
      <c r="C9" s="98" t="s">
        <v>1195</v>
      </c>
      <c r="D9" s="98"/>
      <c r="E9" s="98"/>
      <c r="F9" s="99"/>
      <c r="G9" s="99"/>
      <c r="H9" s="99"/>
      <c r="I9" s="99"/>
      <c r="J9" s="100"/>
      <c r="K9" s="100"/>
      <c r="L9" s="100"/>
      <c r="M9" s="100"/>
      <c r="N9" s="101"/>
      <c r="O9" s="101"/>
      <c r="P9" s="101"/>
      <c r="Q9" s="101"/>
      <c r="R9" s="102"/>
      <c r="S9" s="102"/>
      <c r="T9" s="102"/>
      <c r="U9" s="102"/>
      <c r="V9" s="103"/>
      <c r="W9" s="103"/>
      <c r="X9" s="103"/>
      <c r="Y9" s="103"/>
      <c r="Z9" s="104"/>
      <c r="AA9" s="104"/>
      <c r="AB9" s="104"/>
      <c r="AC9" s="104"/>
      <c r="AD9" s="105" t="s">
        <v>699</v>
      </c>
      <c r="AE9" s="105"/>
      <c r="AF9" s="105"/>
      <c r="AG9" s="105"/>
      <c r="AH9" s="106" t="s">
        <v>811</v>
      </c>
      <c r="AI9" s="106"/>
      <c r="AJ9" s="106"/>
      <c r="AK9" s="106"/>
      <c r="AL9" s="107" t="s">
        <v>535</v>
      </c>
      <c r="AM9" s="121" t="s">
        <v>523</v>
      </c>
      <c r="AN9" s="107" t="s">
        <v>535</v>
      </c>
      <c r="AO9" s="107"/>
      <c r="AP9" s="108" t="s">
        <v>266</v>
      </c>
      <c r="AQ9" s="122" t="s">
        <v>218</v>
      </c>
      <c r="AR9" s="108"/>
      <c r="AS9" s="108"/>
      <c r="AT9" s="109" t="s">
        <v>382</v>
      </c>
      <c r="AU9" s="123" t="s">
        <v>338</v>
      </c>
      <c r="AV9" s="109"/>
      <c r="AW9" s="109"/>
      <c r="AX9" s="110" t="s">
        <v>382</v>
      </c>
      <c r="AY9" s="124" t="s">
        <v>338</v>
      </c>
      <c r="AZ9" s="110"/>
      <c r="BA9" s="110"/>
      <c r="BB9" s="111" t="s">
        <v>382</v>
      </c>
      <c r="BC9" s="125" t="s">
        <v>338</v>
      </c>
      <c r="BD9" s="111"/>
      <c r="BE9" s="111"/>
      <c r="BF9" s="112" t="s">
        <v>382</v>
      </c>
      <c r="BG9" s="126" t="s">
        <v>338</v>
      </c>
      <c r="BH9" s="112"/>
      <c r="BI9" s="112"/>
      <c r="BJ9" s="113" t="s">
        <v>363</v>
      </c>
      <c r="BK9" s="127" t="s">
        <v>319</v>
      </c>
      <c r="BL9" s="113"/>
      <c r="BM9" s="113"/>
      <c r="BN9" s="99"/>
      <c r="BO9" s="99"/>
      <c r="BP9" s="99"/>
      <c r="BQ9" s="99"/>
      <c r="BR9" s="114"/>
      <c r="BS9" s="114"/>
      <c r="BT9" s="114"/>
      <c r="BU9" s="114"/>
      <c r="BV9" s="87" t="s">
        <v>1123</v>
      </c>
      <c r="BW9" s="88" t="s">
        <v>1194</v>
      </c>
      <c r="BX9" s="87" t="s">
        <v>1123</v>
      </c>
      <c r="BY9" s="88"/>
      <c r="BZ9" s="115"/>
      <c r="CA9" s="115"/>
      <c r="CB9" s="115"/>
      <c r="CC9" s="115"/>
      <c r="CD9" s="99" t="s">
        <v>480</v>
      </c>
      <c r="CE9" s="99"/>
      <c r="CF9" s="99"/>
      <c r="CG9" s="132" t="s">
        <v>500</v>
      </c>
      <c r="CH9" s="116"/>
      <c r="CI9" s="116"/>
      <c r="CJ9" s="116"/>
      <c r="CK9" s="116"/>
      <c r="CL9" s="117"/>
      <c r="CM9" s="117"/>
      <c r="CN9" s="117"/>
      <c r="CO9" s="117"/>
      <c r="CP9" s="88"/>
      <c r="CQ9" s="88"/>
      <c r="CR9" s="88"/>
      <c r="CS9" s="88"/>
      <c r="CT9" s="114"/>
      <c r="CU9" s="114"/>
      <c r="CV9" s="114"/>
      <c r="CW9" s="114"/>
      <c r="CX9" s="118"/>
      <c r="CY9" s="118"/>
      <c r="CZ9" s="118"/>
      <c r="DA9" s="118"/>
      <c r="DB9" s="119"/>
      <c r="DC9" s="119"/>
      <c r="DD9" s="119"/>
      <c r="DE9" s="119"/>
    </row>
    <row r="10" s="120" customFormat="true" ht="15.95" hidden="false" customHeight="true" outlineLevel="0" collapsed="false">
      <c r="A10" s="97" t="s">
        <v>1196</v>
      </c>
      <c r="B10" s="98" t="s">
        <v>1197</v>
      </c>
      <c r="C10" s="98" t="s">
        <v>1198</v>
      </c>
      <c r="D10" s="98"/>
      <c r="E10" s="98"/>
      <c r="F10" s="99"/>
      <c r="G10" s="99"/>
      <c r="H10" s="99"/>
      <c r="I10" s="99"/>
      <c r="J10" s="100"/>
      <c r="K10" s="100"/>
      <c r="L10" s="100"/>
      <c r="M10" s="100"/>
      <c r="N10" s="101"/>
      <c r="O10" s="101"/>
      <c r="P10" s="101"/>
      <c r="Q10" s="101"/>
      <c r="R10" s="102"/>
      <c r="S10" s="102"/>
      <c r="T10" s="102"/>
      <c r="U10" s="102"/>
      <c r="V10" s="103"/>
      <c r="W10" s="103"/>
      <c r="X10" s="103"/>
      <c r="Y10" s="103"/>
      <c r="Z10" s="104" t="s">
        <v>177</v>
      </c>
      <c r="AA10" s="104" t="s">
        <v>1198</v>
      </c>
      <c r="AB10" s="104"/>
      <c r="AC10" s="104" t="s">
        <v>1197</v>
      </c>
      <c r="AD10" s="105" t="s">
        <v>693</v>
      </c>
      <c r="AE10" s="105"/>
      <c r="AF10" s="105"/>
      <c r="AG10" s="105"/>
      <c r="AH10" s="106" t="s">
        <v>889</v>
      </c>
      <c r="AI10" s="106"/>
      <c r="AJ10" s="106"/>
      <c r="AK10" s="106"/>
      <c r="AL10" s="107" t="s">
        <v>631</v>
      </c>
      <c r="AM10" s="107" t="s">
        <v>163</v>
      </c>
      <c r="AN10" s="107" t="s">
        <v>631</v>
      </c>
      <c r="AO10" s="107"/>
      <c r="AP10" s="108" t="s">
        <v>270</v>
      </c>
      <c r="AQ10" s="108" t="s">
        <v>222</v>
      </c>
      <c r="AR10" s="108"/>
      <c r="AS10" s="108"/>
      <c r="AT10" s="109" t="s">
        <v>390</v>
      </c>
      <c r="AU10" s="109" t="s">
        <v>346</v>
      </c>
      <c r="AV10" s="109"/>
      <c r="AW10" s="109"/>
      <c r="AX10" s="110" t="s">
        <v>390</v>
      </c>
      <c r="AY10" s="110" t="s">
        <v>346</v>
      </c>
      <c r="AZ10" s="110"/>
      <c r="BA10" s="110"/>
      <c r="BB10" s="111" t="s">
        <v>390</v>
      </c>
      <c r="BC10" s="111" t="s">
        <v>346</v>
      </c>
      <c r="BD10" s="111"/>
      <c r="BE10" s="111"/>
      <c r="BF10" s="112" t="s">
        <v>390</v>
      </c>
      <c r="BG10" s="112" t="s">
        <v>346</v>
      </c>
      <c r="BH10" s="112"/>
      <c r="BI10" s="112"/>
      <c r="BJ10" s="113" t="s">
        <v>383</v>
      </c>
      <c r="BK10" s="113" t="s">
        <v>339</v>
      </c>
      <c r="BL10" s="113"/>
      <c r="BM10" s="113"/>
      <c r="BN10" s="99"/>
      <c r="BO10" s="99"/>
      <c r="BP10" s="99"/>
      <c r="BQ10" s="99"/>
      <c r="BR10" s="114"/>
      <c r="BS10" s="114"/>
      <c r="BT10" s="114"/>
      <c r="BU10" s="114"/>
      <c r="BV10" s="87" t="s">
        <v>1107</v>
      </c>
      <c r="BW10" s="88" t="s">
        <v>1197</v>
      </c>
      <c r="BX10" s="87" t="s">
        <v>1107</v>
      </c>
      <c r="BY10" s="88"/>
      <c r="BZ10" s="115"/>
      <c r="CA10" s="115"/>
      <c r="CB10" s="115"/>
      <c r="CC10" s="115"/>
      <c r="CD10" s="99" t="s">
        <v>486</v>
      </c>
      <c r="CE10" s="99"/>
      <c r="CF10" s="99"/>
      <c r="CG10" s="132" t="s">
        <v>456</v>
      </c>
      <c r="CH10" s="116"/>
      <c r="CI10" s="116"/>
      <c r="CJ10" s="116"/>
      <c r="CK10" s="116"/>
      <c r="CL10" s="117"/>
      <c r="CM10" s="117"/>
      <c r="CN10" s="117"/>
      <c r="CO10" s="117"/>
      <c r="CP10" s="88"/>
      <c r="CQ10" s="88"/>
      <c r="CR10" s="88"/>
      <c r="CS10" s="88"/>
      <c r="CT10" s="114"/>
      <c r="CU10" s="114"/>
      <c r="CV10" s="114"/>
      <c r="CW10" s="114"/>
      <c r="CX10" s="118"/>
      <c r="CY10" s="118"/>
      <c r="CZ10" s="118"/>
      <c r="DA10" s="118" t="s">
        <v>116</v>
      </c>
      <c r="DB10" s="119"/>
      <c r="DC10" s="119"/>
      <c r="DD10" s="119"/>
      <c r="DE10" s="119" t="s">
        <v>116</v>
      </c>
    </row>
    <row r="11" s="120" customFormat="true" ht="15.95" hidden="false" customHeight="true" outlineLevel="0" collapsed="false">
      <c r="A11" s="97" t="s">
        <v>1199</v>
      </c>
      <c r="B11" s="98" t="s">
        <v>1200</v>
      </c>
      <c r="C11" s="98" t="s">
        <v>1201</v>
      </c>
      <c r="D11" s="98"/>
      <c r="E11" s="98"/>
      <c r="F11" s="99"/>
      <c r="G11" s="99"/>
      <c r="H11" s="99"/>
      <c r="I11" s="99"/>
      <c r="J11" s="100"/>
      <c r="K11" s="100"/>
      <c r="L11" s="100"/>
      <c r="M11" s="100"/>
      <c r="N11" s="101"/>
      <c r="O11" s="101"/>
      <c r="P11" s="101"/>
      <c r="Q11" s="101"/>
      <c r="R11" s="102"/>
      <c r="S11" s="102"/>
      <c r="T11" s="102"/>
      <c r="U11" s="102"/>
      <c r="V11" s="103"/>
      <c r="W11" s="103"/>
      <c r="X11" s="103"/>
      <c r="Y11" s="103"/>
      <c r="Z11" s="104"/>
      <c r="AA11" s="104"/>
      <c r="AB11" s="104"/>
      <c r="AC11" s="104"/>
      <c r="AD11" s="105" t="s">
        <v>695</v>
      </c>
      <c r="AE11" s="105"/>
      <c r="AF11" s="105"/>
      <c r="AG11" s="105"/>
      <c r="AH11" s="106" t="s">
        <v>875</v>
      </c>
      <c r="AI11" s="106"/>
      <c r="AJ11" s="106"/>
      <c r="AK11" s="106"/>
      <c r="AL11" s="107" t="s">
        <v>544</v>
      </c>
      <c r="AM11" s="121" t="s">
        <v>610</v>
      </c>
      <c r="AN11" s="107" t="s">
        <v>544</v>
      </c>
      <c r="AO11" s="107"/>
      <c r="AP11" s="108" t="s">
        <v>280</v>
      </c>
      <c r="AQ11" s="122" t="s">
        <v>232</v>
      </c>
      <c r="AR11" s="108"/>
      <c r="AS11" s="108"/>
      <c r="AT11" s="109" t="s">
        <v>378</v>
      </c>
      <c r="AU11" s="123" t="s">
        <v>334</v>
      </c>
      <c r="AV11" s="109"/>
      <c r="AW11" s="109"/>
      <c r="AX11" s="110" t="s">
        <v>378</v>
      </c>
      <c r="AY11" s="124" t="s">
        <v>334</v>
      </c>
      <c r="AZ11" s="110"/>
      <c r="BA11" s="110"/>
      <c r="BB11" s="111" t="s">
        <v>378</v>
      </c>
      <c r="BC11" s="125" t="s">
        <v>334</v>
      </c>
      <c r="BD11" s="111"/>
      <c r="BE11" s="111"/>
      <c r="BF11" s="112" t="s">
        <v>378</v>
      </c>
      <c r="BG11" s="126" t="s">
        <v>334</v>
      </c>
      <c r="BH11" s="112"/>
      <c r="BI11" s="112"/>
      <c r="BJ11" s="113" t="s">
        <v>384</v>
      </c>
      <c r="BK11" s="127" t="s">
        <v>340</v>
      </c>
      <c r="BL11" s="113"/>
      <c r="BM11" s="113"/>
      <c r="BN11" s="99"/>
      <c r="BO11" s="99"/>
      <c r="BP11" s="99"/>
      <c r="BQ11" s="99"/>
      <c r="BR11" s="114"/>
      <c r="BS11" s="114"/>
      <c r="BT11" s="114"/>
      <c r="BU11" s="114"/>
      <c r="BV11" s="87" t="s">
        <v>1087</v>
      </c>
      <c r="BW11" s="88" t="s">
        <v>1200</v>
      </c>
      <c r="BX11" s="87" t="s">
        <v>1087</v>
      </c>
      <c r="BY11" s="88"/>
      <c r="BZ11" s="115"/>
      <c r="CA11" s="115"/>
      <c r="CB11" s="115"/>
      <c r="CC11" s="115"/>
      <c r="CD11" s="99" t="s">
        <v>478</v>
      </c>
      <c r="CE11" s="99"/>
      <c r="CF11" s="99"/>
      <c r="CG11" s="99" t="s">
        <v>499</v>
      </c>
      <c r="CH11" s="116"/>
      <c r="CI11" s="116"/>
      <c r="CJ11" s="116"/>
      <c r="CK11" s="116"/>
      <c r="CL11" s="117"/>
      <c r="CM11" s="117"/>
      <c r="CN11" s="117"/>
      <c r="CO11" s="117"/>
      <c r="CP11" s="88"/>
      <c r="CQ11" s="88"/>
      <c r="CR11" s="88"/>
      <c r="CS11" s="88"/>
      <c r="CT11" s="114"/>
      <c r="CU11" s="114"/>
      <c r="CV11" s="114"/>
      <c r="CW11" s="114"/>
      <c r="CX11" s="118"/>
      <c r="CY11" s="118"/>
      <c r="CZ11" s="118"/>
      <c r="DA11" s="130" t="s">
        <v>151</v>
      </c>
      <c r="DB11" s="119"/>
      <c r="DC11" s="119"/>
      <c r="DD11" s="119"/>
      <c r="DE11" s="131" t="s">
        <v>151</v>
      </c>
    </row>
    <row r="12" s="120" customFormat="true" ht="15.95" hidden="false" customHeight="true" outlineLevel="0" collapsed="false">
      <c r="A12" s="97" t="s">
        <v>1202</v>
      </c>
      <c r="B12" s="98" t="s">
        <v>1203</v>
      </c>
      <c r="C12" s="98" t="s">
        <v>1204</v>
      </c>
      <c r="D12" s="98"/>
      <c r="E12" s="98"/>
      <c r="F12" s="99"/>
      <c r="G12" s="99"/>
      <c r="H12" s="99"/>
      <c r="I12" s="99"/>
      <c r="J12" s="100"/>
      <c r="K12" s="100"/>
      <c r="L12" s="100"/>
      <c r="M12" s="100"/>
      <c r="N12" s="101"/>
      <c r="O12" s="101"/>
      <c r="P12" s="101"/>
      <c r="Q12" s="101"/>
      <c r="R12" s="102"/>
      <c r="S12" s="102"/>
      <c r="T12" s="102"/>
      <c r="U12" s="102"/>
      <c r="V12" s="103"/>
      <c r="W12" s="103"/>
      <c r="X12" s="103"/>
      <c r="Y12" s="103"/>
      <c r="Z12" s="104"/>
      <c r="AA12" s="104"/>
      <c r="AB12" s="104"/>
      <c r="AC12" s="104"/>
      <c r="AD12" s="105" t="s">
        <v>691</v>
      </c>
      <c r="AE12" s="105"/>
      <c r="AF12" s="105"/>
      <c r="AG12" s="105"/>
      <c r="AH12" s="106" t="s">
        <v>853</v>
      </c>
      <c r="AI12" s="106"/>
      <c r="AJ12" s="106"/>
      <c r="AK12" s="106"/>
      <c r="AL12" s="107" t="s">
        <v>628</v>
      </c>
      <c r="AM12" s="121" t="s">
        <v>503</v>
      </c>
      <c r="AN12" s="107" t="s">
        <v>628</v>
      </c>
      <c r="AO12" s="107"/>
      <c r="AP12" s="108" t="s">
        <v>272</v>
      </c>
      <c r="AQ12" s="122" t="s">
        <v>224</v>
      </c>
      <c r="AR12" s="108"/>
      <c r="AS12" s="108"/>
      <c r="AT12" s="109" t="s">
        <v>372</v>
      </c>
      <c r="AU12" s="123" t="s">
        <v>328</v>
      </c>
      <c r="AV12" s="109"/>
      <c r="AW12" s="109"/>
      <c r="AX12" s="110" t="s">
        <v>372</v>
      </c>
      <c r="AY12" s="124" t="s">
        <v>328</v>
      </c>
      <c r="AZ12" s="110"/>
      <c r="BA12" s="110"/>
      <c r="BB12" s="111" t="s">
        <v>372</v>
      </c>
      <c r="BC12" s="125" t="s">
        <v>328</v>
      </c>
      <c r="BD12" s="111"/>
      <c r="BE12" s="111"/>
      <c r="BF12" s="112" t="s">
        <v>372</v>
      </c>
      <c r="BG12" s="126" t="s">
        <v>328</v>
      </c>
      <c r="BH12" s="112"/>
      <c r="BI12" s="112"/>
      <c r="BJ12" s="113" t="s">
        <v>376</v>
      </c>
      <c r="BK12" s="127" t="s">
        <v>332</v>
      </c>
      <c r="BL12" s="113"/>
      <c r="BM12" s="113"/>
      <c r="BN12" s="99"/>
      <c r="BO12" s="99"/>
      <c r="BP12" s="99"/>
      <c r="BQ12" s="99"/>
      <c r="BR12" s="114"/>
      <c r="BS12" s="114"/>
      <c r="BT12" s="114"/>
      <c r="BU12" s="114"/>
      <c r="BV12" s="87" t="s">
        <v>1095</v>
      </c>
      <c r="BW12" s="88" t="s">
        <v>1203</v>
      </c>
      <c r="BX12" s="87" t="s">
        <v>1095</v>
      </c>
      <c r="BY12" s="88"/>
      <c r="BZ12" s="115"/>
      <c r="CA12" s="115"/>
      <c r="CB12" s="115"/>
      <c r="CC12" s="115"/>
      <c r="CD12" s="99" t="s">
        <v>483</v>
      </c>
      <c r="CE12" s="99"/>
      <c r="CF12" s="99"/>
      <c r="CG12" s="99"/>
      <c r="CH12" s="116"/>
      <c r="CI12" s="116"/>
      <c r="CJ12" s="116"/>
      <c r="CK12" s="116"/>
      <c r="CL12" s="117"/>
      <c r="CM12" s="117"/>
      <c r="CN12" s="117"/>
      <c r="CO12" s="117"/>
      <c r="CP12" s="88"/>
      <c r="CQ12" s="88"/>
      <c r="CR12" s="88"/>
      <c r="CS12" s="88"/>
      <c r="CT12" s="114"/>
      <c r="CU12" s="114"/>
      <c r="CV12" s="114"/>
      <c r="CW12" s="114"/>
      <c r="CX12" s="118"/>
      <c r="CY12" s="118"/>
      <c r="CZ12" s="118"/>
      <c r="DA12" s="118" t="s">
        <v>1205</v>
      </c>
      <c r="DB12" s="119"/>
      <c r="DC12" s="119"/>
      <c r="DD12" s="119"/>
      <c r="DE12" s="119" t="s">
        <v>1205</v>
      </c>
    </row>
    <row r="13" s="120" customFormat="true" ht="15.95" hidden="false" customHeight="true" outlineLevel="0" collapsed="false">
      <c r="A13" s="97" t="s">
        <v>1206</v>
      </c>
      <c r="B13" s="98" t="s">
        <v>1207</v>
      </c>
      <c r="C13" s="98" t="s">
        <v>1129</v>
      </c>
      <c r="D13" s="98"/>
      <c r="E13" s="98"/>
      <c r="F13" s="99"/>
      <c r="G13" s="99"/>
      <c r="H13" s="99"/>
      <c r="I13" s="99"/>
      <c r="J13" s="100"/>
      <c r="K13" s="100"/>
      <c r="L13" s="100"/>
      <c r="M13" s="100"/>
      <c r="N13" s="101"/>
      <c r="O13" s="101"/>
      <c r="P13" s="101"/>
      <c r="Q13" s="101"/>
      <c r="R13" s="102"/>
      <c r="S13" s="102"/>
      <c r="T13" s="102"/>
      <c r="U13" s="102"/>
      <c r="V13" s="103"/>
      <c r="W13" s="103"/>
      <c r="X13" s="103"/>
      <c r="Y13" s="103"/>
      <c r="Z13" s="104"/>
      <c r="AA13" s="104"/>
      <c r="AB13" s="104"/>
      <c r="AC13" s="104"/>
      <c r="AD13" s="105" t="s">
        <v>706</v>
      </c>
      <c r="AE13" s="105"/>
      <c r="AF13" s="105"/>
      <c r="AG13" s="105"/>
      <c r="AH13" s="106" t="s">
        <v>889</v>
      </c>
      <c r="AI13" s="106"/>
      <c r="AJ13" s="106"/>
      <c r="AK13" s="106"/>
      <c r="AL13" s="107" t="s">
        <v>625</v>
      </c>
      <c r="AM13" s="107" t="s">
        <v>1208</v>
      </c>
      <c r="AN13" s="107" t="s">
        <v>625</v>
      </c>
      <c r="AO13" s="107"/>
      <c r="AP13" s="108" t="s">
        <v>274</v>
      </c>
      <c r="AQ13" s="108" t="s">
        <v>226</v>
      </c>
      <c r="AR13" s="108"/>
      <c r="AS13" s="108"/>
      <c r="AT13" s="109" t="s">
        <v>364</v>
      </c>
      <c r="AU13" s="109" t="s">
        <v>320</v>
      </c>
      <c r="AV13" s="109"/>
      <c r="AW13" s="109"/>
      <c r="AX13" s="110" t="s">
        <v>364</v>
      </c>
      <c r="AY13" s="110" t="s">
        <v>320</v>
      </c>
      <c r="AZ13" s="110"/>
      <c r="BA13" s="110"/>
      <c r="BB13" s="111" t="s">
        <v>364</v>
      </c>
      <c r="BC13" s="111" t="s">
        <v>320</v>
      </c>
      <c r="BD13" s="111"/>
      <c r="BE13" s="111"/>
      <c r="BF13" s="112" t="s">
        <v>364</v>
      </c>
      <c r="BG13" s="112" t="s">
        <v>320</v>
      </c>
      <c r="BH13" s="112"/>
      <c r="BI13" s="112"/>
      <c r="BJ13" s="113" t="s">
        <v>362</v>
      </c>
      <c r="BK13" s="113" t="s">
        <v>318</v>
      </c>
      <c r="BL13" s="113"/>
      <c r="BM13" s="113"/>
      <c r="BN13" s="99"/>
      <c r="BO13" s="99"/>
      <c r="BP13" s="99"/>
      <c r="BQ13" s="99"/>
      <c r="BR13" s="114"/>
      <c r="BS13" s="114"/>
      <c r="BT13" s="114"/>
      <c r="BU13" s="114" t="s">
        <v>1209</v>
      </c>
      <c r="BV13" s="133" t="s">
        <v>1127</v>
      </c>
      <c r="BW13" s="88" t="s">
        <v>1207</v>
      </c>
      <c r="BX13" s="133" t="s">
        <v>1127</v>
      </c>
      <c r="BY13" s="88"/>
      <c r="BZ13" s="115"/>
      <c r="CA13" s="115"/>
      <c r="CB13" s="115"/>
      <c r="CC13" s="115"/>
      <c r="CD13" s="99" t="s">
        <v>481</v>
      </c>
      <c r="CE13" s="99"/>
      <c r="CF13" s="99"/>
      <c r="CG13" s="99"/>
      <c r="CH13" s="116"/>
      <c r="CI13" s="116"/>
      <c r="CJ13" s="116"/>
      <c r="CK13" s="116"/>
      <c r="CL13" s="117"/>
      <c r="CM13" s="117"/>
      <c r="CN13" s="117"/>
      <c r="CO13" s="117"/>
      <c r="CP13" s="88"/>
      <c r="CQ13" s="88"/>
      <c r="CR13" s="88"/>
      <c r="CS13" s="88"/>
      <c r="CT13" s="114"/>
      <c r="CU13" s="114"/>
      <c r="CV13" s="114"/>
      <c r="CW13" s="114"/>
      <c r="CX13" s="118"/>
      <c r="CY13" s="118"/>
      <c r="CZ13" s="118"/>
      <c r="DA13" s="118" t="s">
        <v>1209</v>
      </c>
      <c r="DB13" s="119"/>
      <c r="DC13" s="119"/>
      <c r="DD13" s="119"/>
      <c r="DE13" s="119" t="s">
        <v>1209</v>
      </c>
    </row>
    <row r="14" s="120" customFormat="true" ht="15.95" hidden="false" customHeight="true" outlineLevel="0" collapsed="false">
      <c r="A14" s="97" t="s">
        <v>1210</v>
      </c>
      <c r="B14" s="98" t="s">
        <v>1211</v>
      </c>
      <c r="C14" s="98" t="s">
        <v>1212</v>
      </c>
      <c r="D14" s="98"/>
      <c r="E14" s="98"/>
      <c r="F14" s="99"/>
      <c r="G14" s="99"/>
      <c r="H14" s="99"/>
      <c r="I14" s="99" t="s">
        <v>1213</v>
      </c>
      <c r="J14" s="100" t="s">
        <v>1214</v>
      </c>
      <c r="K14" s="100" t="s">
        <v>1215</v>
      </c>
      <c r="L14" s="100"/>
      <c r="M14" s="100"/>
      <c r="N14" s="101"/>
      <c r="O14" s="101"/>
      <c r="P14" s="101"/>
      <c r="Q14" s="101"/>
      <c r="R14" s="102"/>
      <c r="S14" s="102"/>
      <c r="T14" s="102"/>
      <c r="U14" s="102"/>
      <c r="V14" s="103"/>
      <c r="W14" s="103"/>
      <c r="X14" s="103"/>
      <c r="Y14" s="103"/>
      <c r="Z14" s="104"/>
      <c r="AA14" s="104"/>
      <c r="AB14" s="104"/>
      <c r="AC14" s="104"/>
      <c r="AD14" s="105" t="s">
        <v>705</v>
      </c>
      <c r="AE14" s="105"/>
      <c r="AF14" s="105"/>
      <c r="AG14" s="105"/>
      <c r="AH14" s="106" t="s">
        <v>881</v>
      </c>
      <c r="AI14" s="106"/>
      <c r="AJ14" s="106"/>
      <c r="AK14" s="106"/>
      <c r="AL14" s="107" t="s">
        <v>634</v>
      </c>
      <c r="AM14" s="107" t="s">
        <v>18</v>
      </c>
      <c r="AN14" s="107" t="s">
        <v>634</v>
      </c>
      <c r="AO14" s="107"/>
      <c r="AP14" s="108" t="s">
        <v>276</v>
      </c>
      <c r="AQ14" s="108" t="s">
        <v>228</v>
      </c>
      <c r="AR14" s="108"/>
      <c r="AS14" s="108"/>
      <c r="AT14" s="109" t="s">
        <v>396</v>
      </c>
      <c r="AU14" s="109" t="s">
        <v>352</v>
      </c>
      <c r="AV14" s="109"/>
      <c r="AW14" s="109"/>
      <c r="AX14" s="110" t="s">
        <v>396</v>
      </c>
      <c r="AY14" s="110" t="s">
        <v>352</v>
      </c>
      <c r="AZ14" s="110"/>
      <c r="BA14" s="110"/>
      <c r="BB14" s="111" t="s">
        <v>396</v>
      </c>
      <c r="BC14" s="111" t="s">
        <v>352</v>
      </c>
      <c r="BD14" s="111"/>
      <c r="BE14" s="111"/>
      <c r="BF14" s="112" t="s">
        <v>396</v>
      </c>
      <c r="BG14" s="112" t="s">
        <v>352</v>
      </c>
      <c r="BH14" s="112"/>
      <c r="BI14" s="112"/>
      <c r="BJ14" s="113" t="s">
        <v>380</v>
      </c>
      <c r="BK14" s="113" t="s">
        <v>336</v>
      </c>
      <c r="BL14" s="113"/>
      <c r="BM14" s="113"/>
      <c r="BN14" s="99"/>
      <c r="BO14" s="99"/>
      <c r="BP14" s="99"/>
      <c r="BQ14" s="132" t="s">
        <v>57</v>
      </c>
      <c r="BR14" s="114"/>
      <c r="BS14" s="114"/>
      <c r="BT14" s="114"/>
      <c r="BU14" s="114"/>
      <c r="BV14" s="87" t="s">
        <v>1083</v>
      </c>
      <c r="BW14" s="88" t="s">
        <v>1211</v>
      </c>
      <c r="BX14" s="87" t="s">
        <v>1083</v>
      </c>
      <c r="BY14" s="88"/>
      <c r="BZ14" s="115"/>
      <c r="CA14" s="115"/>
      <c r="CB14" s="115"/>
      <c r="CC14" s="129" t="s">
        <v>82</v>
      </c>
      <c r="CD14" s="99" t="s">
        <v>493</v>
      </c>
      <c r="CE14" s="99"/>
      <c r="CF14" s="99"/>
      <c r="CG14" s="99"/>
      <c r="CH14" s="116"/>
      <c r="CI14" s="116"/>
      <c r="CJ14" s="116"/>
      <c r="CK14" s="116" t="s">
        <v>1213</v>
      </c>
      <c r="CL14" s="117"/>
      <c r="CM14" s="117"/>
      <c r="CN14" s="117"/>
      <c r="CO14" s="117" t="s">
        <v>1213</v>
      </c>
      <c r="CP14" s="88"/>
      <c r="CQ14" s="88"/>
      <c r="CR14" s="88"/>
      <c r="CS14" s="88" t="s">
        <v>1213</v>
      </c>
      <c r="CT14" s="114"/>
      <c r="CU14" s="114"/>
      <c r="CV14" s="114"/>
      <c r="CW14" s="114" t="s">
        <v>1213</v>
      </c>
      <c r="CX14" s="118"/>
      <c r="CY14" s="118"/>
      <c r="CZ14" s="118"/>
      <c r="DA14" s="118" t="s">
        <v>1216</v>
      </c>
      <c r="DB14" s="119"/>
      <c r="DC14" s="119"/>
      <c r="DD14" s="119"/>
      <c r="DE14" s="119" t="s">
        <v>1216</v>
      </c>
    </row>
    <row r="15" s="120" customFormat="true" ht="15.95" hidden="false" customHeight="true" outlineLevel="0" collapsed="false">
      <c r="A15" s="97" t="s">
        <v>1217</v>
      </c>
      <c r="B15" s="98" t="s">
        <v>1218</v>
      </c>
      <c r="C15" s="98" t="s">
        <v>1219</v>
      </c>
      <c r="D15" s="98"/>
      <c r="E15" s="98"/>
      <c r="F15" s="99"/>
      <c r="G15" s="99"/>
      <c r="H15" s="99"/>
      <c r="I15" s="99"/>
      <c r="J15" s="100"/>
      <c r="K15" s="100"/>
      <c r="L15" s="100"/>
      <c r="M15" s="100"/>
      <c r="N15" s="101"/>
      <c r="O15" s="101"/>
      <c r="P15" s="101"/>
      <c r="Q15" s="101"/>
      <c r="R15" s="102"/>
      <c r="S15" s="102"/>
      <c r="T15" s="102"/>
      <c r="U15" s="102"/>
      <c r="V15" s="103"/>
      <c r="W15" s="103"/>
      <c r="X15" s="103"/>
      <c r="Y15" s="103"/>
      <c r="Z15" s="104"/>
      <c r="AA15" s="104"/>
      <c r="AB15" s="104"/>
      <c r="AC15" s="104"/>
      <c r="AD15" s="105" t="s">
        <v>702</v>
      </c>
      <c r="AE15" s="105"/>
      <c r="AF15" s="105"/>
      <c r="AG15" s="105"/>
      <c r="AH15" s="106" t="s">
        <v>877</v>
      </c>
      <c r="AI15" s="106"/>
      <c r="AJ15" s="106"/>
      <c r="AK15" s="106"/>
      <c r="AL15" s="107" t="s">
        <v>637</v>
      </c>
      <c r="AM15" s="121" t="s">
        <v>520</v>
      </c>
      <c r="AN15" s="107" t="s">
        <v>637</v>
      </c>
      <c r="AO15" s="107"/>
      <c r="AP15" s="108" t="s">
        <v>278</v>
      </c>
      <c r="AQ15" s="122" t="s">
        <v>230</v>
      </c>
      <c r="AR15" s="108"/>
      <c r="AS15" s="108"/>
      <c r="AT15" s="109" t="s">
        <v>384</v>
      </c>
      <c r="AU15" s="123" t="s">
        <v>340</v>
      </c>
      <c r="AV15" s="109"/>
      <c r="AW15" s="109"/>
      <c r="AX15" s="110" t="s">
        <v>384</v>
      </c>
      <c r="AY15" s="124" t="s">
        <v>340</v>
      </c>
      <c r="AZ15" s="110"/>
      <c r="BA15" s="110"/>
      <c r="BB15" s="111" t="s">
        <v>384</v>
      </c>
      <c r="BC15" s="125" t="s">
        <v>340</v>
      </c>
      <c r="BD15" s="111"/>
      <c r="BE15" s="111"/>
      <c r="BF15" s="112" t="s">
        <v>384</v>
      </c>
      <c r="BG15" s="126" t="s">
        <v>340</v>
      </c>
      <c r="BH15" s="112"/>
      <c r="BI15" s="112"/>
      <c r="BJ15" s="113" t="s">
        <v>387</v>
      </c>
      <c r="BK15" s="127" t="s">
        <v>343</v>
      </c>
      <c r="BL15" s="113"/>
      <c r="BM15" s="113"/>
      <c r="BN15" s="99"/>
      <c r="BO15" s="99"/>
      <c r="BP15" s="99"/>
      <c r="BQ15" s="99" t="s">
        <v>1220</v>
      </c>
      <c r="BR15" s="114"/>
      <c r="BS15" s="114"/>
      <c r="BT15" s="114"/>
      <c r="BU15" s="114"/>
      <c r="BV15" s="87" t="s">
        <v>1103</v>
      </c>
      <c r="BW15" s="88" t="s">
        <v>1218</v>
      </c>
      <c r="BX15" s="87" t="s">
        <v>1103</v>
      </c>
      <c r="BY15" s="88"/>
      <c r="BZ15" s="115"/>
      <c r="CA15" s="115"/>
      <c r="CB15" s="115"/>
      <c r="CC15" s="115"/>
      <c r="CD15" s="99" t="s">
        <v>485</v>
      </c>
      <c r="CE15" s="99"/>
      <c r="CF15" s="99"/>
      <c r="CG15" s="99"/>
      <c r="CH15" s="116"/>
      <c r="CI15" s="116"/>
      <c r="CJ15" s="116"/>
      <c r="CK15" s="116"/>
      <c r="CL15" s="117"/>
      <c r="CM15" s="117"/>
      <c r="CN15" s="117"/>
      <c r="CO15" s="117"/>
      <c r="CP15" s="88"/>
      <c r="CQ15" s="88"/>
      <c r="CR15" s="88"/>
      <c r="CS15" s="88"/>
      <c r="CT15" s="114"/>
      <c r="CU15" s="114"/>
      <c r="CV15" s="114"/>
      <c r="CW15" s="114"/>
      <c r="CX15" s="118"/>
      <c r="CY15" s="118"/>
      <c r="CZ15" s="118"/>
      <c r="DA15" s="118" t="s">
        <v>1220</v>
      </c>
      <c r="DB15" s="119"/>
      <c r="DC15" s="119"/>
      <c r="DD15" s="119"/>
      <c r="DE15" s="119" t="s">
        <v>1220</v>
      </c>
    </row>
    <row r="16" s="120" customFormat="true" ht="15.95" hidden="false" customHeight="true" outlineLevel="0" collapsed="false">
      <c r="A16" s="97" t="s">
        <v>1221</v>
      </c>
      <c r="B16" s="98" t="s">
        <v>1222</v>
      </c>
      <c r="C16" s="98" t="s">
        <v>1223</v>
      </c>
      <c r="D16" s="98"/>
      <c r="E16" s="98"/>
      <c r="F16" s="99"/>
      <c r="G16" s="99"/>
      <c r="H16" s="99"/>
      <c r="I16" s="99"/>
      <c r="J16" s="100"/>
      <c r="K16" s="100"/>
      <c r="L16" s="100"/>
      <c r="M16" s="100"/>
      <c r="N16" s="101"/>
      <c r="O16" s="101"/>
      <c r="P16" s="101"/>
      <c r="Q16" s="101"/>
      <c r="R16" s="102"/>
      <c r="S16" s="102"/>
      <c r="T16" s="102"/>
      <c r="U16" s="102"/>
      <c r="V16" s="103"/>
      <c r="W16" s="103"/>
      <c r="X16" s="103"/>
      <c r="Y16" s="103"/>
      <c r="Z16" s="104"/>
      <c r="AA16" s="104"/>
      <c r="AB16" s="104"/>
      <c r="AC16" s="104"/>
      <c r="AD16" s="105" t="s">
        <v>692</v>
      </c>
      <c r="AE16" s="105" t="s">
        <v>694</v>
      </c>
      <c r="AF16" s="105"/>
      <c r="AG16" s="105"/>
      <c r="AH16" s="106" t="s">
        <v>888</v>
      </c>
      <c r="AI16" s="106"/>
      <c r="AJ16" s="106"/>
      <c r="AK16" s="106"/>
      <c r="AL16" s="107" t="s">
        <v>541</v>
      </c>
      <c r="AM16" s="107" t="s">
        <v>127</v>
      </c>
      <c r="AN16" s="107" t="s">
        <v>541</v>
      </c>
      <c r="AO16" s="107"/>
      <c r="AP16" s="108" t="s">
        <v>282</v>
      </c>
      <c r="AQ16" s="108" t="s">
        <v>234</v>
      </c>
      <c r="AR16" s="108"/>
      <c r="AS16" s="108"/>
      <c r="AT16" s="109" t="s">
        <v>391</v>
      </c>
      <c r="AU16" s="109" t="s">
        <v>347</v>
      </c>
      <c r="AV16" s="109"/>
      <c r="AW16" s="109"/>
      <c r="AX16" s="110" t="s">
        <v>391</v>
      </c>
      <c r="AY16" s="110" t="s">
        <v>347</v>
      </c>
      <c r="AZ16" s="110"/>
      <c r="BA16" s="110"/>
      <c r="BB16" s="111" t="s">
        <v>410</v>
      </c>
      <c r="BC16" s="111" t="s">
        <v>314</v>
      </c>
      <c r="BD16" s="111"/>
      <c r="BE16" s="111"/>
      <c r="BF16" s="112" t="s">
        <v>410</v>
      </c>
      <c r="BG16" s="112" t="s">
        <v>314</v>
      </c>
      <c r="BH16" s="112"/>
      <c r="BI16" s="112"/>
      <c r="BJ16" s="113" t="s">
        <v>364</v>
      </c>
      <c r="BK16" s="113" t="s">
        <v>320</v>
      </c>
      <c r="BL16" s="113"/>
      <c r="BM16" s="113"/>
      <c r="BN16" s="99"/>
      <c r="BO16" s="99"/>
      <c r="BP16" s="99"/>
      <c r="BQ16" s="99"/>
      <c r="BR16" s="114"/>
      <c r="BS16" s="114"/>
      <c r="BT16" s="114"/>
      <c r="BU16" s="114"/>
      <c r="BV16" s="87" t="s">
        <v>1085</v>
      </c>
      <c r="BW16" s="88" t="s">
        <v>1222</v>
      </c>
      <c r="BX16" s="87" t="s">
        <v>1085</v>
      </c>
      <c r="BY16" s="88"/>
      <c r="BZ16" s="115"/>
      <c r="CA16" s="115"/>
      <c r="CB16" s="115"/>
      <c r="CC16" s="115"/>
      <c r="CD16" s="99" t="s">
        <v>484</v>
      </c>
      <c r="CE16" s="99" t="s">
        <v>459</v>
      </c>
      <c r="CF16" s="99"/>
      <c r="CG16" s="99" t="s">
        <v>457</v>
      </c>
      <c r="CH16" s="116"/>
      <c r="CI16" s="116"/>
      <c r="CJ16" s="116"/>
      <c r="CK16" s="116"/>
      <c r="CL16" s="117"/>
      <c r="CM16" s="117"/>
      <c r="CN16" s="117"/>
      <c r="CO16" s="117"/>
      <c r="CP16" s="88"/>
      <c r="CQ16" s="88"/>
      <c r="CR16" s="88"/>
      <c r="CS16" s="88"/>
      <c r="CT16" s="114"/>
      <c r="CU16" s="114"/>
      <c r="CV16" s="114"/>
      <c r="CW16" s="114"/>
      <c r="CX16" s="118"/>
      <c r="CY16" s="118"/>
      <c r="CZ16" s="118"/>
      <c r="DA16" s="118"/>
      <c r="DB16" s="119"/>
      <c r="DC16" s="119"/>
      <c r="DD16" s="119"/>
      <c r="DE16" s="119"/>
    </row>
    <row r="17" s="120" customFormat="true" ht="15.95" hidden="false" customHeight="true" outlineLevel="0" collapsed="false">
      <c r="A17" s="97" t="s">
        <v>1224</v>
      </c>
      <c r="B17" s="98" t="s">
        <v>1225</v>
      </c>
      <c r="C17" s="98" t="s">
        <v>1226</v>
      </c>
      <c r="D17" s="98"/>
      <c r="E17" s="98"/>
      <c r="F17" s="99"/>
      <c r="G17" s="99"/>
      <c r="H17" s="99"/>
      <c r="I17" s="99"/>
      <c r="J17" s="100"/>
      <c r="K17" s="100"/>
      <c r="L17" s="100"/>
      <c r="M17" s="100"/>
      <c r="N17" s="101"/>
      <c r="O17" s="101"/>
      <c r="P17" s="101"/>
      <c r="Q17" s="101"/>
      <c r="R17" s="102"/>
      <c r="S17" s="102"/>
      <c r="T17" s="102"/>
      <c r="U17" s="102"/>
      <c r="V17" s="103"/>
      <c r="W17" s="103"/>
      <c r="X17" s="103"/>
      <c r="Y17" s="103"/>
      <c r="Z17" s="104"/>
      <c r="AA17" s="104"/>
      <c r="AB17" s="104"/>
      <c r="AC17" s="104"/>
      <c r="AD17" s="105" t="s">
        <v>696</v>
      </c>
      <c r="AE17" s="105" t="s">
        <v>698</v>
      </c>
      <c r="AF17" s="105"/>
      <c r="AG17" s="105"/>
      <c r="AH17" s="106" t="s">
        <v>825</v>
      </c>
      <c r="AI17" s="106"/>
      <c r="AJ17" s="106"/>
      <c r="AK17" s="106"/>
      <c r="AL17" s="107" t="s">
        <v>553</v>
      </c>
      <c r="AM17" s="121" t="s">
        <v>507</v>
      </c>
      <c r="AN17" s="107" t="s">
        <v>553</v>
      </c>
      <c r="AO17" s="107"/>
      <c r="AP17" s="108" t="s">
        <v>284</v>
      </c>
      <c r="AQ17" s="122" t="s">
        <v>236</v>
      </c>
      <c r="AR17" s="108"/>
      <c r="AS17" s="108"/>
      <c r="AT17" s="109" t="s">
        <v>367</v>
      </c>
      <c r="AU17" s="123" t="s">
        <v>323</v>
      </c>
      <c r="AV17" s="109"/>
      <c r="AW17" s="109"/>
      <c r="AX17" s="110" t="s">
        <v>367</v>
      </c>
      <c r="AY17" s="124" t="s">
        <v>323</v>
      </c>
      <c r="AZ17" s="110"/>
      <c r="BA17" s="110"/>
      <c r="BB17" s="111" t="s">
        <v>367</v>
      </c>
      <c r="BC17" s="125" t="s">
        <v>323</v>
      </c>
      <c r="BD17" s="111"/>
      <c r="BE17" s="111"/>
      <c r="BF17" s="112" t="s">
        <v>367</v>
      </c>
      <c r="BG17" s="126" t="s">
        <v>323</v>
      </c>
      <c r="BH17" s="112"/>
      <c r="BI17" s="112"/>
      <c r="BJ17" s="113" t="s">
        <v>367</v>
      </c>
      <c r="BK17" s="127" t="s">
        <v>323</v>
      </c>
      <c r="BL17" s="113"/>
      <c r="BM17" s="113"/>
      <c r="BN17" s="99"/>
      <c r="BO17" s="99"/>
      <c r="BP17" s="99"/>
      <c r="BQ17" s="99"/>
      <c r="BR17" s="114"/>
      <c r="BS17" s="114"/>
      <c r="BT17" s="114"/>
      <c r="BU17" s="128" t="s">
        <v>57</v>
      </c>
      <c r="BV17" s="87" t="s">
        <v>1105</v>
      </c>
      <c r="BW17" s="88" t="s">
        <v>1225</v>
      </c>
      <c r="BX17" s="87" t="s">
        <v>1105</v>
      </c>
      <c r="BY17" s="88"/>
      <c r="BZ17" s="115"/>
      <c r="CA17" s="115"/>
      <c r="CB17" s="115"/>
      <c r="CC17" s="115"/>
      <c r="CD17" s="99" t="s">
        <v>491</v>
      </c>
      <c r="CE17" s="99"/>
      <c r="CF17" s="99"/>
      <c r="CG17" s="132" t="s">
        <v>1227</v>
      </c>
      <c r="CH17" s="116"/>
      <c r="CI17" s="116"/>
      <c r="CJ17" s="116"/>
      <c r="CK17" s="116"/>
      <c r="CL17" s="117"/>
      <c r="CM17" s="117"/>
      <c r="CN17" s="117"/>
      <c r="CO17" s="117"/>
      <c r="CP17" s="88"/>
      <c r="CQ17" s="88"/>
      <c r="CR17" s="88"/>
      <c r="CS17" s="88"/>
      <c r="CT17" s="114"/>
      <c r="CU17" s="114"/>
      <c r="CV17" s="114"/>
      <c r="CW17" s="114"/>
      <c r="CX17" s="118"/>
      <c r="CY17" s="118"/>
      <c r="CZ17" s="118"/>
      <c r="DA17" s="130"/>
      <c r="DB17" s="119"/>
      <c r="DC17" s="119"/>
      <c r="DD17" s="119"/>
      <c r="DE17" s="131"/>
    </row>
    <row r="18" s="120" customFormat="true" ht="15.95" hidden="false" customHeight="true" outlineLevel="0" collapsed="false">
      <c r="A18" s="97" t="s">
        <v>1228</v>
      </c>
      <c r="B18" s="98" t="s">
        <v>1167</v>
      </c>
      <c r="C18" s="98" t="s">
        <v>1168</v>
      </c>
      <c r="D18" s="98"/>
      <c r="E18" s="98"/>
      <c r="F18" s="99"/>
      <c r="G18" s="99"/>
      <c r="H18" s="99"/>
      <c r="I18" s="99" t="s">
        <v>1229</v>
      </c>
      <c r="J18" s="100" t="s">
        <v>1165</v>
      </c>
      <c r="K18" s="100" t="s">
        <v>1166</v>
      </c>
      <c r="L18" s="100"/>
      <c r="M18" s="100"/>
      <c r="N18" s="101"/>
      <c r="O18" s="101"/>
      <c r="P18" s="101"/>
      <c r="Q18" s="101"/>
      <c r="R18" s="102"/>
      <c r="S18" s="102"/>
      <c r="T18" s="102"/>
      <c r="U18" s="102"/>
      <c r="V18" s="103"/>
      <c r="W18" s="103"/>
      <c r="X18" s="103"/>
      <c r="Y18" s="103"/>
      <c r="Z18" s="104"/>
      <c r="AA18" s="104"/>
      <c r="AB18" s="104"/>
      <c r="AC18" s="104" t="s">
        <v>1230</v>
      </c>
      <c r="AD18" s="105" t="s">
        <v>673</v>
      </c>
      <c r="AE18" s="105" t="s">
        <v>674</v>
      </c>
      <c r="AF18" s="105"/>
      <c r="AG18" s="105"/>
      <c r="AH18" s="106" t="s">
        <v>833</v>
      </c>
      <c r="AI18" s="106"/>
      <c r="AJ18" s="106"/>
      <c r="AK18" s="106"/>
      <c r="AL18" s="107" t="s">
        <v>580</v>
      </c>
      <c r="AM18" s="121" t="s">
        <v>1231</v>
      </c>
      <c r="AN18" s="107" t="s">
        <v>580</v>
      </c>
      <c r="AO18" s="107"/>
      <c r="AP18" s="108" t="s">
        <v>1232</v>
      </c>
      <c r="AQ18" s="122" t="s">
        <v>1233</v>
      </c>
      <c r="AR18" s="108" t="s">
        <v>1232</v>
      </c>
      <c r="AS18" s="108"/>
      <c r="AT18" s="109" t="s">
        <v>369</v>
      </c>
      <c r="AU18" s="123" t="s">
        <v>325</v>
      </c>
      <c r="AV18" s="109"/>
      <c r="AW18" s="109"/>
      <c r="AX18" s="110" t="s">
        <v>369</v>
      </c>
      <c r="AY18" s="124" t="s">
        <v>325</v>
      </c>
      <c r="AZ18" s="110"/>
      <c r="BA18" s="110"/>
      <c r="BB18" s="111" t="s">
        <v>369</v>
      </c>
      <c r="BC18" s="125" t="s">
        <v>325</v>
      </c>
      <c r="BD18" s="111"/>
      <c r="BE18" s="111"/>
      <c r="BF18" s="112" t="s">
        <v>369</v>
      </c>
      <c r="BG18" s="126" t="s">
        <v>325</v>
      </c>
      <c r="BH18" s="112"/>
      <c r="BI18" s="112"/>
      <c r="BJ18" s="113" t="s">
        <v>1214</v>
      </c>
      <c r="BK18" s="127" t="s">
        <v>394</v>
      </c>
      <c r="BL18" s="113"/>
      <c r="BM18" s="113"/>
      <c r="BN18" s="99"/>
      <c r="BO18" s="99"/>
      <c r="BP18" s="99"/>
      <c r="BQ18" s="99" t="s">
        <v>16</v>
      </c>
      <c r="BR18" s="114"/>
      <c r="BS18" s="114"/>
      <c r="BT18" s="114"/>
      <c r="BU18" s="114"/>
      <c r="BV18" s="87" t="s">
        <v>1109</v>
      </c>
      <c r="BW18" s="88" t="s">
        <v>1167</v>
      </c>
      <c r="BX18" s="87" t="s">
        <v>1109</v>
      </c>
      <c r="BY18" s="88"/>
      <c r="BZ18" s="115"/>
      <c r="CA18" s="115"/>
      <c r="CB18" s="115"/>
      <c r="CC18" s="115"/>
      <c r="CD18" s="99" t="s">
        <v>1208</v>
      </c>
      <c r="CE18" s="99" t="s">
        <v>1216</v>
      </c>
      <c r="CF18" s="99"/>
      <c r="CG18" s="132" t="s">
        <v>1234</v>
      </c>
      <c r="CH18" s="116"/>
      <c r="CI18" s="116"/>
      <c r="CJ18" s="116"/>
      <c r="CK18" s="116" t="s">
        <v>1229</v>
      </c>
      <c r="CL18" s="117"/>
      <c r="CM18" s="117"/>
      <c r="CN18" s="117"/>
      <c r="CO18" s="117" t="s">
        <v>1229</v>
      </c>
      <c r="CP18" s="88"/>
      <c r="CQ18" s="88"/>
      <c r="CR18" s="88"/>
      <c r="CS18" s="88" t="s">
        <v>1229</v>
      </c>
      <c r="CT18" s="114"/>
      <c r="CU18" s="114"/>
      <c r="CV18" s="114"/>
      <c r="CW18" s="114" t="s">
        <v>1229</v>
      </c>
      <c r="CX18" s="118"/>
      <c r="CY18" s="118"/>
      <c r="CZ18" s="118"/>
      <c r="DA18" s="118" t="s">
        <v>16</v>
      </c>
      <c r="DB18" s="119"/>
      <c r="DC18" s="119"/>
      <c r="DD18" s="119"/>
      <c r="DE18" s="119" t="s">
        <v>16</v>
      </c>
    </row>
    <row r="19" s="120" customFormat="true" ht="15.95" hidden="false" customHeight="true" outlineLevel="0" collapsed="false">
      <c r="A19" s="97" t="s">
        <v>1235</v>
      </c>
      <c r="B19" s="98" t="s">
        <v>1236</v>
      </c>
      <c r="C19" s="98" t="s">
        <v>1237</v>
      </c>
      <c r="D19" s="98"/>
      <c r="E19" s="98"/>
      <c r="F19" s="99"/>
      <c r="G19" s="99"/>
      <c r="H19" s="99"/>
      <c r="I19" s="99"/>
      <c r="J19" s="100"/>
      <c r="K19" s="100"/>
      <c r="L19" s="100"/>
      <c r="M19" s="100"/>
      <c r="N19" s="101"/>
      <c r="O19" s="101"/>
      <c r="P19" s="101"/>
      <c r="Q19" s="101"/>
      <c r="R19" s="102"/>
      <c r="S19" s="102"/>
      <c r="T19" s="102"/>
      <c r="U19" s="102"/>
      <c r="V19" s="103"/>
      <c r="W19" s="103"/>
      <c r="X19" s="103"/>
      <c r="Y19" s="103"/>
      <c r="Z19" s="104"/>
      <c r="AA19" s="104"/>
      <c r="AB19" s="104"/>
      <c r="AC19" s="104"/>
      <c r="AD19" s="105" t="s">
        <v>666</v>
      </c>
      <c r="AE19" s="105" t="s">
        <v>667</v>
      </c>
      <c r="AF19" s="105"/>
      <c r="AG19" s="105"/>
      <c r="AH19" s="106" t="s">
        <v>822</v>
      </c>
      <c r="AI19" s="106"/>
      <c r="AJ19" s="106"/>
      <c r="AK19" s="106"/>
      <c r="AL19" s="107" t="s">
        <v>616</v>
      </c>
      <c r="AM19" s="121" t="s">
        <v>1238</v>
      </c>
      <c r="AN19" s="107" t="s">
        <v>616</v>
      </c>
      <c r="AO19" s="121" t="s">
        <v>51</v>
      </c>
      <c r="AP19" s="108" t="s">
        <v>286</v>
      </c>
      <c r="AQ19" s="122" t="s">
        <v>238</v>
      </c>
      <c r="AR19" s="108"/>
      <c r="AS19" s="122" t="s">
        <v>62</v>
      </c>
      <c r="AT19" s="109" t="s">
        <v>370</v>
      </c>
      <c r="AU19" s="123" t="s">
        <v>326</v>
      </c>
      <c r="AV19" s="109"/>
      <c r="AW19" s="109"/>
      <c r="AX19" s="110" t="s">
        <v>370</v>
      </c>
      <c r="AY19" s="124" t="s">
        <v>326</v>
      </c>
      <c r="AZ19" s="110"/>
      <c r="BA19" s="110"/>
      <c r="BB19" s="111" t="s">
        <v>370</v>
      </c>
      <c r="BC19" s="125" t="s">
        <v>326</v>
      </c>
      <c r="BD19" s="111"/>
      <c r="BE19" s="111"/>
      <c r="BF19" s="112" t="s">
        <v>370</v>
      </c>
      <c r="BG19" s="126" t="s">
        <v>326</v>
      </c>
      <c r="BH19" s="112"/>
      <c r="BI19" s="112"/>
      <c r="BJ19" s="113" t="s">
        <v>368</v>
      </c>
      <c r="BK19" s="127" t="s">
        <v>324</v>
      </c>
      <c r="BL19" s="113"/>
      <c r="BM19" s="113"/>
      <c r="BN19" s="99"/>
      <c r="BO19" s="99"/>
      <c r="BP19" s="99"/>
      <c r="BQ19" s="99"/>
      <c r="BR19" s="114"/>
      <c r="BS19" s="114"/>
      <c r="BT19" s="114"/>
      <c r="BU19" s="114"/>
      <c r="BV19" s="87" t="s">
        <v>1091</v>
      </c>
      <c r="BW19" s="88" t="s">
        <v>1236</v>
      </c>
      <c r="BX19" s="87" t="s">
        <v>1091</v>
      </c>
      <c r="BY19" s="88"/>
      <c r="BZ19" s="115"/>
      <c r="CA19" s="115"/>
      <c r="CB19" s="115"/>
      <c r="CC19" s="129" t="s">
        <v>84</v>
      </c>
      <c r="CD19" s="99" t="s">
        <v>495</v>
      </c>
      <c r="CE19" s="99"/>
      <c r="CF19" s="99"/>
      <c r="CG19" s="99" t="s">
        <v>465</v>
      </c>
      <c r="CH19" s="116"/>
      <c r="CI19" s="116"/>
      <c r="CJ19" s="116"/>
      <c r="CK19" s="116"/>
      <c r="CL19" s="117"/>
      <c r="CM19" s="117"/>
      <c r="CN19" s="117"/>
      <c r="CO19" s="117"/>
      <c r="CP19" s="88"/>
      <c r="CQ19" s="88"/>
      <c r="CR19" s="88"/>
      <c r="CS19" s="88"/>
      <c r="CT19" s="114"/>
      <c r="CU19" s="114"/>
      <c r="CV19" s="114"/>
      <c r="CW19" s="114"/>
      <c r="CX19" s="118"/>
      <c r="CY19" s="118"/>
      <c r="CZ19" s="118"/>
      <c r="DA19" s="118"/>
      <c r="DB19" s="119"/>
      <c r="DC19" s="119"/>
      <c r="DD19" s="119"/>
      <c r="DE19" s="119"/>
    </row>
    <row r="20" s="120" customFormat="true" ht="15.95" hidden="false" customHeight="true" outlineLevel="0" collapsed="false">
      <c r="A20" s="97" t="s">
        <v>1239</v>
      </c>
      <c r="B20" s="98" t="s">
        <v>1240</v>
      </c>
      <c r="C20" s="98" t="s">
        <v>1241</v>
      </c>
      <c r="D20" s="98"/>
      <c r="E20" s="98"/>
      <c r="F20" s="99"/>
      <c r="G20" s="99"/>
      <c r="H20" s="99"/>
      <c r="I20" s="99"/>
      <c r="J20" s="100"/>
      <c r="K20" s="100"/>
      <c r="L20" s="100"/>
      <c r="M20" s="100"/>
      <c r="N20" s="101"/>
      <c r="O20" s="101"/>
      <c r="P20" s="101"/>
      <c r="Q20" s="101"/>
      <c r="R20" s="102"/>
      <c r="S20" s="102"/>
      <c r="T20" s="102"/>
      <c r="U20" s="102"/>
      <c r="V20" s="103"/>
      <c r="W20" s="103"/>
      <c r="X20" s="103"/>
      <c r="Y20" s="103"/>
      <c r="Z20" s="104"/>
      <c r="AA20" s="104"/>
      <c r="AB20" s="104"/>
      <c r="AC20" s="134" t="s">
        <v>135</v>
      </c>
      <c r="AD20" s="105" t="s">
        <v>668</v>
      </c>
      <c r="AE20" s="105"/>
      <c r="AF20" s="105"/>
      <c r="AG20" s="105"/>
      <c r="AH20" s="106" t="s">
        <v>843</v>
      </c>
      <c r="AI20" s="106"/>
      <c r="AJ20" s="106"/>
      <c r="AK20" s="106"/>
      <c r="AL20" s="107" t="s">
        <v>571</v>
      </c>
      <c r="AM20" s="107"/>
      <c r="AN20" s="107"/>
      <c r="AO20" s="107"/>
      <c r="AP20" s="108" t="s">
        <v>290</v>
      </c>
      <c r="AQ20" s="108" t="s">
        <v>240</v>
      </c>
      <c r="AR20" s="108"/>
      <c r="AS20" s="108"/>
      <c r="AT20" s="109" t="s">
        <v>406</v>
      </c>
      <c r="AU20" s="123" t="s">
        <v>308</v>
      </c>
      <c r="AV20" s="109"/>
      <c r="AW20" s="109"/>
      <c r="AX20" s="110" t="s">
        <v>394</v>
      </c>
      <c r="AY20" s="124" t="s">
        <v>350</v>
      </c>
      <c r="AZ20" s="110"/>
      <c r="BA20" s="110"/>
      <c r="BB20" s="111" t="s">
        <v>394</v>
      </c>
      <c r="BC20" s="125" t="s">
        <v>350</v>
      </c>
      <c r="BD20" s="111"/>
      <c r="BE20" s="111"/>
      <c r="BF20" s="112" t="s">
        <v>394</v>
      </c>
      <c r="BG20" s="126" t="s">
        <v>350</v>
      </c>
      <c r="BH20" s="112"/>
      <c r="BI20" s="112"/>
      <c r="BJ20" s="113" t="s">
        <v>402</v>
      </c>
      <c r="BK20" s="127" t="s">
        <v>358</v>
      </c>
      <c r="BL20" s="113"/>
      <c r="BM20" s="113"/>
      <c r="BN20" s="99"/>
      <c r="BO20" s="99"/>
      <c r="BP20" s="99"/>
      <c r="BQ20" s="99" t="s">
        <v>1242</v>
      </c>
      <c r="BR20" s="114"/>
      <c r="BS20" s="114"/>
      <c r="BT20" s="114"/>
      <c r="BU20" s="128" t="s">
        <v>135</v>
      </c>
      <c r="BV20" s="87" t="s">
        <v>1099</v>
      </c>
      <c r="BW20" s="88" t="s">
        <v>1240</v>
      </c>
      <c r="BX20" s="87" t="s">
        <v>1099</v>
      </c>
      <c r="BY20" s="88"/>
      <c r="BZ20" s="115"/>
      <c r="CA20" s="115"/>
      <c r="CB20" s="115"/>
      <c r="CC20" s="129" t="s">
        <v>135</v>
      </c>
      <c r="CD20" s="99" t="s">
        <v>474</v>
      </c>
      <c r="CE20" s="99"/>
      <c r="CF20" s="99"/>
      <c r="CG20" s="99"/>
      <c r="CH20" s="116"/>
      <c r="CI20" s="116"/>
      <c r="CJ20" s="116"/>
      <c r="CK20" s="116"/>
      <c r="CL20" s="117"/>
      <c r="CM20" s="117"/>
      <c r="CN20" s="117"/>
      <c r="CO20" s="117"/>
      <c r="CP20" s="88"/>
      <c r="CQ20" s="88"/>
      <c r="CR20" s="88"/>
      <c r="CS20" s="88"/>
      <c r="CT20" s="114"/>
      <c r="CU20" s="114"/>
      <c r="CV20" s="114"/>
      <c r="CW20" s="114"/>
      <c r="CX20" s="118"/>
      <c r="CY20" s="118"/>
      <c r="CZ20" s="118"/>
      <c r="DA20" s="130" t="s">
        <v>1242</v>
      </c>
      <c r="DB20" s="119"/>
      <c r="DC20" s="119"/>
      <c r="DD20" s="119"/>
      <c r="DE20" s="131" t="s">
        <v>1242</v>
      </c>
    </row>
    <row r="21" s="120" customFormat="true" ht="15.95" hidden="false" customHeight="true" outlineLevel="0" collapsed="false">
      <c r="A21" s="97" t="s">
        <v>1243</v>
      </c>
      <c r="B21" s="98" t="s">
        <v>1244</v>
      </c>
      <c r="C21" s="98" t="s">
        <v>1132</v>
      </c>
      <c r="D21" s="98"/>
      <c r="E21" s="98"/>
      <c r="F21" s="99"/>
      <c r="G21" s="99"/>
      <c r="H21" s="99"/>
      <c r="I21" s="99"/>
      <c r="J21" s="100"/>
      <c r="K21" s="100"/>
      <c r="L21" s="100"/>
      <c r="M21" s="100"/>
      <c r="N21" s="101"/>
      <c r="O21" s="101"/>
      <c r="P21" s="101"/>
      <c r="Q21" s="101"/>
      <c r="R21" s="102"/>
      <c r="S21" s="102"/>
      <c r="T21" s="102"/>
      <c r="U21" s="102"/>
      <c r="V21" s="103"/>
      <c r="W21" s="103"/>
      <c r="X21" s="103"/>
      <c r="Y21" s="103"/>
      <c r="Z21" s="104"/>
      <c r="AA21" s="104"/>
      <c r="AB21" s="104"/>
      <c r="AC21" s="104"/>
      <c r="AD21" s="105" t="s">
        <v>675</v>
      </c>
      <c r="AE21" s="105" t="s">
        <v>676</v>
      </c>
      <c r="AF21" s="105"/>
      <c r="AG21" s="105"/>
      <c r="AH21" s="106" t="s">
        <v>803</v>
      </c>
      <c r="AI21" s="106"/>
      <c r="AJ21" s="106"/>
      <c r="AK21" s="106"/>
      <c r="AL21" s="107" t="s">
        <v>613</v>
      </c>
      <c r="AM21" s="107"/>
      <c r="AN21" s="107"/>
      <c r="AO21" s="107"/>
      <c r="AP21" s="108" t="s">
        <v>292</v>
      </c>
      <c r="AQ21" s="108" t="s">
        <v>242</v>
      </c>
      <c r="AR21" s="108"/>
      <c r="AS21" s="108"/>
      <c r="AT21" s="109" t="s">
        <v>365</v>
      </c>
      <c r="AU21" s="109" t="s">
        <v>321</v>
      </c>
      <c r="AV21" s="109"/>
      <c r="AW21" s="109"/>
      <c r="AX21" s="110" t="s">
        <v>365</v>
      </c>
      <c r="AY21" s="110" t="s">
        <v>321</v>
      </c>
      <c r="AZ21" s="110"/>
      <c r="BA21" s="110"/>
      <c r="BB21" s="111" t="s">
        <v>365</v>
      </c>
      <c r="BC21" s="111" t="s">
        <v>321</v>
      </c>
      <c r="BD21" s="111"/>
      <c r="BE21" s="111"/>
      <c r="BF21" s="112" t="s">
        <v>365</v>
      </c>
      <c r="BG21" s="112" t="s">
        <v>321</v>
      </c>
      <c r="BH21" s="112"/>
      <c r="BI21" s="112"/>
      <c r="BJ21" s="113" t="s">
        <v>390</v>
      </c>
      <c r="BK21" s="113" t="s">
        <v>346</v>
      </c>
      <c r="BL21" s="113"/>
      <c r="BM21" s="113"/>
      <c r="BN21" s="99"/>
      <c r="BO21" s="99"/>
      <c r="BP21" s="99"/>
      <c r="BQ21" s="99"/>
      <c r="BR21" s="114"/>
      <c r="BS21" s="114"/>
      <c r="BT21" s="114"/>
      <c r="BU21" s="114"/>
      <c r="BV21" s="133" t="s">
        <v>1130</v>
      </c>
      <c r="BW21" s="88" t="s">
        <v>1244</v>
      </c>
      <c r="BX21" s="133" t="s">
        <v>1130</v>
      </c>
      <c r="BY21" s="88"/>
      <c r="BZ21" s="115"/>
      <c r="CA21" s="115"/>
      <c r="CB21" s="115"/>
      <c r="CC21" s="115"/>
      <c r="CD21" s="99" t="s">
        <v>471</v>
      </c>
      <c r="CE21" s="99"/>
      <c r="CF21" s="99"/>
      <c r="CG21" s="99" t="s">
        <v>467</v>
      </c>
      <c r="CH21" s="116"/>
      <c r="CI21" s="116"/>
      <c r="CJ21" s="116"/>
      <c r="CK21" s="116"/>
      <c r="CL21" s="117"/>
      <c r="CM21" s="117"/>
      <c r="CN21" s="117"/>
      <c r="CO21" s="117"/>
      <c r="CP21" s="88"/>
      <c r="CQ21" s="88"/>
      <c r="CR21" s="88"/>
      <c r="CS21" s="88"/>
      <c r="CT21" s="114"/>
      <c r="CU21" s="114"/>
      <c r="CV21" s="114"/>
      <c r="CW21" s="114"/>
      <c r="CX21" s="118"/>
      <c r="CY21" s="118"/>
      <c r="CZ21" s="118"/>
      <c r="DA21" s="118"/>
      <c r="DB21" s="119"/>
      <c r="DC21" s="119"/>
      <c r="DD21" s="119"/>
      <c r="DE21" s="119"/>
    </row>
    <row r="22" s="120" customFormat="true" ht="15.95" hidden="false" customHeight="true" outlineLevel="0" collapsed="false">
      <c r="A22" s="97" t="s">
        <v>1245</v>
      </c>
      <c r="B22" s="98" t="s">
        <v>1246</v>
      </c>
      <c r="C22" s="98" t="s">
        <v>1247</v>
      </c>
      <c r="D22" s="98"/>
      <c r="E22" s="98"/>
      <c r="F22" s="99"/>
      <c r="G22" s="99"/>
      <c r="H22" s="99"/>
      <c r="I22" s="99"/>
      <c r="J22" s="100"/>
      <c r="K22" s="100"/>
      <c r="L22" s="100"/>
      <c r="M22" s="100"/>
      <c r="N22" s="101"/>
      <c r="O22" s="101"/>
      <c r="P22" s="101"/>
      <c r="Q22" s="101"/>
      <c r="R22" s="102"/>
      <c r="S22" s="102"/>
      <c r="T22" s="102"/>
      <c r="U22" s="102"/>
      <c r="V22" s="103"/>
      <c r="W22" s="103"/>
      <c r="X22" s="103"/>
      <c r="Y22" s="103"/>
      <c r="Z22" s="104"/>
      <c r="AA22" s="104"/>
      <c r="AB22" s="104"/>
      <c r="AC22" s="104"/>
      <c r="AD22" s="105" t="s">
        <v>697</v>
      </c>
      <c r="AE22" s="105"/>
      <c r="AF22" s="105"/>
      <c r="AG22" s="105"/>
      <c r="AH22" s="106" t="s">
        <v>845</v>
      </c>
      <c r="AI22" s="106"/>
      <c r="AJ22" s="106"/>
      <c r="AK22" s="106"/>
      <c r="AL22" s="107" t="s">
        <v>589</v>
      </c>
      <c r="AM22" s="121" t="s">
        <v>80</v>
      </c>
      <c r="AN22" s="107" t="s">
        <v>589</v>
      </c>
      <c r="AO22" s="107"/>
      <c r="AP22" s="108" t="s">
        <v>268</v>
      </c>
      <c r="AQ22" s="122" t="s">
        <v>220</v>
      </c>
      <c r="AR22" s="108"/>
      <c r="AS22" s="108"/>
      <c r="AT22" s="109" t="s">
        <v>363</v>
      </c>
      <c r="AU22" s="123" t="s">
        <v>319</v>
      </c>
      <c r="AV22" s="109"/>
      <c r="AW22" s="109" t="s">
        <v>415</v>
      </c>
      <c r="AX22" s="110" t="s">
        <v>363</v>
      </c>
      <c r="AY22" s="124" t="s">
        <v>319</v>
      </c>
      <c r="AZ22" s="110"/>
      <c r="BA22" s="110"/>
      <c r="BB22" s="111" t="s">
        <v>363</v>
      </c>
      <c r="BC22" s="125" t="s">
        <v>319</v>
      </c>
      <c r="BD22" s="111"/>
      <c r="BE22" s="111"/>
      <c r="BF22" s="112" t="s">
        <v>363</v>
      </c>
      <c r="BG22" s="126" t="s">
        <v>319</v>
      </c>
      <c r="BH22" s="112"/>
      <c r="BI22" s="112"/>
      <c r="BJ22" s="113" t="s">
        <v>370</v>
      </c>
      <c r="BK22" s="127" t="s">
        <v>326</v>
      </c>
      <c r="BL22" s="113"/>
      <c r="BM22" s="113"/>
      <c r="BN22" s="99"/>
      <c r="BO22" s="99"/>
      <c r="BP22" s="99"/>
      <c r="BQ22" s="99" t="s">
        <v>713</v>
      </c>
      <c r="BR22" s="114"/>
      <c r="BS22" s="114"/>
      <c r="BT22" s="114"/>
      <c r="BU22" s="114"/>
      <c r="BV22" s="87" t="s">
        <v>1101</v>
      </c>
      <c r="BW22" s="88" t="s">
        <v>1246</v>
      </c>
      <c r="BX22" s="87" t="s">
        <v>1101</v>
      </c>
      <c r="BY22" s="88"/>
      <c r="BZ22" s="115"/>
      <c r="CA22" s="115"/>
      <c r="CB22" s="115"/>
      <c r="CC22" s="115"/>
      <c r="CD22" s="99" t="s">
        <v>476</v>
      </c>
      <c r="CE22" s="99"/>
      <c r="CF22" s="99"/>
      <c r="CG22" s="132" t="s">
        <v>498</v>
      </c>
      <c r="CH22" s="116"/>
      <c r="CI22" s="116"/>
      <c r="CJ22" s="116"/>
      <c r="CK22" s="116"/>
      <c r="CL22" s="117"/>
      <c r="CM22" s="117"/>
      <c r="CN22" s="117"/>
      <c r="CO22" s="117"/>
      <c r="CP22" s="88"/>
      <c r="CQ22" s="88"/>
      <c r="CR22" s="88"/>
      <c r="CS22" s="88"/>
      <c r="CT22" s="114"/>
      <c r="CU22" s="114"/>
      <c r="CV22" s="114"/>
      <c r="CW22" s="114"/>
      <c r="CX22" s="118"/>
      <c r="CY22" s="118"/>
      <c r="CZ22" s="118"/>
      <c r="DA22" s="118" t="s">
        <v>713</v>
      </c>
      <c r="DB22" s="119"/>
      <c r="DC22" s="119"/>
      <c r="DD22" s="119"/>
      <c r="DE22" s="119" t="s">
        <v>713</v>
      </c>
    </row>
    <row r="23" s="120" customFormat="true" ht="15.95" hidden="false" customHeight="true" outlineLevel="0" collapsed="false">
      <c r="A23" s="97" t="s">
        <v>1248</v>
      </c>
      <c r="B23" s="98" t="s">
        <v>1249</v>
      </c>
      <c r="C23" s="98" t="s">
        <v>1250</v>
      </c>
      <c r="D23" s="98"/>
      <c r="E23" s="98"/>
      <c r="F23" s="99"/>
      <c r="G23" s="99"/>
      <c r="H23" s="99"/>
      <c r="I23" s="99"/>
      <c r="J23" s="100"/>
      <c r="K23" s="100"/>
      <c r="L23" s="100"/>
      <c r="M23" s="100"/>
      <c r="N23" s="101"/>
      <c r="O23" s="101"/>
      <c r="P23" s="101"/>
      <c r="Q23" s="101"/>
      <c r="R23" s="102"/>
      <c r="S23" s="102"/>
      <c r="T23" s="102"/>
      <c r="U23" s="102"/>
      <c r="V23" s="103"/>
      <c r="W23" s="103"/>
      <c r="X23" s="103"/>
      <c r="Y23" s="103"/>
      <c r="Z23" s="104"/>
      <c r="AA23" s="104"/>
      <c r="AB23" s="104"/>
      <c r="AC23" s="104"/>
      <c r="AD23" s="105" t="s">
        <v>689</v>
      </c>
      <c r="AE23" s="105"/>
      <c r="AF23" s="105"/>
      <c r="AG23" s="105"/>
      <c r="AH23" s="106" t="s">
        <v>859</v>
      </c>
      <c r="AI23" s="106"/>
      <c r="AJ23" s="106"/>
      <c r="AK23" s="106"/>
      <c r="AL23" s="107" t="s">
        <v>565</v>
      </c>
      <c r="AM23" s="121" t="s">
        <v>644</v>
      </c>
      <c r="AN23" s="107" t="s">
        <v>565</v>
      </c>
      <c r="AO23" s="107"/>
      <c r="AP23" s="108" t="s">
        <v>302</v>
      </c>
      <c r="AQ23" s="122" t="s">
        <v>252</v>
      </c>
      <c r="AR23" s="108"/>
      <c r="AS23" s="108"/>
      <c r="AT23" s="109" t="s">
        <v>374</v>
      </c>
      <c r="AU23" s="123" t="s">
        <v>330</v>
      </c>
      <c r="AV23" s="109"/>
      <c r="AW23" s="109"/>
      <c r="AX23" s="110" t="s">
        <v>374</v>
      </c>
      <c r="AY23" s="124" t="s">
        <v>330</v>
      </c>
      <c r="AZ23" s="110"/>
      <c r="BA23" s="110"/>
      <c r="BB23" s="111" t="s">
        <v>374</v>
      </c>
      <c r="BC23" s="125" t="s">
        <v>330</v>
      </c>
      <c r="BD23" s="111"/>
      <c r="BE23" s="111"/>
      <c r="BF23" s="112" t="s">
        <v>374</v>
      </c>
      <c r="BG23" s="126" t="s">
        <v>330</v>
      </c>
      <c r="BH23" s="112"/>
      <c r="BI23" s="112"/>
      <c r="BJ23" s="113" t="s">
        <v>398</v>
      </c>
      <c r="BK23" s="127" t="s">
        <v>354</v>
      </c>
      <c r="BL23" s="113"/>
      <c r="BM23" s="113"/>
      <c r="BN23" s="99"/>
      <c r="BO23" s="99"/>
      <c r="BP23" s="99"/>
      <c r="BQ23" s="99" t="s">
        <v>1230</v>
      </c>
      <c r="BR23" s="114"/>
      <c r="BS23" s="114"/>
      <c r="BT23" s="114"/>
      <c r="BU23" s="114"/>
      <c r="BV23" s="87" t="s">
        <v>1097</v>
      </c>
      <c r="BW23" s="88" t="s">
        <v>1249</v>
      </c>
      <c r="BX23" s="87" t="s">
        <v>1097</v>
      </c>
      <c r="BY23" s="88"/>
      <c r="BZ23" s="115"/>
      <c r="CA23" s="115"/>
      <c r="CB23" s="115"/>
      <c r="CC23" s="115"/>
      <c r="CD23" s="99" t="s">
        <v>475</v>
      </c>
      <c r="CE23" s="99"/>
      <c r="CF23" s="99"/>
      <c r="CG23" s="99"/>
      <c r="CH23" s="116"/>
      <c r="CI23" s="116"/>
      <c r="CJ23" s="116"/>
      <c r="CK23" s="116"/>
      <c r="CL23" s="117"/>
      <c r="CM23" s="117"/>
      <c r="CN23" s="117"/>
      <c r="CO23" s="117"/>
      <c r="CP23" s="88"/>
      <c r="CQ23" s="88"/>
      <c r="CR23" s="88"/>
      <c r="CS23" s="88"/>
      <c r="CT23" s="114"/>
      <c r="CU23" s="114"/>
      <c r="CV23" s="114"/>
      <c r="CW23" s="114"/>
      <c r="CX23" s="118"/>
      <c r="CY23" s="118"/>
      <c r="CZ23" s="118"/>
      <c r="DA23" s="118" t="s">
        <v>1230</v>
      </c>
      <c r="DB23" s="119"/>
      <c r="DC23" s="119"/>
      <c r="DD23" s="119"/>
      <c r="DE23" s="119" t="s">
        <v>1230</v>
      </c>
    </row>
    <row r="24" s="120" customFormat="true" ht="15.95" hidden="false" customHeight="true" outlineLevel="0" collapsed="false">
      <c r="A24" s="97" t="s">
        <v>1251</v>
      </c>
      <c r="B24" s="98" t="s">
        <v>1252</v>
      </c>
      <c r="C24" s="98" t="s">
        <v>1253</v>
      </c>
      <c r="D24" s="98"/>
      <c r="E24" s="98"/>
      <c r="F24" s="99"/>
      <c r="G24" s="99"/>
      <c r="H24" s="99"/>
      <c r="I24" s="99"/>
      <c r="J24" s="100" t="s">
        <v>1254</v>
      </c>
      <c r="K24" s="100" t="s">
        <v>1255</v>
      </c>
      <c r="L24" s="100"/>
      <c r="M24" s="100"/>
      <c r="N24" s="101"/>
      <c r="O24" s="101"/>
      <c r="P24" s="101"/>
      <c r="Q24" s="101"/>
      <c r="R24" s="102"/>
      <c r="S24" s="102"/>
      <c r="T24" s="102"/>
      <c r="U24" s="102"/>
      <c r="V24" s="103"/>
      <c r="W24" s="103"/>
      <c r="X24" s="103"/>
      <c r="Y24" s="103"/>
      <c r="Z24" s="104"/>
      <c r="AA24" s="104"/>
      <c r="AB24" s="104"/>
      <c r="AC24" s="104"/>
      <c r="AD24" s="105" t="s">
        <v>680</v>
      </c>
      <c r="AE24" s="105" t="s">
        <v>682</v>
      </c>
      <c r="AF24" s="105"/>
      <c r="AG24" s="105"/>
      <c r="AH24" s="106" t="s">
        <v>841</v>
      </c>
      <c r="AI24" s="106"/>
      <c r="AJ24" s="106"/>
      <c r="AK24" s="106"/>
      <c r="AL24" s="107" t="s">
        <v>577</v>
      </c>
      <c r="AM24" s="121" t="s">
        <v>1256</v>
      </c>
      <c r="AN24" s="107" t="s">
        <v>577</v>
      </c>
      <c r="AO24" s="107"/>
      <c r="AP24" s="108" t="s">
        <v>288</v>
      </c>
      <c r="AQ24" s="122" t="s">
        <v>204</v>
      </c>
      <c r="AR24" s="108" t="s">
        <v>288</v>
      </c>
      <c r="AS24" s="108"/>
      <c r="AT24" s="109" t="s">
        <v>388</v>
      </c>
      <c r="AU24" s="123" t="s">
        <v>344</v>
      </c>
      <c r="AV24" s="109"/>
      <c r="AW24" s="109"/>
      <c r="AX24" s="110" t="s">
        <v>388</v>
      </c>
      <c r="AY24" s="124" t="s">
        <v>344</v>
      </c>
      <c r="AZ24" s="110"/>
      <c r="BA24" s="110"/>
      <c r="BB24" s="111" t="s">
        <v>388</v>
      </c>
      <c r="BC24" s="125" t="s">
        <v>344</v>
      </c>
      <c r="BD24" s="111"/>
      <c r="BE24" s="111"/>
      <c r="BF24" s="112" t="s">
        <v>388</v>
      </c>
      <c r="BG24" s="126" t="s">
        <v>344</v>
      </c>
      <c r="BH24" s="112"/>
      <c r="BI24" s="112"/>
      <c r="BJ24" s="113" t="s">
        <v>385</v>
      </c>
      <c r="BK24" s="127" t="s">
        <v>341</v>
      </c>
      <c r="BL24" s="113"/>
      <c r="BM24" s="113"/>
      <c r="BN24" s="99"/>
      <c r="BO24" s="99"/>
      <c r="BP24" s="99"/>
      <c r="BQ24" s="99" t="s">
        <v>55</v>
      </c>
      <c r="BR24" s="114"/>
      <c r="BS24" s="114"/>
      <c r="BT24" s="114"/>
      <c r="BU24" s="114"/>
      <c r="BV24" s="87" t="s">
        <v>1121</v>
      </c>
      <c r="BW24" s="88" t="s">
        <v>1252</v>
      </c>
      <c r="BX24" s="87" t="s">
        <v>1121</v>
      </c>
      <c r="BY24" s="88"/>
      <c r="BZ24" s="115"/>
      <c r="CA24" s="115"/>
      <c r="CB24" s="115"/>
      <c r="CC24" s="115"/>
      <c r="CD24" s="99" t="s">
        <v>1257</v>
      </c>
      <c r="CE24" s="99" t="s">
        <v>1258</v>
      </c>
      <c r="CF24" s="99"/>
      <c r="CG24" s="132" t="s">
        <v>464</v>
      </c>
      <c r="CH24" s="116"/>
      <c r="CI24" s="116"/>
      <c r="CJ24" s="116"/>
      <c r="CK24" s="116"/>
      <c r="CL24" s="117"/>
      <c r="CM24" s="117"/>
      <c r="CN24" s="117"/>
      <c r="CO24" s="117"/>
      <c r="CP24" s="88"/>
      <c r="CQ24" s="88"/>
      <c r="CR24" s="88"/>
      <c r="CS24" s="88"/>
      <c r="CT24" s="114"/>
      <c r="CU24" s="114"/>
      <c r="CV24" s="114"/>
      <c r="CW24" s="114"/>
      <c r="CX24" s="118"/>
      <c r="CY24" s="118"/>
      <c r="CZ24" s="118"/>
      <c r="DA24" s="118" t="s">
        <v>1259</v>
      </c>
      <c r="DB24" s="119"/>
      <c r="DC24" s="119"/>
      <c r="DD24" s="119"/>
      <c r="DE24" s="119" t="s">
        <v>1259</v>
      </c>
    </row>
    <row r="25" s="120" customFormat="true" ht="15.95" hidden="false" customHeight="true" outlineLevel="0" collapsed="false">
      <c r="A25" s="97" t="s">
        <v>1260</v>
      </c>
      <c r="B25" s="98" t="s">
        <v>1261</v>
      </c>
      <c r="C25" s="98" t="s">
        <v>1135</v>
      </c>
      <c r="D25" s="98"/>
      <c r="E25" s="98"/>
      <c r="F25" s="99"/>
      <c r="G25" s="99"/>
      <c r="H25" s="99"/>
      <c r="I25" s="99"/>
      <c r="J25" s="100"/>
      <c r="K25" s="100"/>
      <c r="L25" s="100"/>
      <c r="M25" s="100"/>
      <c r="N25" s="101"/>
      <c r="O25" s="101"/>
      <c r="P25" s="101"/>
      <c r="Q25" s="101"/>
      <c r="R25" s="102"/>
      <c r="S25" s="102"/>
      <c r="T25" s="102"/>
      <c r="U25" s="102"/>
      <c r="V25" s="103"/>
      <c r="W25" s="103"/>
      <c r="X25" s="103"/>
      <c r="Y25" s="103"/>
      <c r="Z25" s="104"/>
      <c r="AA25" s="104"/>
      <c r="AB25" s="104"/>
      <c r="AC25" s="104"/>
      <c r="AD25" s="105" t="s">
        <v>688</v>
      </c>
      <c r="AE25" s="105"/>
      <c r="AF25" s="105"/>
      <c r="AG25" s="105"/>
      <c r="AH25" s="106" t="s">
        <v>818</v>
      </c>
      <c r="AI25" s="106"/>
      <c r="AJ25" s="106"/>
      <c r="AK25" s="106"/>
      <c r="AL25" s="107" t="s">
        <v>517</v>
      </c>
      <c r="AM25" s="121" t="s">
        <v>1262</v>
      </c>
      <c r="AN25" s="107" t="s">
        <v>517</v>
      </c>
      <c r="AO25" s="107"/>
      <c r="AP25" s="108" t="s">
        <v>298</v>
      </c>
      <c r="AQ25" s="122" t="s">
        <v>248</v>
      </c>
      <c r="AR25" s="108"/>
      <c r="AS25" s="108"/>
      <c r="AT25" s="109" t="s">
        <v>389</v>
      </c>
      <c r="AU25" s="123" t="s">
        <v>345</v>
      </c>
      <c r="AV25" s="109"/>
      <c r="AW25" s="109"/>
      <c r="AX25" s="110" t="s">
        <v>389</v>
      </c>
      <c r="AY25" s="124" t="s">
        <v>345</v>
      </c>
      <c r="AZ25" s="110"/>
      <c r="BA25" s="110"/>
      <c r="BB25" s="111" t="s">
        <v>389</v>
      </c>
      <c r="BC25" s="125" t="s">
        <v>345</v>
      </c>
      <c r="BD25" s="111"/>
      <c r="BE25" s="111"/>
      <c r="BF25" s="112" t="s">
        <v>389</v>
      </c>
      <c r="BG25" s="126" t="s">
        <v>345</v>
      </c>
      <c r="BH25" s="112"/>
      <c r="BI25" s="112"/>
      <c r="BJ25" s="113" t="s">
        <v>369</v>
      </c>
      <c r="BK25" s="127" t="s">
        <v>325</v>
      </c>
      <c r="BL25" s="113"/>
      <c r="BM25" s="113"/>
      <c r="BN25" s="99"/>
      <c r="BO25" s="99"/>
      <c r="BP25" s="99"/>
      <c r="BQ25" s="99"/>
      <c r="BR25" s="114"/>
      <c r="BS25" s="114"/>
      <c r="BT25" s="114"/>
      <c r="BU25" s="114"/>
      <c r="BV25" s="133" t="s">
        <v>1133</v>
      </c>
      <c r="BW25" s="88" t="s">
        <v>1261</v>
      </c>
      <c r="BX25" s="133" t="s">
        <v>1133</v>
      </c>
      <c r="BY25" s="88"/>
      <c r="BZ25" s="115"/>
      <c r="CA25" s="115"/>
      <c r="CB25" s="115"/>
      <c r="CC25" s="129" t="s">
        <v>94</v>
      </c>
      <c r="CD25" s="99" t="s">
        <v>488</v>
      </c>
      <c r="CE25" s="99"/>
      <c r="CF25" s="99"/>
      <c r="CG25" s="99"/>
      <c r="CH25" s="116"/>
      <c r="CI25" s="116"/>
      <c r="CJ25" s="116"/>
      <c r="CK25" s="116"/>
      <c r="CL25" s="117"/>
      <c r="CM25" s="117"/>
      <c r="CN25" s="117"/>
      <c r="CO25" s="117"/>
      <c r="CP25" s="88"/>
      <c r="CQ25" s="88"/>
      <c r="CR25" s="88"/>
      <c r="CS25" s="88"/>
      <c r="CT25" s="114"/>
      <c r="CU25" s="114"/>
      <c r="CV25" s="114"/>
      <c r="CW25" s="114"/>
      <c r="CX25" s="118"/>
      <c r="CY25" s="118"/>
      <c r="CZ25" s="118"/>
      <c r="DA25" s="118" t="s">
        <v>1263</v>
      </c>
      <c r="DB25" s="119"/>
      <c r="DC25" s="119"/>
      <c r="DD25" s="119"/>
      <c r="DE25" s="119" t="s">
        <v>1263</v>
      </c>
    </row>
    <row r="26" s="120" customFormat="true" ht="15.95" hidden="false" customHeight="true" outlineLevel="0" collapsed="false">
      <c r="A26" s="97" t="s">
        <v>1264</v>
      </c>
      <c r="B26" s="98" t="s">
        <v>1265</v>
      </c>
      <c r="C26" s="98" t="s">
        <v>1266</v>
      </c>
      <c r="D26" s="98"/>
      <c r="E26" s="98"/>
      <c r="F26" s="99" t="s">
        <v>1254</v>
      </c>
      <c r="G26" s="99" t="s">
        <v>1255</v>
      </c>
      <c r="H26" s="99"/>
      <c r="I26" s="99"/>
      <c r="J26" s="100"/>
      <c r="K26" s="100"/>
      <c r="L26" s="100"/>
      <c r="M26" s="100"/>
      <c r="N26" s="101"/>
      <c r="O26" s="101"/>
      <c r="P26" s="101"/>
      <c r="Q26" s="101"/>
      <c r="R26" s="102"/>
      <c r="S26" s="102"/>
      <c r="T26" s="102"/>
      <c r="U26" s="102"/>
      <c r="V26" s="103"/>
      <c r="W26" s="103"/>
      <c r="X26" s="103"/>
      <c r="Y26" s="103"/>
      <c r="Z26" s="104"/>
      <c r="AA26" s="104"/>
      <c r="AB26" s="104"/>
      <c r="AC26" s="104"/>
      <c r="AD26" s="105" t="s">
        <v>700</v>
      </c>
      <c r="AE26" s="105"/>
      <c r="AF26" s="105"/>
      <c r="AG26" s="105"/>
      <c r="AH26" s="106" t="s">
        <v>904</v>
      </c>
      <c r="AI26" s="106"/>
      <c r="AJ26" s="106"/>
      <c r="AK26" s="106"/>
      <c r="AL26" s="107" t="s">
        <v>592</v>
      </c>
      <c r="AM26" s="121" t="s">
        <v>529</v>
      </c>
      <c r="AN26" s="107" t="s">
        <v>592</v>
      </c>
      <c r="AO26" s="107"/>
      <c r="AP26" s="108" t="s">
        <v>294</v>
      </c>
      <c r="AQ26" s="122" t="s">
        <v>244</v>
      </c>
      <c r="AR26" s="108"/>
      <c r="AS26" s="122" t="s">
        <v>53</v>
      </c>
      <c r="AT26" s="109" t="s">
        <v>376</v>
      </c>
      <c r="AU26" s="123" t="s">
        <v>332</v>
      </c>
      <c r="AV26" s="109"/>
      <c r="AW26" s="109"/>
      <c r="AX26" s="110" t="s">
        <v>376</v>
      </c>
      <c r="AY26" s="124" t="s">
        <v>332</v>
      </c>
      <c r="AZ26" s="110"/>
      <c r="BA26" s="110"/>
      <c r="BB26" s="111" t="s">
        <v>376</v>
      </c>
      <c r="BC26" s="125" t="s">
        <v>332</v>
      </c>
      <c r="BD26" s="111"/>
      <c r="BE26" s="111"/>
      <c r="BF26" s="112" t="s">
        <v>376</v>
      </c>
      <c r="BG26" s="126" t="s">
        <v>332</v>
      </c>
      <c r="BH26" s="112"/>
      <c r="BI26" s="112"/>
      <c r="BJ26" s="113" t="s">
        <v>391</v>
      </c>
      <c r="BK26" s="127" t="s">
        <v>347</v>
      </c>
      <c r="BL26" s="113"/>
      <c r="BM26" s="113"/>
      <c r="BN26" s="99" t="s">
        <v>1254</v>
      </c>
      <c r="BO26" s="99" t="s">
        <v>1255</v>
      </c>
      <c r="BP26" s="99"/>
      <c r="BQ26" s="99"/>
      <c r="BR26" s="114"/>
      <c r="BS26" s="114"/>
      <c r="BT26" s="114"/>
      <c r="BU26" s="114"/>
      <c r="BV26" s="87" t="s">
        <v>1089</v>
      </c>
      <c r="BW26" s="88" t="s">
        <v>1265</v>
      </c>
      <c r="BX26" s="87" t="s">
        <v>1089</v>
      </c>
      <c r="BY26" s="88"/>
      <c r="BZ26" s="115"/>
      <c r="CA26" s="115"/>
      <c r="CB26" s="115"/>
      <c r="CC26" s="115"/>
      <c r="CD26" s="99" t="s">
        <v>479</v>
      </c>
      <c r="CE26" s="99"/>
      <c r="CF26" s="99"/>
      <c r="CG26" s="99" t="s">
        <v>1267</v>
      </c>
      <c r="CH26" s="116"/>
      <c r="CI26" s="116"/>
      <c r="CJ26" s="116"/>
      <c r="CK26" s="116"/>
      <c r="CL26" s="117"/>
      <c r="CM26" s="117"/>
      <c r="CN26" s="117"/>
      <c r="CO26" s="117"/>
      <c r="CP26" s="88"/>
      <c r="CQ26" s="88"/>
      <c r="CR26" s="88"/>
      <c r="CS26" s="88"/>
      <c r="CT26" s="114"/>
      <c r="CU26" s="114"/>
      <c r="CV26" s="114"/>
      <c r="CW26" s="114"/>
      <c r="CX26" s="118" t="s">
        <v>1254</v>
      </c>
      <c r="CY26" s="118" t="s">
        <v>1255</v>
      </c>
      <c r="CZ26" s="118"/>
      <c r="DA26" s="118"/>
      <c r="DB26" s="119" t="s">
        <v>1254</v>
      </c>
      <c r="DC26" s="119" t="s">
        <v>1255</v>
      </c>
      <c r="DD26" s="119"/>
      <c r="DE26" s="119"/>
    </row>
    <row r="27" s="120" customFormat="true" ht="15.95" hidden="false" customHeight="true" outlineLevel="0" collapsed="false">
      <c r="A27" s="97" t="s">
        <v>1268</v>
      </c>
      <c r="B27" s="98" t="s">
        <v>1254</v>
      </c>
      <c r="C27" s="98" t="s">
        <v>1255</v>
      </c>
      <c r="D27" s="98"/>
      <c r="E27" s="98"/>
      <c r="F27" s="99" t="s">
        <v>1265</v>
      </c>
      <c r="G27" s="99" t="s">
        <v>1266</v>
      </c>
      <c r="H27" s="99"/>
      <c r="I27" s="99"/>
      <c r="J27" s="100" t="s">
        <v>1252</v>
      </c>
      <c r="K27" s="100" t="s">
        <v>1253</v>
      </c>
      <c r="L27" s="100"/>
      <c r="M27" s="100"/>
      <c r="N27" s="101"/>
      <c r="O27" s="101"/>
      <c r="P27" s="101"/>
      <c r="Q27" s="101"/>
      <c r="R27" s="102"/>
      <c r="S27" s="102"/>
      <c r="T27" s="102"/>
      <c r="U27" s="102"/>
      <c r="V27" s="103"/>
      <c r="W27" s="103"/>
      <c r="X27" s="103"/>
      <c r="Y27" s="103"/>
      <c r="Z27" s="104"/>
      <c r="AA27" s="104"/>
      <c r="AB27" s="104"/>
      <c r="AC27" s="104"/>
      <c r="AD27" s="105" t="s">
        <v>686</v>
      </c>
      <c r="AE27" s="105"/>
      <c r="AF27" s="105"/>
      <c r="AG27" s="105"/>
      <c r="AH27" s="106" t="s">
        <v>839</v>
      </c>
      <c r="AI27" s="106" t="s">
        <v>838</v>
      </c>
      <c r="AJ27" s="106"/>
      <c r="AK27" s="106"/>
      <c r="AL27" s="107" t="s">
        <v>532</v>
      </c>
      <c r="AM27" s="107" t="s">
        <v>1269</v>
      </c>
      <c r="AN27" s="107" t="s">
        <v>532</v>
      </c>
      <c r="AO27" s="107"/>
      <c r="AP27" s="108" t="s">
        <v>264</v>
      </c>
      <c r="AQ27" s="108"/>
      <c r="AR27" s="108"/>
      <c r="AS27" s="108"/>
      <c r="AT27" s="109" t="s">
        <v>402</v>
      </c>
      <c r="AU27" s="109" t="s">
        <v>358</v>
      </c>
      <c r="AV27" s="109"/>
      <c r="AW27" s="109"/>
      <c r="AX27" s="110" t="s">
        <v>402</v>
      </c>
      <c r="AY27" s="110" t="s">
        <v>358</v>
      </c>
      <c r="AZ27" s="110"/>
      <c r="BA27" s="110"/>
      <c r="BB27" s="111" t="s">
        <v>402</v>
      </c>
      <c r="BC27" s="111" t="s">
        <v>358</v>
      </c>
      <c r="BD27" s="111"/>
      <c r="BE27" s="111"/>
      <c r="BF27" s="112" t="s">
        <v>402</v>
      </c>
      <c r="BG27" s="112" t="s">
        <v>358</v>
      </c>
      <c r="BH27" s="112"/>
      <c r="BI27" s="112"/>
      <c r="BJ27" s="113" t="s">
        <v>400</v>
      </c>
      <c r="BK27" s="113" t="s">
        <v>356</v>
      </c>
      <c r="BL27" s="113"/>
      <c r="BM27" s="113"/>
      <c r="BN27" s="99" t="s">
        <v>1265</v>
      </c>
      <c r="BO27" s="99" t="s">
        <v>1266</v>
      </c>
      <c r="BP27" s="99"/>
      <c r="BQ27" s="99"/>
      <c r="BR27" s="114"/>
      <c r="BS27" s="114"/>
      <c r="BT27" s="114"/>
      <c r="BU27" s="114"/>
      <c r="BV27" s="87" t="s">
        <v>1255</v>
      </c>
      <c r="BW27" s="88" t="s">
        <v>1254</v>
      </c>
      <c r="BX27" s="87" t="s">
        <v>1254</v>
      </c>
      <c r="BY27" s="88"/>
      <c r="BZ27" s="115"/>
      <c r="CA27" s="115"/>
      <c r="CB27" s="115"/>
      <c r="CC27" s="129" t="s">
        <v>66</v>
      </c>
      <c r="CD27" s="99" t="s">
        <v>477</v>
      </c>
      <c r="CE27" s="99"/>
      <c r="CF27" s="99"/>
      <c r="CG27" s="99"/>
      <c r="CH27" s="116"/>
      <c r="CI27" s="116"/>
      <c r="CJ27" s="116"/>
      <c r="CK27" s="116"/>
      <c r="CL27" s="117"/>
      <c r="CM27" s="117"/>
      <c r="CN27" s="117"/>
      <c r="CO27" s="117"/>
      <c r="CP27" s="88"/>
      <c r="CQ27" s="88"/>
      <c r="CR27" s="88"/>
      <c r="CS27" s="88"/>
      <c r="CT27" s="114"/>
      <c r="CU27" s="114"/>
      <c r="CV27" s="114"/>
      <c r="CW27" s="114"/>
      <c r="CX27" s="118" t="s">
        <v>1265</v>
      </c>
      <c r="CY27" s="118" t="s">
        <v>1266</v>
      </c>
      <c r="CZ27" s="118"/>
      <c r="DA27" s="118" t="s">
        <v>1258</v>
      </c>
      <c r="DB27" s="119" t="s">
        <v>1265</v>
      </c>
      <c r="DC27" s="119" t="s">
        <v>1266</v>
      </c>
      <c r="DD27" s="119"/>
      <c r="DE27" s="119"/>
    </row>
    <row r="28" s="120" customFormat="true" ht="15" hidden="false" customHeight="false" outlineLevel="0" collapsed="false">
      <c r="A28" s="97" t="s">
        <v>1270</v>
      </c>
      <c r="B28" s="98" t="n">
        <v>1</v>
      </c>
      <c r="C28" s="98" t="s">
        <v>1271</v>
      </c>
      <c r="D28" s="98" t="n">
        <v>1</v>
      </c>
      <c r="E28" s="98"/>
      <c r="F28" s="99" t="n">
        <v>1</v>
      </c>
      <c r="G28" s="99" t="s">
        <v>1271</v>
      </c>
      <c r="H28" s="99"/>
      <c r="I28" s="99"/>
      <c r="J28" s="100" t="s">
        <v>1176</v>
      </c>
      <c r="K28" s="100" t="n">
        <v>1</v>
      </c>
      <c r="L28" s="100"/>
      <c r="M28" s="100"/>
      <c r="N28" s="101" t="n">
        <v>1</v>
      </c>
      <c r="O28" s="101" t="s">
        <v>1271</v>
      </c>
      <c r="P28" s="101" t="n">
        <v>1</v>
      </c>
      <c r="Q28" s="101" t="s">
        <v>1259</v>
      </c>
      <c r="R28" s="102" t="n">
        <v>1</v>
      </c>
      <c r="S28" s="102" t="s">
        <v>1271</v>
      </c>
      <c r="T28" s="102" t="n">
        <v>1</v>
      </c>
      <c r="U28" s="102"/>
      <c r="V28" s="103" t="n">
        <v>1</v>
      </c>
      <c r="W28" s="103" t="s">
        <v>1271</v>
      </c>
      <c r="X28" s="103" t="n">
        <v>1</v>
      </c>
      <c r="Y28" s="103"/>
      <c r="Z28" s="104" t="n">
        <v>1</v>
      </c>
      <c r="AA28" s="104" t="s">
        <v>1271</v>
      </c>
      <c r="AB28" s="104" t="n">
        <v>1</v>
      </c>
      <c r="AC28" s="104" t="s">
        <v>1258</v>
      </c>
      <c r="AD28" s="105" t="n">
        <v>1</v>
      </c>
      <c r="AE28" s="105" t="s">
        <v>1271</v>
      </c>
      <c r="AF28" s="105" t="n">
        <v>1</v>
      </c>
      <c r="AG28" s="105"/>
      <c r="AH28" s="106" t="s">
        <v>849</v>
      </c>
      <c r="AI28" s="106"/>
      <c r="AJ28" s="106"/>
      <c r="AK28" s="106"/>
      <c r="AL28" s="107" t="n">
        <v>1</v>
      </c>
      <c r="AM28" s="107" t="s">
        <v>1271</v>
      </c>
      <c r="AN28" s="107" t="n">
        <v>1</v>
      </c>
      <c r="AO28" s="107" t="s">
        <v>657</v>
      </c>
      <c r="AP28" s="108" t="n">
        <v>1</v>
      </c>
      <c r="AQ28" s="108" t="s">
        <v>1271</v>
      </c>
      <c r="AR28" s="108" t="n">
        <v>1</v>
      </c>
      <c r="AS28" s="108"/>
      <c r="AT28" s="109" t="n">
        <v>1</v>
      </c>
      <c r="AU28" s="109" t="s">
        <v>1271</v>
      </c>
      <c r="AV28" s="109" t="n">
        <v>1</v>
      </c>
      <c r="AW28" s="109"/>
      <c r="AX28" s="110" t="n">
        <v>1</v>
      </c>
      <c r="AY28" s="110" t="s">
        <v>1271</v>
      </c>
      <c r="AZ28" s="110" t="n">
        <v>1</v>
      </c>
      <c r="BA28" s="110"/>
      <c r="BB28" s="111" t="n">
        <v>1</v>
      </c>
      <c r="BC28" s="111" t="s">
        <v>1271</v>
      </c>
      <c r="BD28" s="111" t="n">
        <v>1</v>
      </c>
      <c r="BE28" s="111"/>
      <c r="BF28" s="112" t="s">
        <v>8</v>
      </c>
      <c r="BG28" s="112" t="s">
        <v>1271</v>
      </c>
      <c r="BH28" s="112" t="s">
        <v>8</v>
      </c>
      <c r="BI28" s="112"/>
      <c r="BJ28" s="113" t="n">
        <v>1</v>
      </c>
      <c r="BK28" s="113" t="s">
        <v>1271</v>
      </c>
      <c r="BL28" s="113" t="n">
        <v>1</v>
      </c>
      <c r="BM28" s="113"/>
      <c r="BN28" s="99" t="n">
        <v>1</v>
      </c>
      <c r="BO28" s="99" t="s">
        <v>1271</v>
      </c>
      <c r="BP28" s="99"/>
      <c r="BQ28" s="99" t="s">
        <v>198</v>
      </c>
      <c r="BR28" s="114" t="n">
        <v>1</v>
      </c>
      <c r="BS28" s="114" t="s">
        <v>1271</v>
      </c>
      <c r="BT28" s="114"/>
      <c r="BU28" s="114" t="s">
        <v>198</v>
      </c>
      <c r="BV28" s="87" t="n">
        <v>1</v>
      </c>
      <c r="BW28" s="88" t="s">
        <v>1271</v>
      </c>
      <c r="BX28" s="87" t="n">
        <v>1</v>
      </c>
      <c r="BY28" s="88"/>
      <c r="BZ28" s="115" t="n">
        <v>1</v>
      </c>
      <c r="CA28" s="115" t="s">
        <v>1271</v>
      </c>
      <c r="CB28" s="115" t="n">
        <v>1</v>
      </c>
      <c r="CC28" s="129" t="s">
        <v>90</v>
      </c>
      <c r="CD28" s="99" t="n">
        <v>1</v>
      </c>
      <c r="CE28" s="99" t="s">
        <v>1271</v>
      </c>
      <c r="CF28" s="99"/>
      <c r="CG28" s="132" t="s">
        <v>450</v>
      </c>
      <c r="CH28" s="116" t="n">
        <v>1</v>
      </c>
      <c r="CI28" s="116" t="s">
        <v>1271</v>
      </c>
      <c r="CJ28" s="116" t="n">
        <v>1</v>
      </c>
      <c r="CK28" s="116"/>
      <c r="CL28" s="117" t="n">
        <v>1</v>
      </c>
      <c r="CM28" s="117" t="s">
        <v>1271</v>
      </c>
      <c r="CN28" s="117" t="n">
        <v>1</v>
      </c>
      <c r="CO28" s="117"/>
      <c r="CP28" s="88" t="n">
        <v>1</v>
      </c>
      <c r="CQ28" s="88" t="s">
        <v>1271</v>
      </c>
      <c r="CR28" s="88" t="n">
        <v>1</v>
      </c>
      <c r="CS28" s="88"/>
      <c r="CT28" s="114" t="n">
        <v>1</v>
      </c>
      <c r="CU28" s="114" t="s">
        <v>1271</v>
      </c>
      <c r="CV28" s="114" t="n">
        <v>1</v>
      </c>
      <c r="CW28" s="114"/>
      <c r="CX28" s="118" t="n">
        <v>1</v>
      </c>
      <c r="CY28" s="118" t="s">
        <v>1271</v>
      </c>
      <c r="CZ28" s="118" t="n">
        <v>1</v>
      </c>
      <c r="DA28" s="118" t="s">
        <v>198</v>
      </c>
      <c r="DB28" s="119" t="s">
        <v>1272</v>
      </c>
      <c r="DC28" s="119" t="n">
        <v>1</v>
      </c>
      <c r="DD28" s="119" t="n">
        <v>1</v>
      </c>
      <c r="DE28" s="119" t="s">
        <v>198</v>
      </c>
    </row>
    <row r="29" s="120" customFormat="true" ht="15" hidden="false" customHeight="false" outlineLevel="0" collapsed="false">
      <c r="A29" s="97" t="s">
        <v>1273</v>
      </c>
      <c r="B29" s="98" t="n">
        <v>2</v>
      </c>
      <c r="C29" s="98" t="s">
        <v>1230</v>
      </c>
      <c r="D29" s="98" t="n">
        <v>2</v>
      </c>
      <c r="E29" s="98"/>
      <c r="F29" s="99" t="n">
        <v>2</v>
      </c>
      <c r="G29" s="99" t="s">
        <v>8</v>
      </c>
      <c r="H29" s="99"/>
      <c r="I29" s="99" t="s">
        <v>76</v>
      </c>
      <c r="J29" s="100" t="s">
        <v>1274</v>
      </c>
      <c r="K29" s="100" t="n">
        <v>2</v>
      </c>
      <c r="L29" s="100"/>
      <c r="M29" s="100" t="s">
        <v>1269</v>
      </c>
      <c r="N29" s="101" t="n">
        <v>2</v>
      </c>
      <c r="O29" s="101" t="s">
        <v>8</v>
      </c>
      <c r="P29" s="101" t="n">
        <v>2</v>
      </c>
      <c r="Q29" s="101" t="s">
        <v>1230</v>
      </c>
      <c r="R29" s="102" t="n">
        <v>2</v>
      </c>
      <c r="S29" s="102" t="s">
        <v>8</v>
      </c>
      <c r="T29" s="102" t="n">
        <v>2</v>
      </c>
      <c r="U29" s="102" t="s">
        <v>1230</v>
      </c>
      <c r="V29" s="103" t="n">
        <v>2</v>
      </c>
      <c r="W29" s="103" t="s">
        <v>8</v>
      </c>
      <c r="X29" s="103" t="n">
        <v>2</v>
      </c>
      <c r="Y29" s="103"/>
      <c r="Z29" s="104" t="n">
        <v>2</v>
      </c>
      <c r="AA29" s="104" t="s">
        <v>1257</v>
      </c>
      <c r="AB29" s="104" t="n">
        <v>2</v>
      </c>
      <c r="AC29" s="134" t="s">
        <v>49</v>
      </c>
      <c r="AD29" s="105" t="n">
        <v>2</v>
      </c>
      <c r="AE29" s="105" t="s">
        <v>1230</v>
      </c>
      <c r="AF29" s="105" t="n">
        <v>2</v>
      </c>
      <c r="AG29" s="105"/>
      <c r="AH29" s="106" t="s">
        <v>862</v>
      </c>
      <c r="AI29" s="106"/>
      <c r="AJ29" s="106"/>
      <c r="AK29" s="106"/>
      <c r="AL29" s="107" t="n">
        <v>2</v>
      </c>
      <c r="AM29" s="107" t="s">
        <v>1230</v>
      </c>
      <c r="AN29" s="107" t="n">
        <v>2</v>
      </c>
      <c r="AO29" s="107" t="s">
        <v>658</v>
      </c>
      <c r="AP29" s="108" t="n">
        <v>2</v>
      </c>
      <c r="AQ29" s="108" t="s">
        <v>1230</v>
      </c>
      <c r="AR29" s="108" t="n">
        <v>2</v>
      </c>
      <c r="AS29" s="108" t="s">
        <v>1275</v>
      </c>
      <c r="AT29" s="109" t="n">
        <v>2</v>
      </c>
      <c r="AU29" s="109" t="s">
        <v>8</v>
      </c>
      <c r="AV29" s="109" t="n">
        <v>2</v>
      </c>
      <c r="AW29" s="109" t="s">
        <v>66</v>
      </c>
      <c r="AX29" s="110" t="n">
        <v>2</v>
      </c>
      <c r="AY29" s="110" t="s">
        <v>8</v>
      </c>
      <c r="AZ29" s="110" t="n">
        <v>2</v>
      </c>
      <c r="BA29" s="110"/>
      <c r="BB29" s="111" t="n">
        <v>2</v>
      </c>
      <c r="BC29" s="111" t="s">
        <v>8</v>
      </c>
      <c r="BD29" s="111" t="n">
        <v>2</v>
      </c>
      <c r="BE29" s="111"/>
      <c r="BF29" s="112" t="s">
        <v>441</v>
      </c>
      <c r="BG29" s="112" t="s">
        <v>439</v>
      </c>
      <c r="BH29" s="112"/>
      <c r="BI29" s="112"/>
      <c r="BJ29" s="113" t="n">
        <v>2</v>
      </c>
      <c r="BK29" s="113" t="s">
        <v>1215</v>
      </c>
      <c r="BL29" s="113" t="n">
        <v>2</v>
      </c>
      <c r="BM29" s="113"/>
      <c r="BN29" s="99" t="n">
        <v>2</v>
      </c>
      <c r="BO29" s="99" t="s">
        <v>8</v>
      </c>
      <c r="BP29" s="99"/>
      <c r="BQ29" s="99" t="s">
        <v>186</v>
      </c>
      <c r="BR29" s="114" t="n">
        <v>2</v>
      </c>
      <c r="BS29" s="114" t="s">
        <v>1230</v>
      </c>
      <c r="BT29" s="114"/>
      <c r="BU29" s="114" t="s">
        <v>1276</v>
      </c>
      <c r="BV29" s="87" t="n">
        <v>2</v>
      </c>
      <c r="BW29" s="135" t="s">
        <v>86</v>
      </c>
      <c r="BX29" s="87" t="n">
        <v>2</v>
      </c>
      <c r="BY29" s="88"/>
      <c r="BZ29" s="115" t="n">
        <v>2</v>
      </c>
      <c r="CA29" s="115" t="s">
        <v>8</v>
      </c>
      <c r="CB29" s="115" t="n">
        <v>2</v>
      </c>
      <c r="CC29" s="115" t="s">
        <v>76</v>
      </c>
      <c r="CD29" s="99" t="n">
        <v>2</v>
      </c>
      <c r="CE29" s="99" t="s">
        <v>1230</v>
      </c>
      <c r="CF29" s="99"/>
      <c r="CG29" s="132" t="s">
        <v>449</v>
      </c>
      <c r="CH29" s="116" t="n">
        <v>2</v>
      </c>
      <c r="CI29" s="116" t="s">
        <v>8</v>
      </c>
      <c r="CJ29" s="116" t="n">
        <v>2</v>
      </c>
      <c r="CK29" s="116" t="s">
        <v>1229</v>
      </c>
      <c r="CL29" s="117" t="n">
        <v>2</v>
      </c>
      <c r="CM29" s="117" t="s">
        <v>8</v>
      </c>
      <c r="CN29" s="117" t="n">
        <v>2</v>
      </c>
      <c r="CO29" s="117" t="s">
        <v>1229</v>
      </c>
      <c r="CP29" s="88" t="n">
        <v>2</v>
      </c>
      <c r="CQ29" s="88" t="s">
        <v>8</v>
      </c>
      <c r="CR29" s="88" t="n">
        <v>2</v>
      </c>
      <c r="CS29" s="88" t="s">
        <v>1229</v>
      </c>
      <c r="CT29" s="114" t="n">
        <v>2</v>
      </c>
      <c r="CU29" s="114" t="s">
        <v>8</v>
      </c>
      <c r="CV29" s="114" t="n">
        <v>2</v>
      </c>
      <c r="CW29" s="114" t="s">
        <v>1229</v>
      </c>
      <c r="CX29" s="118" t="n">
        <v>2</v>
      </c>
      <c r="CY29" s="118" t="s">
        <v>1230</v>
      </c>
      <c r="CZ29" s="118" t="n">
        <v>2</v>
      </c>
      <c r="DA29" s="118" t="s">
        <v>1276</v>
      </c>
      <c r="DB29" s="119" t="s">
        <v>1277</v>
      </c>
      <c r="DC29" s="119" t="n">
        <v>2</v>
      </c>
      <c r="DD29" s="119" t="n">
        <v>2</v>
      </c>
      <c r="DE29" s="119" t="s">
        <v>1276</v>
      </c>
    </row>
    <row r="30" s="120" customFormat="true" ht="15" hidden="false" customHeight="false" outlineLevel="0" collapsed="false">
      <c r="A30" s="97" t="s">
        <v>1278</v>
      </c>
      <c r="B30" s="98" t="n">
        <v>3</v>
      </c>
      <c r="C30" s="98" t="s">
        <v>1263</v>
      </c>
      <c r="D30" s="98" t="n">
        <v>3</v>
      </c>
      <c r="E30" s="98"/>
      <c r="F30" s="99" t="n">
        <v>3</v>
      </c>
      <c r="G30" s="99" t="s">
        <v>57</v>
      </c>
      <c r="H30" s="99"/>
      <c r="I30" s="99" t="s">
        <v>78</v>
      </c>
      <c r="J30" s="100" t="s">
        <v>8</v>
      </c>
      <c r="K30" s="100" t="n">
        <v>3</v>
      </c>
      <c r="L30" s="100"/>
      <c r="M30" s="100" t="s">
        <v>1263</v>
      </c>
      <c r="N30" s="101" t="n">
        <v>3</v>
      </c>
      <c r="O30" s="101" t="s">
        <v>86</v>
      </c>
      <c r="P30" s="101" t="n">
        <v>3</v>
      </c>
      <c r="Q30" s="101" t="s">
        <v>1263</v>
      </c>
      <c r="R30" s="102" t="n">
        <v>3</v>
      </c>
      <c r="S30" s="102" t="s">
        <v>1263</v>
      </c>
      <c r="T30" s="102" t="n">
        <v>3</v>
      </c>
      <c r="U30" s="102" t="s">
        <v>1279</v>
      </c>
      <c r="V30" s="103" t="n">
        <v>3</v>
      </c>
      <c r="W30" s="103" t="s">
        <v>49</v>
      </c>
      <c r="X30" s="103" t="n">
        <v>3</v>
      </c>
      <c r="Y30" s="103"/>
      <c r="Z30" s="104" t="n">
        <v>3</v>
      </c>
      <c r="AA30" s="104" t="s">
        <v>1280</v>
      </c>
      <c r="AB30" s="104" t="n">
        <v>3</v>
      </c>
      <c r="AC30" s="104" t="s">
        <v>1263</v>
      </c>
      <c r="AD30" s="105" t="n">
        <v>3</v>
      </c>
      <c r="AE30" s="105" t="s">
        <v>1263</v>
      </c>
      <c r="AF30" s="105" t="n">
        <v>3</v>
      </c>
      <c r="AG30" s="105"/>
      <c r="AH30" s="106" t="s">
        <v>793</v>
      </c>
      <c r="AI30" s="106" t="s">
        <v>792</v>
      </c>
      <c r="AJ30" s="106" t="s">
        <v>793</v>
      </c>
      <c r="AK30" s="106"/>
      <c r="AL30" s="107" t="n">
        <v>3</v>
      </c>
      <c r="AM30" s="107" t="s">
        <v>1263</v>
      </c>
      <c r="AN30" s="107" t="n">
        <v>3</v>
      </c>
      <c r="AO30" s="107" t="s">
        <v>659</v>
      </c>
      <c r="AP30" s="108" t="n">
        <v>3</v>
      </c>
      <c r="AQ30" s="108" t="s">
        <v>1263</v>
      </c>
      <c r="AR30" s="108" t="n">
        <v>3</v>
      </c>
      <c r="AS30" s="108" t="s">
        <v>1281</v>
      </c>
      <c r="AT30" s="109" t="n">
        <v>3</v>
      </c>
      <c r="AU30" s="109" t="s">
        <v>717</v>
      </c>
      <c r="AV30" s="109" t="n">
        <v>3</v>
      </c>
      <c r="AW30" s="109"/>
      <c r="AX30" s="110" t="n">
        <v>3</v>
      </c>
      <c r="AY30" s="110" t="s">
        <v>717</v>
      </c>
      <c r="AZ30" s="110" t="n">
        <v>3</v>
      </c>
      <c r="BA30" s="110"/>
      <c r="BB30" s="111" t="n">
        <v>3</v>
      </c>
      <c r="BC30" s="111" t="s">
        <v>717</v>
      </c>
      <c r="BD30" s="111" t="n">
        <v>3</v>
      </c>
      <c r="BE30" s="111"/>
      <c r="BF30" s="112" t="s">
        <v>406</v>
      </c>
      <c r="BG30" s="112" t="s">
        <v>308</v>
      </c>
      <c r="BH30" s="112"/>
      <c r="BI30" s="112"/>
      <c r="BJ30" s="113" t="n">
        <v>3</v>
      </c>
      <c r="BK30" s="113" t="s">
        <v>1272</v>
      </c>
      <c r="BL30" s="113" t="n">
        <v>3</v>
      </c>
      <c r="BM30" s="113"/>
      <c r="BN30" s="99" t="n">
        <v>3</v>
      </c>
      <c r="BO30" s="99" t="s">
        <v>1263</v>
      </c>
      <c r="BP30" s="99"/>
      <c r="BQ30" s="99" t="s">
        <v>1280</v>
      </c>
      <c r="BR30" s="114" t="n">
        <v>3</v>
      </c>
      <c r="BS30" s="114" t="s">
        <v>1263</v>
      </c>
      <c r="BT30" s="114"/>
      <c r="BU30" s="114" t="s">
        <v>1280</v>
      </c>
      <c r="BV30" s="87" t="n">
        <v>3</v>
      </c>
      <c r="BW30" s="135" t="s">
        <v>772</v>
      </c>
      <c r="BX30" s="87" t="n">
        <v>3</v>
      </c>
      <c r="BY30" s="88"/>
      <c r="BZ30" s="115" t="n">
        <v>3</v>
      </c>
      <c r="CA30" s="115" t="s">
        <v>1263</v>
      </c>
      <c r="CB30" s="115" t="n">
        <v>3</v>
      </c>
      <c r="CC30" s="115" t="s">
        <v>78</v>
      </c>
      <c r="CD30" s="99" t="n">
        <v>3</v>
      </c>
      <c r="CE30" s="99" t="s">
        <v>1263</v>
      </c>
      <c r="CF30" s="99"/>
      <c r="CG30" s="132" t="s">
        <v>453</v>
      </c>
      <c r="CH30" s="116" t="n">
        <v>3</v>
      </c>
      <c r="CI30" s="116" t="s">
        <v>1263</v>
      </c>
      <c r="CJ30" s="116" t="n">
        <v>3</v>
      </c>
      <c r="CK30" s="116" t="s">
        <v>49</v>
      </c>
      <c r="CL30" s="117" t="n">
        <v>3</v>
      </c>
      <c r="CM30" s="117" t="s">
        <v>1263</v>
      </c>
      <c r="CN30" s="117" t="n">
        <v>3</v>
      </c>
      <c r="CO30" s="117" t="s">
        <v>49</v>
      </c>
      <c r="CP30" s="88" t="n">
        <v>3</v>
      </c>
      <c r="CQ30" s="88" t="s">
        <v>1263</v>
      </c>
      <c r="CR30" s="88" t="n">
        <v>3</v>
      </c>
      <c r="CS30" s="88" t="s">
        <v>49</v>
      </c>
      <c r="CT30" s="114" t="n">
        <v>3</v>
      </c>
      <c r="CU30" s="114" t="s">
        <v>1263</v>
      </c>
      <c r="CV30" s="114" t="n">
        <v>3</v>
      </c>
      <c r="CW30" s="114" t="s">
        <v>49</v>
      </c>
      <c r="CX30" s="118" t="n">
        <v>3</v>
      </c>
      <c r="CY30" s="118" t="s">
        <v>1263</v>
      </c>
      <c r="CZ30" s="118" t="n">
        <v>3</v>
      </c>
      <c r="DA30" s="118" t="s">
        <v>1280</v>
      </c>
      <c r="DB30" s="119" t="s">
        <v>1282</v>
      </c>
      <c r="DC30" s="119" t="n">
        <v>3</v>
      </c>
      <c r="DD30" s="119" t="n">
        <v>3</v>
      </c>
      <c r="DE30" s="119" t="s">
        <v>1280</v>
      </c>
    </row>
    <row r="31" s="120" customFormat="true" ht="15" hidden="false" customHeight="false" outlineLevel="0" collapsed="false">
      <c r="A31" s="97" t="s">
        <v>1283</v>
      </c>
      <c r="B31" s="98" t="n">
        <v>4</v>
      </c>
      <c r="C31" s="98" t="s">
        <v>1284</v>
      </c>
      <c r="D31" s="98" t="n">
        <v>4</v>
      </c>
      <c r="E31" s="98"/>
      <c r="F31" s="99" t="n">
        <v>4</v>
      </c>
      <c r="G31" s="99" t="s">
        <v>1284</v>
      </c>
      <c r="H31" s="99"/>
      <c r="I31" s="99"/>
      <c r="J31" s="100" t="s">
        <v>1257</v>
      </c>
      <c r="K31" s="100" t="n">
        <v>4</v>
      </c>
      <c r="L31" s="100"/>
      <c r="M31" s="100" t="s">
        <v>1172</v>
      </c>
      <c r="N31" s="101" t="n">
        <v>4</v>
      </c>
      <c r="O31" s="101" t="s">
        <v>1284</v>
      </c>
      <c r="P31" s="101" t="n">
        <v>4</v>
      </c>
      <c r="Q31" s="101" t="s">
        <v>1269</v>
      </c>
      <c r="R31" s="102" t="n">
        <v>4</v>
      </c>
      <c r="S31" s="102" t="s">
        <v>1284</v>
      </c>
      <c r="T31" s="102" t="n">
        <v>4</v>
      </c>
      <c r="U31" s="102" t="s">
        <v>1285</v>
      </c>
      <c r="V31" s="103" t="n">
        <v>4</v>
      </c>
      <c r="W31" s="103" t="s">
        <v>1284</v>
      </c>
      <c r="X31" s="103" t="n">
        <v>4</v>
      </c>
      <c r="Y31" s="103"/>
      <c r="Z31" s="104" t="n">
        <v>4</v>
      </c>
      <c r="AA31" s="104" t="s">
        <v>1272</v>
      </c>
      <c r="AB31" s="104" t="n">
        <v>4</v>
      </c>
      <c r="AC31" s="104" t="s">
        <v>1284</v>
      </c>
      <c r="AD31" s="105" t="n">
        <v>4</v>
      </c>
      <c r="AE31" s="105" t="s">
        <v>1284</v>
      </c>
      <c r="AF31" s="105" t="n">
        <v>4</v>
      </c>
      <c r="AG31" s="105"/>
      <c r="AH31" s="106" t="s">
        <v>797</v>
      </c>
      <c r="AI31" s="106" t="s">
        <v>796</v>
      </c>
      <c r="AJ31" s="106" t="s">
        <v>797</v>
      </c>
      <c r="AK31" s="106"/>
      <c r="AL31" s="107" t="n">
        <v>4</v>
      </c>
      <c r="AM31" s="107" t="s">
        <v>1284</v>
      </c>
      <c r="AN31" s="107" t="n">
        <v>4</v>
      </c>
      <c r="AO31" s="107" t="s">
        <v>660</v>
      </c>
      <c r="AP31" s="108" t="n">
        <v>4</v>
      </c>
      <c r="AQ31" s="108" t="s">
        <v>1284</v>
      </c>
      <c r="AR31" s="108" t="n">
        <v>4</v>
      </c>
      <c r="AS31" s="122" t="s">
        <v>49</v>
      </c>
      <c r="AT31" s="109" t="n">
        <v>4</v>
      </c>
      <c r="AU31" s="109" t="s">
        <v>1232</v>
      </c>
      <c r="AV31" s="109" t="n">
        <v>4</v>
      </c>
      <c r="AW31" s="109"/>
      <c r="AX31" s="110" t="n">
        <v>4</v>
      </c>
      <c r="AY31" s="110" t="s">
        <v>1232</v>
      </c>
      <c r="AZ31" s="110" t="n">
        <v>4</v>
      </c>
      <c r="BA31" s="110"/>
      <c r="BB31" s="111" t="n">
        <v>4</v>
      </c>
      <c r="BC31" s="111" t="s">
        <v>1232</v>
      </c>
      <c r="BD31" s="111" t="n">
        <v>4</v>
      </c>
      <c r="BE31" s="111"/>
      <c r="BF31" s="112" t="s">
        <v>425</v>
      </c>
      <c r="BG31" s="112" t="s">
        <v>423</v>
      </c>
      <c r="BH31" s="112"/>
      <c r="BI31" s="112"/>
      <c r="BJ31" s="113" t="n">
        <v>4</v>
      </c>
      <c r="BK31" s="113" t="s">
        <v>8</v>
      </c>
      <c r="BL31" s="113" t="n">
        <v>4</v>
      </c>
      <c r="BM31" s="113"/>
      <c r="BN31" s="99" t="n">
        <v>4</v>
      </c>
      <c r="BO31" s="132" t="s">
        <v>51</v>
      </c>
      <c r="BP31" s="99"/>
      <c r="BQ31" s="99" t="s">
        <v>190</v>
      </c>
      <c r="BR31" s="114" t="n">
        <v>4</v>
      </c>
      <c r="BS31" s="128" t="s">
        <v>1284</v>
      </c>
      <c r="BT31" s="114" t="s">
        <v>1286</v>
      </c>
      <c r="BU31" s="114" t="s">
        <v>190</v>
      </c>
      <c r="BV31" s="88" t="n">
        <v>4</v>
      </c>
      <c r="BW31" s="135" t="s">
        <v>53</v>
      </c>
      <c r="BX31" s="88" t="n">
        <v>4</v>
      </c>
      <c r="BY31" s="88"/>
      <c r="BZ31" s="136" t="s">
        <v>1287</v>
      </c>
      <c r="CA31" s="136" t="s">
        <v>1284</v>
      </c>
      <c r="CB31" s="136" t="s">
        <v>1287</v>
      </c>
      <c r="CC31" s="137" t="s">
        <v>96</v>
      </c>
      <c r="CD31" s="99" t="n">
        <v>4</v>
      </c>
      <c r="CE31" s="99" t="s">
        <v>1284</v>
      </c>
      <c r="CF31" s="99"/>
      <c r="CG31" s="99" t="s">
        <v>1288</v>
      </c>
      <c r="CH31" s="116" t="n">
        <v>4</v>
      </c>
      <c r="CI31" s="138" t="s">
        <v>51</v>
      </c>
      <c r="CJ31" s="116" t="n">
        <v>4</v>
      </c>
      <c r="CK31" s="116" t="s">
        <v>1284</v>
      </c>
      <c r="CL31" s="117" t="n">
        <v>4</v>
      </c>
      <c r="CM31" s="139" t="s">
        <v>51</v>
      </c>
      <c r="CN31" s="117" t="n">
        <v>4</v>
      </c>
      <c r="CO31" s="117" t="s">
        <v>1284</v>
      </c>
      <c r="CP31" s="88" t="n">
        <v>4</v>
      </c>
      <c r="CQ31" s="135" t="s">
        <v>51</v>
      </c>
      <c r="CR31" s="88" t="n">
        <v>4</v>
      </c>
      <c r="CS31" s="88" t="s">
        <v>1284</v>
      </c>
      <c r="CT31" s="114" t="n">
        <v>4</v>
      </c>
      <c r="CU31" s="128" t="s">
        <v>51</v>
      </c>
      <c r="CV31" s="114" t="n">
        <v>4</v>
      </c>
      <c r="CW31" s="114" t="s">
        <v>1284</v>
      </c>
      <c r="CX31" s="118" t="n">
        <v>4</v>
      </c>
      <c r="CY31" s="130" t="s">
        <v>1284</v>
      </c>
      <c r="CZ31" s="118" t="n">
        <v>4</v>
      </c>
      <c r="DA31" s="118" t="s">
        <v>190</v>
      </c>
      <c r="DB31" s="119" t="s">
        <v>1289</v>
      </c>
      <c r="DC31" s="119" t="n">
        <v>4</v>
      </c>
      <c r="DD31" s="119" t="n">
        <v>4</v>
      </c>
      <c r="DE31" s="119" t="s">
        <v>190</v>
      </c>
    </row>
    <row r="32" s="120" customFormat="true" ht="15" hidden="false" customHeight="false" outlineLevel="0" collapsed="false">
      <c r="A32" s="97" t="s">
        <v>1290</v>
      </c>
      <c r="B32" s="98" t="n">
        <v>5</v>
      </c>
      <c r="C32" s="98" t="s">
        <v>1291</v>
      </c>
      <c r="D32" s="98" t="n">
        <v>5</v>
      </c>
      <c r="E32" s="98"/>
      <c r="F32" s="99" t="n">
        <v>5</v>
      </c>
      <c r="G32" s="99" t="s">
        <v>1291</v>
      </c>
      <c r="H32" s="99"/>
      <c r="I32" s="99"/>
      <c r="J32" s="100" t="s">
        <v>1292</v>
      </c>
      <c r="K32" s="100" t="n">
        <v>5</v>
      </c>
      <c r="L32" s="100"/>
      <c r="M32" s="100" t="s">
        <v>1189</v>
      </c>
      <c r="N32" s="101" t="n">
        <v>5</v>
      </c>
      <c r="O32" s="101" t="s">
        <v>1291</v>
      </c>
      <c r="P32" s="101" t="n">
        <v>5</v>
      </c>
      <c r="Q32" s="101" t="s">
        <v>1293</v>
      </c>
      <c r="R32" s="102" t="n">
        <v>5</v>
      </c>
      <c r="S32" s="102" t="s">
        <v>1291</v>
      </c>
      <c r="T32" s="102" t="n">
        <v>5</v>
      </c>
      <c r="U32" s="102" t="s">
        <v>1293</v>
      </c>
      <c r="V32" s="103" t="n">
        <v>4</v>
      </c>
      <c r="W32" s="103" t="s">
        <v>1291</v>
      </c>
      <c r="X32" s="103" t="n">
        <v>5</v>
      </c>
      <c r="Y32" s="103"/>
      <c r="Z32" s="104" t="n">
        <v>5</v>
      </c>
      <c r="AA32" s="104" t="s">
        <v>1291</v>
      </c>
      <c r="AB32" s="104" t="n">
        <v>5</v>
      </c>
      <c r="AC32" s="134" t="s">
        <v>98</v>
      </c>
      <c r="AD32" s="105" t="n">
        <v>5</v>
      </c>
      <c r="AE32" s="105" t="s">
        <v>1291</v>
      </c>
      <c r="AF32" s="105" t="n">
        <v>5</v>
      </c>
      <c r="AG32" s="105"/>
      <c r="AH32" s="106" t="s">
        <v>799</v>
      </c>
      <c r="AI32" s="106" t="s">
        <v>798</v>
      </c>
      <c r="AJ32" s="106" t="s">
        <v>799</v>
      </c>
      <c r="AK32" s="106"/>
      <c r="AL32" s="107" t="n">
        <v>5</v>
      </c>
      <c r="AM32" s="107" t="s">
        <v>1291</v>
      </c>
      <c r="AN32" s="107" t="n">
        <v>5</v>
      </c>
      <c r="AO32" s="107" t="s">
        <v>661</v>
      </c>
      <c r="AP32" s="108" t="n">
        <v>5</v>
      </c>
      <c r="AQ32" s="108" t="s">
        <v>1291</v>
      </c>
      <c r="AR32" s="108" t="n">
        <v>5</v>
      </c>
      <c r="AS32" s="122" t="s">
        <v>57</v>
      </c>
      <c r="AT32" s="109" t="n">
        <v>5</v>
      </c>
      <c r="AU32" s="109" t="s">
        <v>1291</v>
      </c>
      <c r="AV32" s="109" t="n">
        <v>5</v>
      </c>
      <c r="AW32" s="109"/>
      <c r="AX32" s="110" t="n">
        <v>5</v>
      </c>
      <c r="AY32" s="110" t="s">
        <v>1291</v>
      </c>
      <c r="AZ32" s="110" t="n">
        <v>5</v>
      </c>
      <c r="BA32" s="110"/>
      <c r="BB32" s="111" t="n">
        <v>5</v>
      </c>
      <c r="BC32" s="111" t="s">
        <v>1291</v>
      </c>
      <c r="BD32" s="111" t="n">
        <v>5</v>
      </c>
      <c r="BE32" s="111"/>
      <c r="BF32" s="112" t="s">
        <v>418</v>
      </c>
      <c r="BG32" s="112" t="s">
        <v>417</v>
      </c>
      <c r="BH32" s="112" t="n">
        <v>5</v>
      </c>
      <c r="BI32" s="112"/>
      <c r="BJ32" s="113" t="n">
        <v>5</v>
      </c>
      <c r="BK32" s="113" t="s">
        <v>1291</v>
      </c>
      <c r="BL32" s="113" t="n">
        <v>5</v>
      </c>
      <c r="BM32" s="113"/>
      <c r="BN32" s="99" t="n">
        <v>5</v>
      </c>
      <c r="BO32" s="99" t="s">
        <v>1291</v>
      </c>
      <c r="BP32" s="99"/>
      <c r="BQ32" s="99" t="s">
        <v>194</v>
      </c>
      <c r="BR32" s="114" t="n">
        <v>5</v>
      </c>
      <c r="BS32" s="114" t="s">
        <v>1291</v>
      </c>
      <c r="BT32" s="114"/>
      <c r="BU32" s="114" t="s">
        <v>194</v>
      </c>
      <c r="BV32" s="88" t="n">
        <v>5</v>
      </c>
      <c r="BW32" s="135" t="s">
        <v>774</v>
      </c>
      <c r="BX32" s="88" t="n">
        <v>5</v>
      </c>
      <c r="BY32" s="88"/>
      <c r="BZ32" s="136" t="s">
        <v>1294</v>
      </c>
      <c r="CA32" s="136" t="s">
        <v>1291</v>
      </c>
      <c r="CB32" s="136" t="s">
        <v>1294</v>
      </c>
      <c r="CC32" s="136" t="s">
        <v>98</v>
      </c>
      <c r="CD32" s="99" t="n">
        <v>5</v>
      </c>
      <c r="CE32" s="99" t="s">
        <v>1291</v>
      </c>
      <c r="CF32" s="99"/>
      <c r="CG32" s="132" t="s">
        <v>452</v>
      </c>
      <c r="CH32" s="116" t="n">
        <v>5</v>
      </c>
      <c r="CI32" s="116" t="s">
        <v>1291</v>
      </c>
      <c r="CJ32" s="116" t="n">
        <v>5</v>
      </c>
      <c r="CK32" s="116" t="s">
        <v>713</v>
      </c>
      <c r="CL32" s="117" t="n">
        <v>5</v>
      </c>
      <c r="CM32" s="117" t="s">
        <v>1291</v>
      </c>
      <c r="CN32" s="117" t="n">
        <v>5</v>
      </c>
      <c r="CO32" s="117" t="s">
        <v>713</v>
      </c>
      <c r="CP32" s="88" t="n">
        <v>5</v>
      </c>
      <c r="CQ32" s="88" t="s">
        <v>1291</v>
      </c>
      <c r="CR32" s="88" t="n">
        <v>5</v>
      </c>
      <c r="CS32" s="88" t="s">
        <v>713</v>
      </c>
      <c r="CT32" s="114" t="n">
        <v>5</v>
      </c>
      <c r="CU32" s="114" t="s">
        <v>1291</v>
      </c>
      <c r="CV32" s="114" t="n">
        <v>5</v>
      </c>
      <c r="CW32" s="114" t="s">
        <v>713</v>
      </c>
      <c r="CX32" s="118" t="n">
        <v>5</v>
      </c>
      <c r="CY32" s="118" t="s">
        <v>1291</v>
      </c>
      <c r="CZ32" s="118" t="n">
        <v>5</v>
      </c>
      <c r="DA32" s="118" t="s">
        <v>194</v>
      </c>
      <c r="DB32" s="119" t="s">
        <v>1295</v>
      </c>
      <c r="DC32" s="119" t="n">
        <v>5</v>
      </c>
      <c r="DD32" s="119" t="n">
        <v>5</v>
      </c>
      <c r="DE32" s="119" t="s">
        <v>194</v>
      </c>
    </row>
    <row r="33" s="120" customFormat="true" ht="15" hidden="false" customHeight="false" outlineLevel="0" collapsed="false">
      <c r="A33" s="97" t="s">
        <v>1296</v>
      </c>
      <c r="B33" s="98" t="n">
        <v>6</v>
      </c>
      <c r="C33" s="98" t="s">
        <v>1280</v>
      </c>
      <c r="D33" s="98" t="n">
        <v>6</v>
      </c>
      <c r="E33" s="98"/>
      <c r="F33" s="99" t="n">
        <v>6</v>
      </c>
      <c r="G33" s="99" t="s">
        <v>1176</v>
      </c>
      <c r="H33" s="99"/>
      <c r="I33" s="99"/>
      <c r="J33" s="100" t="s">
        <v>1297</v>
      </c>
      <c r="K33" s="100" t="n">
        <v>6</v>
      </c>
      <c r="L33" s="100"/>
      <c r="M33" s="100" t="s">
        <v>1259</v>
      </c>
      <c r="N33" s="101" t="n">
        <v>6</v>
      </c>
      <c r="O33" s="101" t="s">
        <v>1176</v>
      </c>
      <c r="P33" s="101" t="n">
        <v>6</v>
      </c>
      <c r="Q33" s="101" t="s">
        <v>68</v>
      </c>
      <c r="R33" s="102" t="n">
        <v>6</v>
      </c>
      <c r="S33" s="102" t="s">
        <v>1176</v>
      </c>
      <c r="T33" s="102" t="n">
        <v>6</v>
      </c>
      <c r="U33" s="102"/>
      <c r="V33" s="103" t="n">
        <v>6</v>
      </c>
      <c r="W33" s="103" t="s">
        <v>1176</v>
      </c>
      <c r="X33" s="103" t="n">
        <v>6</v>
      </c>
      <c r="Y33" s="103"/>
      <c r="Z33" s="104" t="n">
        <v>6</v>
      </c>
      <c r="AA33" s="104" t="s">
        <v>1176</v>
      </c>
      <c r="AB33" s="104" t="n">
        <v>6</v>
      </c>
      <c r="AC33" s="104"/>
      <c r="AD33" s="105" t="n">
        <v>6</v>
      </c>
      <c r="AE33" s="105" t="s">
        <v>1280</v>
      </c>
      <c r="AF33" s="105" t="n">
        <v>6</v>
      </c>
      <c r="AG33" s="105"/>
      <c r="AH33" s="106" t="s">
        <v>801</v>
      </c>
      <c r="AI33" s="106" t="s">
        <v>800</v>
      </c>
      <c r="AJ33" s="106" t="s">
        <v>801</v>
      </c>
      <c r="AK33" s="106"/>
      <c r="AL33" s="107" t="n">
        <v>6</v>
      </c>
      <c r="AM33" s="107" t="s">
        <v>1280</v>
      </c>
      <c r="AN33" s="107" t="n">
        <v>6</v>
      </c>
      <c r="AO33" s="107" t="s">
        <v>662</v>
      </c>
      <c r="AP33" s="108" t="n">
        <v>6</v>
      </c>
      <c r="AQ33" s="108" t="s">
        <v>1280</v>
      </c>
      <c r="AR33" s="108" t="n">
        <v>6</v>
      </c>
      <c r="AS33" s="122" t="s">
        <v>1298</v>
      </c>
      <c r="AT33" s="109" t="n">
        <v>6</v>
      </c>
      <c r="AU33" s="109" t="s">
        <v>1233</v>
      </c>
      <c r="AV33" s="109" t="n">
        <v>6</v>
      </c>
      <c r="AW33" s="109"/>
      <c r="AX33" s="110" t="n">
        <v>6</v>
      </c>
      <c r="AY33" s="110" t="s">
        <v>1233</v>
      </c>
      <c r="AZ33" s="110" t="n">
        <v>6</v>
      </c>
      <c r="BA33" s="110"/>
      <c r="BB33" s="111" t="n">
        <v>6</v>
      </c>
      <c r="BC33" s="111" t="s">
        <v>1233</v>
      </c>
      <c r="BD33" s="111" t="n">
        <v>6</v>
      </c>
      <c r="BE33" s="111"/>
      <c r="BF33" s="112" t="s">
        <v>1214</v>
      </c>
      <c r="BG33" s="112" t="s">
        <v>1232</v>
      </c>
      <c r="BH33" s="112" t="s">
        <v>1214</v>
      </c>
      <c r="BI33" s="112"/>
      <c r="BJ33" s="113" t="n">
        <v>6</v>
      </c>
      <c r="BK33" s="113" t="s">
        <v>14</v>
      </c>
      <c r="BL33" s="113" t="n">
        <v>6</v>
      </c>
      <c r="BM33" s="113"/>
      <c r="BN33" s="99" t="n">
        <v>6</v>
      </c>
      <c r="BO33" s="99" t="s">
        <v>1176</v>
      </c>
      <c r="BP33" s="99"/>
      <c r="BQ33" s="132" t="s">
        <v>196</v>
      </c>
      <c r="BR33" s="114" t="n">
        <v>6</v>
      </c>
      <c r="BS33" s="114" t="s">
        <v>1280</v>
      </c>
      <c r="BT33" s="114"/>
      <c r="BU33" s="128" t="s">
        <v>196</v>
      </c>
      <c r="BV33" s="88" t="n">
        <v>6</v>
      </c>
      <c r="BW33" s="135" t="s">
        <v>784</v>
      </c>
      <c r="BX33" s="88" t="n">
        <v>6</v>
      </c>
      <c r="BY33" s="88"/>
      <c r="BZ33" s="115" t="n">
        <v>6</v>
      </c>
      <c r="CA33" s="115" t="s">
        <v>1176</v>
      </c>
      <c r="CB33" s="115" t="n">
        <v>6</v>
      </c>
      <c r="CC33" s="129" t="s">
        <v>100</v>
      </c>
      <c r="CD33" s="99" t="n">
        <v>6</v>
      </c>
      <c r="CE33" s="99" t="s">
        <v>1280</v>
      </c>
      <c r="CF33" s="99"/>
      <c r="CG33" s="132" t="s">
        <v>453</v>
      </c>
      <c r="CH33" s="116" t="n">
        <v>6</v>
      </c>
      <c r="CI33" s="116" t="s">
        <v>1176</v>
      </c>
      <c r="CJ33" s="116" t="n">
        <v>6</v>
      </c>
      <c r="CK33" s="116"/>
      <c r="CL33" s="117" t="n">
        <v>6</v>
      </c>
      <c r="CM33" s="117" t="s">
        <v>1176</v>
      </c>
      <c r="CN33" s="117" t="n">
        <v>6</v>
      </c>
      <c r="CO33" s="117"/>
      <c r="CP33" s="88" t="n">
        <v>6</v>
      </c>
      <c r="CQ33" s="88" t="s">
        <v>1176</v>
      </c>
      <c r="CR33" s="88" t="n">
        <v>6</v>
      </c>
      <c r="CS33" s="88"/>
      <c r="CT33" s="114" t="n">
        <v>6</v>
      </c>
      <c r="CU33" s="114" t="s">
        <v>1176</v>
      </c>
      <c r="CV33" s="114" t="n">
        <v>6</v>
      </c>
      <c r="CW33" s="114"/>
      <c r="CX33" s="118" t="n">
        <v>6</v>
      </c>
      <c r="CY33" s="118" t="s">
        <v>1280</v>
      </c>
      <c r="CZ33" s="118" t="n">
        <v>6</v>
      </c>
      <c r="DA33" s="130" t="s">
        <v>196</v>
      </c>
      <c r="DB33" s="119" t="s">
        <v>1299</v>
      </c>
      <c r="DC33" s="119" t="n">
        <v>6</v>
      </c>
      <c r="DD33" s="119" t="n">
        <v>6</v>
      </c>
      <c r="DE33" s="131" t="s">
        <v>196</v>
      </c>
    </row>
    <row r="34" s="120" customFormat="true" ht="15" hidden="false" customHeight="false" outlineLevel="0" collapsed="false">
      <c r="A34" s="97" t="s">
        <v>1300</v>
      </c>
      <c r="B34" s="98" t="n">
        <v>7</v>
      </c>
      <c r="C34" s="98" t="s">
        <v>1176</v>
      </c>
      <c r="D34" s="98" t="n">
        <v>7</v>
      </c>
      <c r="E34" s="98"/>
      <c r="F34" s="99" t="n">
        <v>7</v>
      </c>
      <c r="G34" s="99" t="s">
        <v>1208</v>
      </c>
      <c r="H34" s="99"/>
      <c r="I34" s="99" t="s">
        <v>1172</v>
      </c>
      <c r="J34" s="100" t="s">
        <v>1301</v>
      </c>
      <c r="K34" s="100" t="n">
        <v>7</v>
      </c>
      <c r="L34" s="100"/>
      <c r="M34" s="100" t="s">
        <v>80</v>
      </c>
      <c r="N34" s="101" t="n">
        <v>7</v>
      </c>
      <c r="O34" s="101" t="s">
        <v>1208</v>
      </c>
      <c r="P34" s="101" t="n">
        <v>7</v>
      </c>
      <c r="Q34" s="101"/>
      <c r="R34" s="102" t="n">
        <v>7</v>
      </c>
      <c r="S34" s="102" t="s">
        <v>1208</v>
      </c>
      <c r="T34" s="102" t="n">
        <v>7</v>
      </c>
      <c r="U34" s="102" t="s">
        <v>1172</v>
      </c>
      <c r="V34" s="103" t="n">
        <v>7</v>
      </c>
      <c r="W34" s="103" t="s">
        <v>1208</v>
      </c>
      <c r="X34" s="103" t="n">
        <v>7</v>
      </c>
      <c r="Y34" s="103"/>
      <c r="Z34" s="104" t="n">
        <v>7</v>
      </c>
      <c r="AA34" s="104" t="s">
        <v>1208</v>
      </c>
      <c r="AB34" s="104" t="n">
        <v>7</v>
      </c>
      <c r="AC34" s="104" t="s">
        <v>1172</v>
      </c>
      <c r="AD34" s="105" t="n">
        <v>7</v>
      </c>
      <c r="AE34" s="105" t="s">
        <v>1176</v>
      </c>
      <c r="AF34" s="105" t="n">
        <v>7</v>
      </c>
      <c r="AG34" s="105"/>
      <c r="AH34" s="106" t="s">
        <v>883</v>
      </c>
      <c r="AI34" s="106" t="s">
        <v>882</v>
      </c>
      <c r="AJ34" s="106" t="s">
        <v>883</v>
      </c>
      <c r="AK34" s="106"/>
      <c r="AL34" s="107" t="n">
        <v>7</v>
      </c>
      <c r="AM34" s="107" t="s">
        <v>1176</v>
      </c>
      <c r="AN34" s="107" t="n">
        <v>7</v>
      </c>
      <c r="AO34" s="107" t="s">
        <v>663</v>
      </c>
      <c r="AP34" s="108" t="n">
        <v>7</v>
      </c>
      <c r="AQ34" s="108" t="s">
        <v>1176</v>
      </c>
      <c r="AR34" s="108" t="n">
        <v>7</v>
      </c>
      <c r="AS34" s="108"/>
      <c r="AT34" s="109" t="n">
        <v>7</v>
      </c>
      <c r="AU34" s="109" t="s">
        <v>1215</v>
      </c>
      <c r="AV34" s="109" t="n">
        <v>7</v>
      </c>
      <c r="AW34" s="109"/>
      <c r="AX34" s="110" t="n">
        <v>7</v>
      </c>
      <c r="AY34" s="110" t="s">
        <v>1215</v>
      </c>
      <c r="AZ34" s="110" t="n">
        <v>7</v>
      </c>
      <c r="BA34" s="110"/>
      <c r="BB34" s="111" t="n">
        <v>7</v>
      </c>
      <c r="BC34" s="111" t="s">
        <v>1215</v>
      </c>
      <c r="BD34" s="111" t="n">
        <v>7</v>
      </c>
      <c r="BE34" s="111"/>
      <c r="BF34" s="112" t="s">
        <v>1302</v>
      </c>
      <c r="BG34" s="112" t="s">
        <v>1233</v>
      </c>
      <c r="BH34" s="112" t="s">
        <v>1302</v>
      </c>
      <c r="BI34" s="112"/>
      <c r="BJ34" s="113" t="n">
        <v>7</v>
      </c>
      <c r="BK34" s="113" t="s">
        <v>1233</v>
      </c>
      <c r="BL34" s="113" t="n">
        <v>7</v>
      </c>
      <c r="BM34" s="113"/>
      <c r="BN34" s="99" t="n">
        <v>7</v>
      </c>
      <c r="BO34" s="99" t="s">
        <v>1208</v>
      </c>
      <c r="BP34" s="99"/>
      <c r="BQ34" s="99" t="s">
        <v>1303</v>
      </c>
      <c r="BR34" s="114" t="n">
        <v>7</v>
      </c>
      <c r="BS34" s="114" t="s">
        <v>1176</v>
      </c>
      <c r="BT34" s="114"/>
      <c r="BU34" s="114" t="s">
        <v>1303</v>
      </c>
      <c r="BV34" s="88" t="n">
        <v>7</v>
      </c>
      <c r="BW34" s="135" t="s">
        <v>786</v>
      </c>
      <c r="BX34" s="88" t="n">
        <v>7</v>
      </c>
      <c r="BY34" s="88"/>
      <c r="BZ34" s="115" t="n">
        <v>7</v>
      </c>
      <c r="CA34" s="115" t="s">
        <v>1304</v>
      </c>
      <c r="CB34" s="115" t="n">
        <v>7</v>
      </c>
      <c r="CC34" s="129" t="s">
        <v>49</v>
      </c>
      <c r="CD34" s="99" t="n">
        <v>7</v>
      </c>
      <c r="CE34" s="99" t="s">
        <v>1176</v>
      </c>
      <c r="CF34" s="99"/>
      <c r="CG34" s="99" t="s">
        <v>447</v>
      </c>
      <c r="CH34" s="116" t="n">
        <v>7</v>
      </c>
      <c r="CI34" s="116" t="s">
        <v>1208</v>
      </c>
      <c r="CJ34" s="116" t="n">
        <v>7</v>
      </c>
      <c r="CK34" s="116" t="s">
        <v>1172</v>
      </c>
      <c r="CL34" s="117" t="n">
        <v>7</v>
      </c>
      <c r="CM34" s="117" t="s">
        <v>1208</v>
      </c>
      <c r="CN34" s="117" t="n">
        <v>7</v>
      </c>
      <c r="CO34" s="117" t="s">
        <v>1172</v>
      </c>
      <c r="CP34" s="88" t="n">
        <v>7</v>
      </c>
      <c r="CQ34" s="88" t="s">
        <v>1208</v>
      </c>
      <c r="CR34" s="88" t="n">
        <v>7</v>
      </c>
      <c r="CS34" s="88" t="s">
        <v>1172</v>
      </c>
      <c r="CT34" s="114" t="n">
        <v>7</v>
      </c>
      <c r="CU34" s="114" t="s">
        <v>1208</v>
      </c>
      <c r="CV34" s="114" t="n">
        <v>7</v>
      </c>
      <c r="CW34" s="114" t="s">
        <v>1172</v>
      </c>
      <c r="CX34" s="118" t="n">
        <v>7</v>
      </c>
      <c r="CY34" s="118" t="s">
        <v>1176</v>
      </c>
      <c r="CZ34" s="118" t="n">
        <v>7</v>
      </c>
      <c r="DA34" s="118" t="s">
        <v>1303</v>
      </c>
      <c r="DB34" s="119" t="s">
        <v>1305</v>
      </c>
      <c r="DC34" s="119" t="n">
        <v>7</v>
      </c>
      <c r="DD34" s="119" t="n">
        <v>7</v>
      </c>
      <c r="DE34" s="119" t="s">
        <v>1303</v>
      </c>
    </row>
    <row r="35" s="120" customFormat="true" ht="15" hidden="false" customHeight="false" outlineLevel="0" collapsed="false">
      <c r="A35" s="97" t="s">
        <v>1306</v>
      </c>
      <c r="B35" s="98" t="n">
        <v>8</v>
      </c>
      <c r="C35" s="98" t="s">
        <v>1307</v>
      </c>
      <c r="D35" s="98" t="n">
        <v>8</v>
      </c>
      <c r="E35" s="98"/>
      <c r="F35" s="99" t="n">
        <v>8</v>
      </c>
      <c r="G35" s="99" t="s">
        <v>1292</v>
      </c>
      <c r="H35" s="99"/>
      <c r="I35" s="99" t="s">
        <v>1189</v>
      </c>
      <c r="J35" s="100" t="s">
        <v>1304</v>
      </c>
      <c r="K35" s="100" t="n">
        <v>8</v>
      </c>
      <c r="L35" s="100"/>
      <c r="M35" s="100" t="s">
        <v>16</v>
      </c>
      <c r="N35" s="101" t="n">
        <v>8</v>
      </c>
      <c r="O35" s="101" t="s">
        <v>1292</v>
      </c>
      <c r="P35" s="101" t="n">
        <v>8</v>
      </c>
      <c r="Q35" s="101"/>
      <c r="R35" s="102" t="n">
        <v>8</v>
      </c>
      <c r="S35" s="102" t="s">
        <v>1292</v>
      </c>
      <c r="T35" s="102" t="n">
        <v>8</v>
      </c>
      <c r="U35" s="102" t="s">
        <v>1189</v>
      </c>
      <c r="V35" s="103" t="n">
        <v>8</v>
      </c>
      <c r="W35" s="103" t="s">
        <v>1292</v>
      </c>
      <c r="X35" s="103" t="n">
        <v>8</v>
      </c>
      <c r="Y35" s="103"/>
      <c r="Z35" s="104" t="n">
        <v>8</v>
      </c>
      <c r="AA35" s="104" t="s">
        <v>1292</v>
      </c>
      <c r="AB35" s="104" t="n">
        <v>8</v>
      </c>
      <c r="AC35" s="104" t="s">
        <v>1189</v>
      </c>
      <c r="AD35" s="105" t="n">
        <v>8</v>
      </c>
      <c r="AE35" s="105" t="s">
        <v>1307</v>
      </c>
      <c r="AF35" s="105" t="n">
        <v>8</v>
      </c>
      <c r="AG35" s="105"/>
      <c r="AH35" s="106" t="s">
        <v>885</v>
      </c>
      <c r="AI35" s="106" t="s">
        <v>884</v>
      </c>
      <c r="AJ35" s="106" t="s">
        <v>885</v>
      </c>
      <c r="AK35" s="106"/>
      <c r="AL35" s="107" t="n">
        <v>8</v>
      </c>
      <c r="AM35" s="107" t="s">
        <v>1307</v>
      </c>
      <c r="AN35" s="107" t="n">
        <v>8</v>
      </c>
      <c r="AO35" s="107" t="s">
        <v>664</v>
      </c>
      <c r="AP35" s="108" t="n">
        <v>8</v>
      </c>
      <c r="AQ35" s="108" t="s">
        <v>1307</v>
      </c>
      <c r="AR35" s="108" t="n">
        <v>8</v>
      </c>
      <c r="AS35" s="108" t="s">
        <v>51</v>
      </c>
      <c r="AT35" s="109" t="n">
        <v>8</v>
      </c>
      <c r="AU35" s="109" t="s">
        <v>1307</v>
      </c>
      <c r="AV35" s="109" t="n">
        <v>8</v>
      </c>
      <c r="AW35" s="109"/>
      <c r="AX35" s="110" t="n">
        <v>8</v>
      </c>
      <c r="AY35" s="110" t="s">
        <v>1307</v>
      </c>
      <c r="AZ35" s="110" t="n">
        <v>8</v>
      </c>
      <c r="BA35" s="110"/>
      <c r="BB35" s="111" t="n">
        <v>8</v>
      </c>
      <c r="BC35" s="111" t="s">
        <v>1307</v>
      </c>
      <c r="BD35" s="111" t="n">
        <v>8</v>
      </c>
      <c r="BE35" s="111"/>
      <c r="BF35" s="112" t="s">
        <v>429</v>
      </c>
      <c r="BG35" s="112" t="s">
        <v>427</v>
      </c>
      <c r="BH35" s="112"/>
      <c r="BI35" s="112"/>
      <c r="BJ35" s="113" t="n">
        <v>8</v>
      </c>
      <c r="BK35" s="113" t="s">
        <v>1208</v>
      </c>
      <c r="BL35" s="113" t="n">
        <v>8</v>
      </c>
      <c r="BM35" s="113"/>
      <c r="BN35" s="99" t="n">
        <v>8</v>
      </c>
      <c r="BO35" s="99" t="s">
        <v>1292</v>
      </c>
      <c r="BP35" s="99"/>
      <c r="BQ35" s="132" t="s">
        <v>192</v>
      </c>
      <c r="BR35" s="114" t="n">
        <v>8</v>
      </c>
      <c r="BS35" s="114" t="s">
        <v>1307</v>
      </c>
      <c r="BT35" s="114"/>
      <c r="BU35" s="128" t="s">
        <v>192</v>
      </c>
      <c r="BV35" s="88" t="n">
        <v>8</v>
      </c>
      <c r="BW35" s="88" t="s">
        <v>1308</v>
      </c>
      <c r="BX35" s="88" t="n">
        <v>8</v>
      </c>
      <c r="BY35" s="88"/>
      <c r="BZ35" s="115" t="n">
        <v>8</v>
      </c>
      <c r="CA35" s="115" t="s">
        <v>1292</v>
      </c>
      <c r="CB35" s="115" t="n">
        <v>8</v>
      </c>
      <c r="CC35" s="115" t="s">
        <v>1172</v>
      </c>
      <c r="CD35" s="99" t="n">
        <v>8</v>
      </c>
      <c r="CE35" s="99" t="s">
        <v>1307</v>
      </c>
      <c r="CF35" s="99"/>
      <c r="CG35" s="132" t="s">
        <v>470</v>
      </c>
      <c r="CH35" s="116" t="n">
        <v>8</v>
      </c>
      <c r="CI35" s="116" t="s">
        <v>1292</v>
      </c>
      <c r="CJ35" s="116" t="n">
        <v>8</v>
      </c>
      <c r="CK35" s="116" t="s">
        <v>1189</v>
      </c>
      <c r="CL35" s="117" t="n">
        <v>8</v>
      </c>
      <c r="CM35" s="117" t="s">
        <v>1292</v>
      </c>
      <c r="CN35" s="117" t="n">
        <v>8</v>
      </c>
      <c r="CO35" s="117" t="s">
        <v>1189</v>
      </c>
      <c r="CP35" s="88" t="n">
        <v>8</v>
      </c>
      <c r="CQ35" s="88" t="s">
        <v>1292</v>
      </c>
      <c r="CR35" s="88" t="n">
        <v>8</v>
      </c>
      <c r="CS35" s="88" t="s">
        <v>1189</v>
      </c>
      <c r="CT35" s="114" t="n">
        <v>8</v>
      </c>
      <c r="CU35" s="114" t="s">
        <v>1292</v>
      </c>
      <c r="CV35" s="114" t="n">
        <v>8</v>
      </c>
      <c r="CW35" s="114" t="s">
        <v>1189</v>
      </c>
      <c r="CX35" s="118" t="n">
        <v>8</v>
      </c>
      <c r="CY35" s="118" t="s">
        <v>1307</v>
      </c>
      <c r="CZ35" s="118" t="n">
        <v>8</v>
      </c>
      <c r="DA35" s="130" t="s">
        <v>192</v>
      </c>
      <c r="DB35" s="119" t="s">
        <v>1309</v>
      </c>
      <c r="DC35" s="119" t="n">
        <v>8</v>
      </c>
      <c r="DD35" s="119" t="n">
        <v>8</v>
      </c>
      <c r="DE35" s="131" t="s">
        <v>192</v>
      </c>
    </row>
    <row r="36" s="120" customFormat="true" ht="15" hidden="false" customHeight="false" outlineLevel="0" collapsed="false">
      <c r="A36" s="97" t="s">
        <v>1310</v>
      </c>
      <c r="B36" s="98" t="n">
        <v>9</v>
      </c>
      <c r="C36" s="98" t="s">
        <v>1292</v>
      </c>
      <c r="D36" s="98" t="n">
        <v>9</v>
      </c>
      <c r="E36" s="98"/>
      <c r="F36" s="99" t="n">
        <v>9</v>
      </c>
      <c r="G36" s="99" t="s">
        <v>1311</v>
      </c>
      <c r="H36" s="99"/>
      <c r="I36" s="99" t="s">
        <v>1180</v>
      </c>
      <c r="J36" s="140" t="s">
        <v>1312</v>
      </c>
      <c r="K36" s="100" t="n">
        <v>9</v>
      </c>
      <c r="L36" s="140"/>
      <c r="M36" s="140" t="s">
        <v>1280</v>
      </c>
      <c r="N36" s="101" t="n">
        <v>9</v>
      </c>
      <c r="O36" s="101" t="s">
        <v>1311</v>
      </c>
      <c r="P36" s="101" t="n">
        <v>9</v>
      </c>
      <c r="Q36" s="101"/>
      <c r="R36" s="102" t="n">
        <v>9</v>
      </c>
      <c r="S36" s="102" t="s">
        <v>1311</v>
      </c>
      <c r="T36" s="102" t="n">
        <v>9</v>
      </c>
      <c r="U36" s="102" t="s">
        <v>1180</v>
      </c>
      <c r="V36" s="103" t="n">
        <v>9</v>
      </c>
      <c r="W36" s="103" t="s">
        <v>1311</v>
      </c>
      <c r="X36" s="103" t="n">
        <v>9</v>
      </c>
      <c r="Y36" s="103"/>
      <c r="Z36" s="104" t="n">
        <v>9</v>
      </c>
      <c r="AA36" s="104" t="s">
        <v>1311</v>
      </c>
      <c r="AB36" s="104" t="n">
        <v>9</v>
      </c>
      <c r="AC36" s="104" t="s">
        <v>1180</v>
      </c>
      <c r="AD36" s="105" t="n">
        <v>9</v>
      </c>
      <c r="AE36" s="105" t="s">
        <v>1292</v>
      </c>
      <c r="AF36" s="105" t="n">
        <v>9</v>
      </c>
      <c r="AG36" s="105"/>
      <c r="AH36" s="106" t="s">
        <v>887</v>
      </c>
      <c r="AI36" s="106" t="s">
        <v>886</v>
      </c>
      <c r="AJ36" s="106" t="s">
        <v>887</v>
      </c>
      <c r="AK36" s="106"/>
      <c r="AL36" s="107" t="n">
        <v>9</v>
      </c>
      <c r="AM36" s="107" t="s">
        <v>1292</v>
      </c>
      <c r="AN36" s="107" t="n">
        <v>9</v>
      </c>
      <c r="AO36" s="107" t="s">
        <v>665</v>
      </c>
      <c r="AP36" s="108" t="n">
        <v>9</v>
      </c>
      <c r="AQ36" s="108" t="s">
        <v>1292</v>
      </c>
      <c r="AR36" s="108" t="n">
        <v>9</v>
      </c>
      <c r="AS36" s="108" t="s">
        <v>1313</v>
      </c>
      <c r="AT36" s="109" t="n">
        <v>9</v>
      </c>
      <c r="AU36" s="109" t="s">
        <v>1292</v>
      </c>
      <c r="AV36" s="109" t="n">
        <v>9</v>
      </c>
      <c r="AW36" s="109"/>
      <c r="AX36" s="110" t="n">
        <v>9</v>
      </c>
      <c r="AY36" s="110" t="s">
        <v>1292</v>
      </c>
      <c r="AZ36" s="110" t="n">
        <v>9</v>
      </c>
      <c r="BA36" s="110"/>
      <c r="BB36" s="111" t="n">
        <v>9</v>
      </c>
      <c r="BC36" s="111" t="s">
        <v>1292</v>
      </c>
      <c r="BD36" s="111" t="n">
        <v>9</v>
      </c>
      <c r="BE36" s="111"/>
      <c r="BF36" s="112" t="s">
        <v>433</v>
      </c>
      <c r="BG36" s="112" t="s">
        <v>431</v>
      </c>
      <c r="BH36" s="112"/>
      <c r="BI36" s="112"/>
      <c r="BJ36" s="113" t="n">
        <v>9</v>
      </c>
      <c r="BK36" s="113" t="s">
        <v>1314</v>
      </c>
      <c r="BL36" s="113" t="n">
        <v>9</v>
      </c>
      <c r="BM36" s="113"/>
      <c r="BN36" s="99" t="n">
        <v>9</v>
      </c>
      <c r="BO36" s="99" t="s">
        <v>1311</v>
      </c>
      <c r="BP36" s="99"/>
      <c r="BQ36" s="132" t="s">
        <v>80</v>
      </c>
      <c r="BR36" s="114" t="n">
        <v>9</v>
      </c>
      <c r="BS36" s="114" t="s">
        <v>1292</v>
      </c>
      <c r="BT36" s="114"/>
      <c r="BU36" s="128" t="s">
        <v>80</v>
      </c>
      <c r="BV36" s="88" t="n">
        <v>9</v>
      </c>
      <c r="BW36" s="88" t="s">
        <v>1292</v>
      </c>
      <c r="BX36" s="88" t="n">
        <v>9</v>
      </c>
      <c r="BY36" s="88"/>
      <c r="BZ36" s="115" t="n">
        <v>9</v>
      </c>
      <c r="CA36" s="115" t="s">
        <v>1311</v>
      </c>
      <c r="CB36" s="115" t="n">
        <v>9</v>
      </c>
      <c r="CC36" s="115" t="s">
        <v>1220</v>
      </c>
      <c r="CD36" s="99" t="n">
        <v>9</v>
      </c>
      <c r="CE36" s="99" t="s">
        <v>1292</v>
      </c>
      <c r="CF36" s="99"/>
      <c r="CG36" s="132" t="s">
        <v>454</v>
      </c>
      <c r="CH36" s="116" t="n">
        <v>9</v>
      </c>
      <c r="CI36" s="116" t="s">
        <v>1311</v>
      </c>
      <c r="CJ36" s="116" t="n">
        <v>9</v>
      </c>
      <c r="CK36" s="116" t="s">
        <v>1180</v>
      </c>
      <c r="CL36" s="117" t="n">
        <v>9</v>
      </c>
      <c r="CM36" s="117" t="s">
        <v>1311</v>
      </c>
      <c r="CN36" s="117" t="n">
        <v>9</v>
      </c>
      <c r="CO36" s="117" t="s">
        <v>1180</v>
      </c>
      <c r="CP36" s="88" t="n">
        <v>9</v>
      </c>
      <c r="CQ36" s="88" t="s">
        <v>1311</v>
      </c>
      <c r="CR36" s="88" t="n">
        <v>9</v>
      </c>
      <c r="CS36" s="88" t="s">
        <v>1180</v>
      </c>
      <c r="CT36" s="114" t="n">
        <v>9</v>
      </c>
      <c r="CU36" s="114" t="s">
        <v>1311</v>
      </c>
      <c r="CV36" s="114" t="n">
        <v>9</v>
      </c>
      <c r="CW36" s="114" t="s">
        <v>1180</v>
      </c>
      <c r="CX36" s="118" t="n">
        <v>9</v>
      </c>
      <c r="CY36" s="118" t="s">
        <v>1292</v>
      </c>
      <c r="CZ36" s="118" t="n">
        <v>9</v>
      </c>
      <c r="DA36" s="130" t="s">
        <v>80</v>
      </c>
      <c r="DB36" s="119" t="s">
        <v>1315</v>
      </c>
      <c r="DC36" s="119" t="n">
        <v>9</v>
      </c>
      <c r="DD36" s="119" t="n">
        <v>9</v>
      </c>
      <c r="DE36" s="131" t="s">
        <v>80</v>
      </c>
    </row>
    <row r="37" s="120" customFormat="true" ht="15" hidden="false" customHeight="false" outlineLevel="0" collapsed="false">
      <c r="A37" s="97" t="s">
        <v>1316</v>
      </c>
      <c r="B37" s="98" t="s">
        <v>12</v>
      </c>
      <c r="C37" s="98" t="s">
        <v>1311</v>
      </c>
      <c r="D37" s="98" t="s">
        <v>12</v>
      </c>
      <c r="E37" s="98"/>
      <c r="F37" s="99" t="s">
        <v>12</v>
      </c>
      <c r="G37" s="99" t="s">
        <v>14</v>
      </c>
      <c r="H37" s="99"/>
      <c r="I37" s="99" t="s">
        <v>1220</v>
      </c>
      <c r="J37" s="140" t="s">
        <v>1317</v>
      </c>
      <c r="K37" s="100" t="s">
        <v>12</v>
      </c>
      <c r="L37" s="140"/>
      <c r="M37" s="140" t="s">
        <v>1230</v>
      </c>
      <c r="N37" s="101" t="s">
        <v>12</v>
      </c>
      <c r="O37" s="101" t="s">
        <v>14</v>
      </c>
      <c r="P37" s="101" t="s">
        <v>12</v>
      </c>
      <c r="Q37" s="101"/>
      <c r="R37" s="102" t="s">
        <v>12</v>
      </c>
      <c r="S37" s="102" t="s">
        <v>14</v>
      </c>
      <c r="T37" s="102" t="s">
        <v>12</v>
      </c>
      <c r="U37" s="102" t="s">
        <v>1220</v>
      </c>
      <c r="V37" s="103" t="s">
        <v>12</v>
      </c>
      <c r="W37" s="103" t="s">
        <v>14</v>
      </c>
      <c r="X37" s="103" t="s">
        <v>12</v>
      </c>
      <c r="Y37" s="103"/>
      <c r="Z37" s="104" t="s">
        <v>12</v>
      </c>
      <c r="AA37" s="104" t="s">
        <v>14</v>
      </c>
      <c r="AB37" s="104" t="s">
        <v>12</v>
      </c>
      <c r="AC37" s="104" t="s">
        <v>1220</v>
      </c>
      <c r="AD37" s="105" t="s">
        <v>12</v>
      </c>
      <c r="AE37" s="105" t="s">
        <v>1311</v>
      </c>
      <c r="AF37" s="105" t="s">
        <v>12</v>
      </c>
      <c r="AG37" s="105"/>
      <c r="AH37" s="106" t="s">
        <v>899</v>
      </c>
      <c r="AI37" s="106" t="s">
        <v>903</v>
      </c>
      <c r="AJ37" s="106" t="s">
        <v>899</v>
      </c>
      <c r="AK37" s="106"/>
      <c r="AL37" s="107" t="s">
        <v>12</v>
      </c>
      <c r="AM37" s="107" t="s">
        <v>1311</v>
      </c>
      <c r="AN37" s="107" t="s">
        <v>12</v>
      </c>
      <c r="AO37" s="107" t="s">
        <v>656</v>
      </c>
      <c r="AP37" s="108" t="s">
        <v>12</v>
      </c>
      <c r="AQ37" s="108" t="s">
        <v>1311</v>
      </c>
      <c r="AR37" s="108" t="s">
        <v>12</v>
      </c>
      <c r="AS37" s="108" t="s">
        <v>72</v>
      </c>
      <c r="AT37" s="109" t="s">
        <v>12</v>
      </c>
      <c r="AU37" s="109" t="s">
        <v>1311</v>
      </c>
      <c r="AV37" s="109" t="s">
        <v>12</v>
      </c>
      <c r="AW37" s="109"/>
      <c r="AX37" s="110" t="s">
        <v>12</v>
      </c>
      <c r="AY37" s="110" t="s">
        <v>1311</v>
      </c>
      <c r="AZ37" s="110" t="s">
        <v>12</v>
      </c>
      <c r="BA37" s="110"/>
      <c r="BB37" s="111" t="s">
        <v>12</v>
      </c>
      <c r="BC37" s="111" t="s">
        <v>1311</v>
      </c>
      <c r="BD37" s="111" t="s">
        <v>12</v>
      </c>
      <c r="BE37" s="111"/>
      <c r="BF37" s="112" t="s">
        <v>421</v>
      </c>
      <c r="BG37" s="112" t="s">
        <v>419</v>
      </c>
      <c r="BH37" s="112"/>
      <c r="BI37" s="112"/>
      <c r="BJ37" s="113" t="s">
        <v>12</v>
      </c>
      <c r="BK37" s="113" t="s">
        <v>717</v>
      </c>
      <c r="BL37" s="113" t="s">
        <v>12</v>
      </c>
      <c r="BM37" s="113"/>
      <c r="BN37" s="99" t="s">
        <v>12</v>
      </c>
      <c r="BO37" s="99" t="s">
        <v>14</v>
      </c>
      <c r="BP37" s="99"/>
      <c r="BQ37" s="132" t="s">
        <v>200</v>
      </c>
      <c r="BR37" s="114" t="s">
        <v>12</v>
      </c>
      <c r="BS37" s="114" t="s">
        <v>1311</v>
      </c>
      <c r="BT37" s="114"/>
      <c r="BU37" s="128" t="s">
        <v>200</v>
      </c>
      <c r="BV37" s="88" t="n">
        <v>0</v>
      </c>
      <c r="BW37" s="88" t="s">
        <v>1311</v>
      </c>
      <c r="BX37" s="88" t="n">
        <v>0</v>
      </c>
      <c r="BY37" s="88"/>
      <c r="BZ37" s="115" t="s">
        <v>12</v>
      </c>
      <c r="CA37" s="115" t="s">
        <v>1257</v>
      </c>
      <c r="CB37" s="115" t="s">
        <v>12</v>
      </c>
      <c r="CC37" s="115"/>
      <c r="CD37" s="99" t="s">
        <v>12</v>
      </c>
      <c r="CE37" s="99" t="s">
        <v>1311</v>
      </c>
      <c r="CF37" s="99"/>
      <c r="CG37" s="132" t="s">
        <v>458</v>
      </c>
      <c r="CH37" s="116" t="s">
        <v>12</v>
      </c>
      <c r="CI37" s="116" t="s">
        <v>14</v>
      </c>
      <c r="CJ37" s="116" t="s">
        <v>12</v>
      </c>
      <c r="CK37" s="116" t="s">
        <v>1220</v>
      </c>
      <c r="CL37" s="117" t="s">
        <v>12</v>
      </c>
      <c r="CM37" s="117" t="s">
        <v>14</v>
      </c>
      <c r="CN37" s="117" t="s">
        <v>12</v>
      </c>
      <c r="CO37" s="117" t="s">
        <v>1220</v>
      </c>
      <c r="CP37" s="88" t="s">
        <v>12</v>
      </c>
      <c r="CQ37" s="88" t="s">
        <v>14</v>
      </c>
      <c r="CR37" s="88" t="s">
        <v>12</v>
      </c>
      <c r="CS37" s="88" t="s">
        <v>1220</v>
      </c>
      <c r="CT37" s="114" t="s">
        <v>12</v>
      </c>
      <c r="CU37" s="114" t="s">
        <v>14</v>
      </c>
      <c r="CV37" s="114" t="s">
        <v>12</v>
      </c>
      <c r="CW37" s="114" t="s">
        <v>1220</v>
      </c>
      <c r="CX37" s="118" t="s">
        <v>161</v>
      </c>
      <c r="CY37" s="118" t="s">
        <v>125</v>
      </c>
      <c r="CZ37" s="118" t="s">
        <v>161</v>
      </c>
      <c r="DA37" s="130" t="s">
        <v>200</v>
      </c>
      <c r="DB37" s="119" t="s">
        <v>1318</v>
      </c>
      <c r="DC37" s="119" t="s">
        <v>12</v>
      </c>
      <c r="DD37" s="119" t="s">
        <v>161</v>
      </c>
      <c r="DE37" s="131" t="s">
        <v>200</v>
      </c>
    </row>
    <row r="38" s="120" customFormat="true" ht="15" hidden="false" customHeight="false" outlineLevel="0" collapsed="false">
      <c r="A38" s="97" t="s">
        <v>1319</v>
      </c>
      <c r="B38" s="141" t="s">
        <v>768</v>
      </c>
      <c r="C38" s="98"/>
      <c r="D38" s="98"/>
      <c r="E38" s="98"/>
      <c r="F38" s="99"/>
      <c r="G38" s="99"/>
      <c r="H38" s="99"/>
      <c r="I38" s="99"/>
      <c r="J38" s="100"/>
      <c r="K38" s="100"/>
      <c r="L38" s="100"/>
      <c r="M38" s="100"/>
      <c r="N38" s="101"/>
      <c r="O38" s="101"/>
      <c r="P38" s="101"/>
      <c r="Q38" s="101"/>
      <c r="R38" s="102"/>
      <c r="S38" s="102"/>
      <c r="T38" s="102"/>
      <c r="U38" s="102"/>
      <c r="V38" s="103"/>
      <c r="W38" s="103"/>
      <c r="X38" s="103"/>
      <c r="Y38" s="103"/>
      <c r="Z38" s="104"/>
      <c r="AA38" s="104"/>
      <c r="AB38" s="104"/>
      <c r="AC38" s="104"/>
      <c r="AD38" s="105"/>
      <c r="AE38" s="105"/>
      <c r="AF38" s="105"/>
      <c r="AG38" s="105"/>
      <c r="AH38" s="106"/>
      <c r="AI38" s="106"/>
      <c r="AJ38" s="106"/>
      <c r="AK38" s="106"/>
      <c r="AL38" s="107"/>
      <c r="AM38" s="107"/>
      <c r="AN38" s="107"/>
      <c r="AO38" s="107"/>
      <c r="AP38" s="108"/>
      <c r="AQ38" s="108"/>
      <c r="AR38" s="108"/>
      <c r="AS38" s="108"/>
      <c r="AT38" s="109"/>
      <c r="AU38" s="109"/>
      <c r="AV38" s="109"/>
      <c r="AW38" s="109"/>
      <c r="AX38" s="110"/>
      <c r="AY38" s="110"/>
      <c r="AZ38" s="110"/>
      <c r="BA38" s="110"/>
      <c r="BB38" s="111"/>
      <c r="BC38" s="111"/>
      <c r="BD38" s="111"/>
      <c r="BE38" s="111"/>
      <c r="BF38" s="112"/>
      <c r="BG38" s="112"/>
      <c r="BH38" s="112"/>
      <c r="BI38" s="112"/>
      <c r="BJ38" s="113"/>
      <c r="BK38" s="113"/>
      <c r="BL38" s="113"/>
      <c r="BM38" s="113"/>
      <c r="BN38" s="99"/>
      <c r="BO38" s="99"/>
      <c r="BP38" s="99"/>
      <c r="BQ38" s="99"/>
      <c r="BR38" s="114"/>
      <c r="BS38" s="114"/>
      <c r="BT38" s="114"/>
      <c r="BU38" s="114"/>
      <c r="BV38" s="88"/>
      <c r="BW38" s="88"/>
      <c r="BX38" s="88"/>
      <c r="BY38" s="88"/>
      <c r="BZ38" s="115"/>
      <c r="CA38" s="115"/>
      <c r="CB38" s="115"/>
      <c r="CC38" s="115"/>
      <c r="CD38" s="99"/>
      <c r="CE38" s="99"/>
      <c r="CF38" s="99"/>
      <c r="CG38" s="99"/>
      <c r="CH38" s="116"/>
      <c r="CI38" s="116"/>
      <c r="CJ38" s="116"/>
      <c r="CK38" s="116"/>
      <c r="CL38" s="117"/>
      <c r="CM38" s="117"/>
      <c r="CN38" s="117"/>
      <c r="CO38" s="117"/>
      <c r="CP38" s="88"/>
      <c r="CQ38" s="88"/>
      <c r="CR38" s="88"/>
      <c r="CS38" s="88"/>
      <c r="CT38" s="114"/>
      <c r="CU38" s="114"/>
      <c r="CV38" s="114"/>
      <c r="CW38" s="114"/>
      <c r="CX38" s="118"/>
      <c r="CY38" s="118"/>
      <c r="CZ38" s="118"/>
      <c r="DA38" s="118"/>
      <c r="DB38" s="119"/>
      <c r="DC38" s="119"/>
      <c r="DD38" s="119"/>
      <c r="DE38" s="119"/>
    </row>
    <row r="39" s="120" customFormat="true" ht="15" hidden="false" customHeight="false" outlineLevel="0" collapsed="false">
      <c r="A39" s="97" t="s">
        <v>1320</v>
      </c>
      <c r="B39" s="98" t="s">
        <v>1321</v>
      </c>
      <c r="C39" s="98"/>
      <c r="D39" s="98"/>
      <c r="E39" s="98"/>
      <c r="F39" s="99"/>
      <c r="G39" s="99"/>
      <c r="H39" s="99"/>
      <c r="I39" s="99"/>
      <c r="J39" s="100"/>
      <c r="K39" s="100"/>
      <c r="L39" s="100"/>
      <c r="M39" s="100"/>
      <c r="N39" s="101"/>
      <c r="O39" s="101"/>
      <c r="P39" s="101"/>
      <c r="Q39" s="101"/>
      <c r="R39" s="102"/>
      <c r="S39" s="102"/>
      <c r="T39" s="102"/>
      <c r="U39" s="102"/>
      <c r="V39" s="103"/>
      <c r="W39" s="103"/>
      <c r="X39" s="103"/>
      <c r="Y39" s="103"/>
      <c r="Z39" s="104"/>
      <c r="AA39" s="104"/>
      <c r="AB39" s="104"/>
      <c r="AC39" s="104"/>
      <c r="AD39" s="105"/>
      <c r="AE39" s="105"/>
      <c r="AF39" s="105"/>
      <c r="AG39" s="105"/>
      <c r="AH39" s="106"/>
      <c r="AI39" s="106"/>
      <c r="AJ39" s="106"/>
      <c r="AK39" s="106"/>
      <c r="AL39" s="107"/>
      <c r="AM39" s="107"/>
      <c r="AN39" s="107"/>
      <c r="AO39" s="107"/>
      <c r="AP39" s="108"/>
      <c r="AQ39" s="108"/>
      <c r="AR39" s="108"/>
      <c r="AS39" s="108"/>
      <c r="AT39" s="109"/>
      <c r="AU39" s="109"/>
      <c r="AV39" s="109"/>
      <c r="AW39" s="109"/>
      <c r="AX39" s="110"/>
      <c r="AY39" s="110"/>
      <c r="AZ39" s="110"/>
      <c r="BA39" s="110"/>
      <c r="BB39" s="111"/>
      <c r="BC39" s="111"/>
      <c r="BD39" s="111"/>
      <c r="BE39" s="111"/>
      <c r="BF39" s="112"/>
      <c r="BG39" s="112"/>
      <c r="BH39" s="112"/>
      <c r="BI39" s="112"/>
      <c r="BJ39" s="113"/>
      <c r="BK39" s="113"/>
      <c r="BL39" s="113"/>
      <c r="BM39" s="113"/>
      <c r="BN39" s="99"/>
      <c r="BO39" s="99"/>
      <c r="BP39" s="99"/>
      <c r="BQ39" s="99"/>
      <c r="BR39" s="114"/>
      <c r="BS39" s="114"/>
      <c r="BT39" s="114"/>
      <c r="BU39" s="114"/>
      <c r="BV39" s="88"/>
      <c r="BW39" s="88"/>
      <c r="BX39" s="88"/>
      <c r="BY39" s="88"/>
      <c r="BZ39" s="115"/>
      <c r="CA39" s="115"/>
      <c r="CB39" s="115"/>
      <c r="CC39" s="115"/>
      <c r="CD39" s="99"/>
      <c r="CE39" s="99"/>
      <c r="CF39" s="99"/>
      <c r="CG39" s="99"/>
      <c r="CH39" s="116"/>
      <c r="CI39" s="116"/>
      <c r="CJ39" s="116"/>
      <c r="CK39" s="116"/>
      <c r="CL39" s="117"/>
      <c r="CM39" s="117"/>
      <c r="CN39" s="117"/>
      <c r="CO39" s="117"/>
      <c r="CP39" s="88"/>
      <c r="CQ39" s="88"/>
      <c r="CR39" s="88"/>
      <c r="CS39" s="88"/>
      <c r="CT39" s="114"/>
      <c r="CU39" s="114"/>
      <c r="CV39" s="114"/>
      <c r="CW39" s="114"/>
      <c r="CX39" s="118"/>
      <c r="CY39" s="118"/>
      <c r="CZ39" s="118"/>
      <c r="DA39" s="118"/>
      <c r="DB39" s="119"/>
      <c r="DC39" s="119"/>
      <c r="DD39" s="119"/>
      <c r="DE39" s="119"/>
    </row>
    <row r="40" s="120" customFormat="true" ht="15" hidden="false" customHeight="false" outlineLevel="0" collapsed="false">
      <c r="A40" s="97" t="s">
        <v>1322</v>
      </c>
      <c r="B40" s="98" t="s">
        <v>722</v>
      </c>
      <c r="C40" s="98"/>
      <c r="D40" s="98"/>
      <c r="E40" s="98"/>
      <c r="F40" s="99"/>
      <c r="G40" s="99"/>
      <c r="H40" s="99"/>
      <c r="I40" s="99"/>
      <c r="J40" s="100"/>
      <c r="K40" s="100"/>
      <c r="L40" s="100"/>
      <c r="M40" s="100"/>
      <c r="N40" s="101"/>
      <c r="O40" s="101"/>
      <c r="P40" s="101"/>
      <c r="Q40" s="101"/>
      <c r="R40" s="102"/>
      <c r="S40" s="102"/>
      <c r="T40" s="102"/>
      <c r="U40" s="102"/>
      <c r="V40" s="103"/>
      <c r="W40" s="103"/>
      <c r="X40" s="103"/>
      <c r="Y40" s="103"/>
      <c r="Z40" s="104"/>
      <c r="AA40" s="104"/>
      <c r="AB40" s="104"/>
      <c r="AC40" s="104"/>
      <c r="AD40" s="105"/>
      <c r="AE40" s="105"/>
      <c r="AF40" s="105"/>
      <c r="AG40" s="105"/>
      <c r="AH40" s="106"/>
      <c r="AI40" s="106"/>
      <c r="AJ40" s="106"/>
      <c r="AK40" s="106"/>
      <c r="AL40" s="107"/>
      <c r="AM40" s="107"/>
      <c r="AN40" s="107"/>
      <c r="AO40" s="107"/>
      <c r="AP40" s="108"/>
      <c r="AQ40" s="108"/>
      <c r="AR40" s="108"/>
      <c r="AS40" s="108"/>
      <c r="AT40" s="109"/>
      <c r="AU40" s="109"/>
      <c r="AV40" s="109"/>
      <c r="AW40" s="109"/>
      <c r="AX40" s="110"/>
      <c r="AY40" s="110"/>
      <c r="AZ40" s="110"/>
      <c r="BA40" s="110"/>
      <c r="BB40" s="111"/>
      <c r="BC40" s="111"/>
      <c r="BD40" s="111"/>
      <c r="BE40" s="111"/>
      <c r="BF40" s="112"/>
      <c r="BG40" s="112"/>
      <c r="BH40" s="112"/>
      <c r="BI40" s="112"/>
      <c r="BJ40" s="113"/>
      <c r="BK40" s="113"/>
      <c r="BL40" s="113"/>
      <c r="BM40" s="113"/>
      <c r="BN40" s="99"/>
      <c r="BO40" s="99"/>
      <c r="BP40" s="99"/>
      <c r="BQ40" s="99"/>
      <c r="BR40" s="114"/>
      <c r="BS40" s="114"/>
      <c r="BT40" s="114"/>
      <c r="BU40" s="114"/>
      <c r="BV40" s="88"/>
      <c r="BW40" s="88"/>
      <c r="BX40" s="88"/>
      <c r="BY40" s="88"/>
      <c r="BZ40" s="115"/>
      <c r="CA40" s="115"/>
      <c r="CB40" s="115"/>
      <c r="CC40" s="115"/>
      <c r="CD40" s="99"/>
      <c r="CE40" s="99"/>
      <c r="CF40" s="99"/>
      <c r="CG40" s="99"/>
      <c r="CH40" s="116"/>
      <c r="CI40" s="116"/>
      <c r="CJ40" s="116"/>
      <c r="CK40" s="116"/>
      <c r="CL40" s="117"/>
      <c r="CM40" s="117"/>
      <c r="CN40" s="117"/>
      <c r="CO40" s="117"/>
      <c r="CP40" s="88"/>
      <c r="CQ40" s="88"/>
      <c r="CR40" s="88"/>
      <c r="CS40" s="88"/>
      <c r="CT40" s="114"/>
      <c r="CU40" s="114"/>
      <c r="CV40" s="114"/>
      <c r="CW40" s="114"/>
      <c r="CX40" s="118"/>
      <c r="CY40" s="118"/>
      <c r="CZ40" s="118"/>
      <c r="DA40" s="118"/>
      <c r="DB40" s="119"/>
      <c r="DC40" s="119"/>
      <c r="DD40" s="119"/>
      <c r="DE40" s="119"/>
    </row>
    <row r="41" s="120" customFormat="true" ht="15" hidden="false" customHeight="false" outlineLevel="0" collapsed="false">
      <c r="A41" s="97" t="s">
        <v>1323</v>
      </c>
      <c r="B41" s="141" t="s">
        <v>762</v>
      </c>
      <c r="C41" s="98"/>
      <c r="D41" s="98"/>
      <c r="E41" s="98"/>
      <c r="F41" s="99"/>
      <c r="G41" s="99"/>
      <c r="H41" s="99"/>
      <c r="I41" s="99"/>
      <c r="J41" s="100"/>
      <c r="K41" s="100"/>
      <c r="L41" s="100"/>
      <c r="M41" s="100"/>
      <c r="N41" s="101"/>
      <c r="O41" s="101"/>
      <c r="P41" s="101"/>
      <c r="Q41" s="101"/>
      <c r="R41" s="102"/>
      <c r="S41" s="102"/>
      <c r="T41" s="102"/>
      <c r="U41" s="102"/>
      <c r="V41" s="103"/>
      <c r="W41" s="103"/>
      <c r="X41" s="103"/>
      <c r="Y41" s="103"/>
      <c r="Z41" s="104"/>
      <c r="AA41" s="104"/>
      <c r="AB41" s="104"/>
      <c r="AC41" s="104"/>
      <c r="AD41" s="105"/>
      <c r="AE41" s="105"/>
      <c r="AF41" s="105"/>
      <c r="AG41" s="105"/>
      <c r="AH41" s="106"/>
      <c r="AI41" s="106"/>
      <c r="AJ41" s="106"/>
      <c r="AK41" s="106"/>
      <c r="AL41" s="107"/>
      <c r="AM41" s="107"/>
      <c r="AN41" s="107"/>
      <c r="AO41" s="107"/>
      <c r="AP41" s="108"/>
      <c r="AQ41" s="108"/>
      <c r="AR41" s="108"/>
      <c r="AS41" s="108"/>
      <c r="AT41" s="109"/>
      <c r="AU41" s="109"/>
      <c r="AV41" s="109"/>
      <c r="AW41" s="109"/>
      <c r="AX41" s="110"/>
      <c r="AY41" s="110"/>
      <c r="AZ41" s="110"/>
      <c r="BA41" s="110"/>
      <c r="BB41" s="111"/>
      <c r="BC41" s="111"/>
      <c r="BD41" s="111"/>
      <c r="BE41" s="111"/>
      <c r="BF41" s="112"/>
      <c r="BG41" s="112"/>
      <c r="BH41" s="112"/>
      <c r="BI41" s="112"/>
      <c r="BJ41" s="113"/>
      <c r="BK41" s="113"/>
      <c r="BL41" s="113"/>
      <c r="BM41" s="113"/>
      <c r="BN41" s="99"/>
      <c r="BO41" s="99"/>
      <c r="BP41" s="99"/>
      <c r="BQ41" s="99"/>
      <c r="BR41" s="114"/>
      <c r="BS41" s="114"/>
      <c r="BT41" s="114"/>
      <c r="BU41" s="114"/>
      <c r="BV41" s="88"/>
      <c r="BW41" s="88"/>
      <c r="BX41" s="88"/>
      <c r="BY41" s="88"/>
      <c r="BZ41" s="115"/>
      <c r="CA41" s="115"/>
      <c r="CB41" s="115"/>
      <c r="CC41" s="115"/>
      <c r="CD41" s="99"/>
      <c r="CE41" s="99"/>
      <c r="CF41" s="99"/>
      <c r="CG41" s="99"/>
      <c r="CH41" s="116"/>
      <c r="CI41" s="116"/>
      <c r="CJ41" s="116"/>
      <c r="CK41" s="116"/>
      <c r="CL41" s="117"/>
      <c r="CM41" s="117"/>
      <c r="CN41" s="117"/>
      <c r="CO41" s="117"/>
      <c r="CP41" s="88"/>
      <c r="CQ41" s="88"/>
      <c r="CR41" s="88"/>
      <c r="CS41" s="88"/>
      <c r="CT41" s="114"/>
      <c r="CU41" s="114"/>
      <c r="CV41" s="114"/>
      <c r="CW41" s="114"/>
      <c r="CX41" s="118"/>
      <c r="CY41" s="118"/>
      <c r="CZ41" s="118"/>
      <c r="DA41" s="118"/>
      <c r="DB41" s="119"/>
      <c r="DC41" s="119"/>
      <c r="DD41" s="119"/>
      <c r="DE41" s="119"/>
    </row>
    <row r="42" s="120" customFormat="true" ht="15" hidden="false" customHeight="false" outlineLevel="0" collapsed="false">
      <c r="A42" s="97" t="s">
        <v>1324</v>
      </c>
      <c r="B42" s="98" t="s">
        <v>24</v>
      </c>
      <c r="C42" s="98"/>
      <c r="D42" s="98"/>
      <c r="E42" s="98"/>
      <c r="F42" s="99"/>
      <c r="G42" s="99"/>
      <c r="H42" s="99"/>
      <c r="I42" s="99"/>
      <c r="J42" s="100"/>
      <c r="K42" s="100"/>
      <c r="L42" s="100"/>
      <c r="M42" s="100"/>
      <c r="N42" s="101"/>
      <c r="O42" s="101"/>
      <c r="P42" s="101"/>
      <c r="Q42" s="101"/>
      <c r="R42" s="102"/>
      <c r="S42" s="102"/>
      <c r="T42" s="102"/>
      <c r="U42" s="102"/>
      <c r="V42" s="103"/>
      <c r="W42" s="103"/>
      <c r="X42" s="103"/>
      <c r="Y42" s="103"/>
      <c r="Z42" s="104"/>
      <c r="AA42" s="104"/>
      <c r="AB42" s="104"/>
      <c r="AC42" s="104"/>
      <c r="AD42" s="105"/>
      <c r="AE42" s="105"/>
      <c r="AF42" s="105"/>
      <c r="AG42" s="105"/>
      <c r="AH42" s="106"/>
      <c r="AI42" s="106"/>
      <c r="AJ42" s="106"/>
      <c r="AK42" s="106"/>
      <c r="AL42" s="107"/>
      <c r="AM42" s="107"/>
      <c r="AN42" s="107"/>
      <c r="AO42" s="107"/>
      <c r="AP42" s="108"/>
      <c r="AQ42" s="108"/>
      <c r="AR42" s="108"/>
      <c r="AS42" s="108"/>
      <c r="AT42" s="109"/>
      <c r="AU42" s="109"/>
      <c r="AV42" s="109"/>
      <c r="AW42" s="109"/>
      <c r="AX42" s="110"/>
      <c r="AY42" s="110"/>
      <c r="AZ42" s="110"/>
      <c r="BA42" s="110"/>
      <c r="BB42" s="111"/>
      <c r="BC42" s="111"/>
      <c r="BD42" s="111"/>
      <c r="BE42" s="111"/>
      <c r="BF42" s="112"/>
      <c r="BG42" s="112"/>
      <c r="BH42" s="112"/>
      <c r="BI42" s="112"/>
      <c r="BJ42" s="113"/>
      <c r="BK42" s="113"/>
      <c r="BL42" s="113"/>
      <c r="BM42" s="113"/>
      <c r="BN42" s="99"/>
      <c r="BO42" s="99"/>
      <c r="BP42" s="99"/>
      <c r="BQ42" s="99"/>
      <c r="BR42" s="114"/>
      <c r="BS42" s="114"/>
      <c r="BT42" s="114"/>
      <c r="BU42" s="114"/>
      <c r="BV42" s="88"/>
      <c r="BW42" s="88"/>
      <c r="BX42" s="88"/>
      <c r="BY42" s="88"/>
      <c r="BZ42" s="115"/>
      <c r="CA42" s="115"/>
      <c r="CB42" s="115"/>
      <c r="CC42" s="115"/>
      <c r="CD42" s="99"/>
      <c r="CE42" s="99"/>
      <c r="CF42" s="99"/>
      <c r="CG42" s="99"/>
      <c r="CH42" s="116"/>
      <c r="CI42" s="116"/>
      <c r="CJ42" s="116"/>
      <c r="CK42" s="116"/>
      <c r="CL42" s="117"/>
      <c r="CM42" s="117"/>
      <c r="CN42" s="117"/>
      <c r="CO42" s="117"/>
      <c r="CP42" s="88"/>
      <c r="CQ42" s="88"/>
      <c r="CR42" s="88"/>
      <c r="CS42" s="88"/>
      <c r="CT42" s="114"/>
      <c r="CU42" s="114"/>
      <c r="CV42" s="114"/>
      <c r="CW42" s="114"/>
      <c r="CX42" s="118"/>
      <c r="CY42" s="118"/>
      <c r="CZ42" s="118"/>
      <c r="DA42" s="118"/>
      <c r="DB42" s="119"/>
      <c r="DC42" s="119"/>
      <c r="DD42" s="119"/>
      <c r="DE42" s="119"/>
    </row>
    <row r="43" s="120" customFormat="true" ht="15" hidden="false" customHeight="false" outlineLevel="0" collapsed="false">
      <c r="A43" s="97" t="s">
        <v>1325</v>
      </c>
      <c r="B43" s="98" t="s">
        <v>1297</v>
      </c>
      <c r="C43" s="98" t="s">
        <v>1304</v>
      </c>
      <c r="D43" s="98" t="s">
        <v>1297</v>
      </c>
      <c r="E43" s="98"/>
      <c r="F43" s="99" t="s">
        <v>135</v>
      </c>
      <c r="G43" s="99" t="s">
        <v>1215</v>
      </c>
      <c r="H43" s="99" t="s">
        <v>135</v>
      </c>
      <c r="I43" s="99" t="s">
        <v>16</v>
      </c>
      <c r="J43" s="100" t="s">
        <v>1311</v>
      </c>
      <c r="K43" s="140" t="s">
        <v>72</v>
      </c>
      <c r="L43" s="100"/>
      <c r="M43" s="100" t="s">
        <v>1180</v>
      </c>
      <c r="N43" s="101" t="s">
        <v>1257</v>
      </c>
      <c r="O43" s="101" t="s">
        <v>1215</v>
      </c>
      <c r="P43" s="101" t="s">
        <v>1257</v>
      </c>
      <c r="Q43" s="101"/>
      <c r="R43" s="102" t="s">
        <v>1257</v>
      </c>
      <c r="S43" s="102" t="s">
        <v>1215</v>
      </c>
      <c r="T43" s="102" t="s">
        <v>1257</v>
      </c>
      <c r="U43" s="102"/>
      <c r="V43" s="103" t="s">
        <v>1257</v>
      </c>
      <c r="W43" s="103" t="s">
        <v>1215</v>
      </c>
      <c r="X43" s="103" t="s">
        <v>1257</v>
      </c>
      <c r="Y43" s="103" t="s">
        <v>1280</v>
      </c>
      <c r="Z43" s="104" t="s">
        <v>1307</v>
      </c>
      <c r="AA43" s="104" t="s">
        <v>1215</v>
      </c>
      <c r="AB43" s="104" t="s">
        <v>1307</v>
      </c>
      <c r="AC43" s="104" t="s">
        <v>16</v>
      </c>
      <c r="AD43" s="105"/>
      <c r="AE43" s="105"/>
      <c r="AF43" s="105"/>
      <c r="AG43" s="105"/>
      <c r="AH43" s="106" t="s">
        <v>869</v>
      </c>
      <c r="AI43" s="106" t="s">
        <v>923</v>
      </c>
      <c r="AJ43" s="106"/>
      <c r="AK43" s="106"/>
      <c r="AL43" s="107"/>
      <c r="AM43" s="107"/>
      <c r="AN43" s="107"/>
      <c r="AO43" s="107"/>
      <c r="AP43" s="108" t="s">
        <v>1297</v>
      </c>
      <c r="AQ43" s="108" t="s">
        <v>1304</v>
      </c>
      <c r="AR43" s="108" t="s">
        <v>1297</v>
      </c>
      <c r="AS43" s="108" t="s">
        <v>74</v>
      </c>
      <c r="AT43" s="109"/>
      <c r="AU43" s="109"/>
      <c r="AV43" s="109"/>
      <c r="AW43" s="109"/>
      <c r="AX43" s="110"/>
      <c r="AY43" s="110"/>
      <c r="AZ43" s="110"/>
      <c r="BA43" s="110"/>
      <c r="BB43" s="111"/>
      <c r="BC43" s="111"/>
      <c r="BD43" s="111"/>
      <c r="BE43" s="111"/>
      <c r="BF43" s="112" t="s">
        <v>445</v>
      </c>
      <c r="BG43" s="112" t="s">
        <v>443</v>
      </c>
      <c r="BH43" s="112"/>
      <c r="BI43" s="112"/>
      <c r="BJ43" s="113" t="s">
        <v>1297</v>
      </c>
      <c r="BK43" s="113" t="s">
        <v>1284</v>
      </c>
      <c r="BL43" s="113" t="s">
        <v>1297</v>
      </c>
      <c r="BM43" s="113"/>
      <c r="BN43" s="99" t="s">
        <v>1272</v>
      </c>
      <c r="BO43" s="99" t="s">
        <v>1215</v>
      </c>
      <c r="BP43" s="99" t="s">
        <v>1272</v>
      </c>
      <c r="BQ43" s="132" t="s">
        <v>59</v>
      </c>
      <c r="BR43" s="114" t="s">
        <v>1297</v>
      </c>
      <c r="BS43" s="114" t="s">
        <v>1304</v>
      </c>
      <c r="BT43" s="114" t="s">
        <v>1297</v>
      </c>
      <c r="BU43" s="128" t="s">
        <v>1326</v>
      </c>
      <c r="BV43" s="88" t="s">
        <v>22</v>
      </c>
      <c r="BW43" s="135" t="s">
        <v>780</v>
      </c>
      <c r="BX43" s="88" t="s">
        <v>22</v>
      </c>
      <c r="BY43" s="88"/>
      <c r="BZ43" s="115" t="s">
        <v>1208</v>
      </c>
      <c r="CA43" s="115" t="s">
        <v>1215</v>
      </c>
      <c r="CB43" s="115" t="s">
        <v>1208</v>
      </c>
      <c r="CC43" s="115" t="s">
        <v>16</v>
      </c>
      <c r="CD43" s="99" t="s">
        <v>1297</v>
      </c>
      <c r="CE43" s="99" t="s">
        <v>1304</v>
      </c>
      <c r="CF43" s="99" t="s">
        <v>1297</v>
      </c>
      <c r="CG43" s="132" t="s">
        <v>462</v>
      </c>
      <c r="CH43" s="116" t="s">
        <v>1272</v>
      </c>
      <c r="CI43" s="116" t="s">
        <v>1215</v>
      </c>
      <c r="CJ43" s="116" t="s">
        <v>16</v>
      </c>
      <c r="CK43" s="116" t="s">
        <v>16</v>
      </c>
      <c r="CL43" s="117" t="s">
        <v>1272</v>
      </c>
      <c r="CM43" s="117" t="s">
        <v>1215</v>
      </c>
      <c r="CN43" s="117" t="s">
        <v>16</v>
      </c>
      <c r="CO43" s="117" t="s">
        <v>16</v>
      </c>
      <c r="CP43" s="88" t="s">
        <v>1272</v>
      </c>
      <c r="CQ43" s="88" t="s">
        <v>1215</v>
      </c>
      <c r="CR43" s="88" t="s">
        <v>1272</v>
      </c>
      <c r="CS43" s="88"/>
      <c r="CT43" s="114" t="s">
        <v>1272</v>
      </c>
      <c r="CU43" s="114" t="s">
        <v>1215</v>
      </c>
      <c r="CV43" s="114" t="s">
        <v>1272</v>
      </c>
      <c r="CW43" s="114"/>
      <c r="CX43" s="118" t="s">
        <v>169</v>
      </c>
      <c r="CY43" s="118" t="s">
        <v>169</v>
      </c>
      <c r="CZ43" s="118" t="s">
        <v>169</v>
      </c>
      <c r="DA43" s="130" t="s">
        <v>59</v>
      </c>
      <c r="DB43" s="119" t="s">
        <v>80</v>
      </c>
      <c r="DC43" s="131" t="s">
        <v>184</v>
      </c>
      <c r="DD43" s="119" t="s">
        <v>80</v>
      </c>
      <c r="DE43" s="131" t="s">
        <v>59</v>
      </c>
    </row>
    <row r="44" s="120" customFormat="true" ht="15" hidden="false" customHeight="false" outlineLevel="0" collapsed="false">
      <c r="A44" s="97" t="s">
        <v>1327</v>
      </c>
      <c r="B44" s="98" t="s">
        <v>14</v>
      </c>
      <c r="C44" s="98" t="s">
        <v>1272</v>
      </c>
      <c r="D44" s="98" t="s">
        <v>14</v>
      </c>
      <c r="E44" s="98"/>
      <c r="F44" s="99" t="s">
        <v>18</v>
      </c>
      <c r="G44" s="99" t="s">
        <v>80</v>
      </c>
      <c r="H44" s="99" t="s">
        <v>18</v>
      </c>
      <c r="I44" s="99"/>
      <c r="J44" s="100" t="s">
        <v>14</v>
      </c>
      <c r="K44" s="100" t="s">
        <v>1272</v>
      </c>
      <c r="L44" s="100"/>
      <c r="M44" s="100" t="s">
        <v>1220</v>
      </c>
      <c r="N44" s="101" t="s">
        <v>45</v>
      </c>
      <c r="O44" s="101" t="s">
        <v>102</v>
      </c>
      <c r="P44" s="101" t="s">
        <v>45</v>
      </c>
      <c r="Q44" s="101"/>
      <c r="R44" s="142" t="s">
        <v>66</v>
      </c>
      <c r="S44" s="142" t="s">
        <v>94</v>
      </c>
      <c r="T44" s="142" t="s">
        <v>66</v>
      </c>
      <c r="U44" s="142"/>
      <c r="V44" s="143" t="s">
        <v>149</v>
      </c>
      <c r="W44" s="143" t="s">
        <v>151</v>
      </c>
      <c r="X44" s="143" t="s">
        <v>114</v>
      </c>
      <c r="Y44" s="103" t="s">
        <v>153</v>
      </c>
      <c r="Z44" s="134" t="s">
        <v>1297</v>
      </c>
      <c r="AA44" s="134" t="s">
        <v>1304</v>
      </c>
      <c r="AB44" s="134" t="s">
        <v>1297</v>
      </c>
      <c r="AC44" s="104" t="s">
        <v>1259</v>
      </c>
      <c r="AD44" s="105"/>
      <c r="AE44" s="105"/>
      <c r="AF44" s="105"/>
      <c r="AG44" s="105"/>
      <c r="AH44" s="106" t="s">
        <v>865</v>
      </c>
      <c r="AI44" s="106"/>
      <c r="AJ44" s="106"/>
      <c r="AK44" s="106"/>
      <c r="AL44" s="107"/>
      <c r="AM44" s="107"/>
      <c r="AN44" s="107"/>
      <c r="AO44" s="107"/>
      <c r="AP44" s="108" t="s">
        <v>14</v>
      </c>
      <c r="AQ44" s="108" t="s">
        <v>1272</v>
      </c>
      <c r="AR44" s="108" t="s">
        <v>14</v>
      </c>
      <c r="AS44" s="122" t="s">
        <v>98</v>
      </c>
      <c r="AT44" s="109" t="s">
        <v>14</v>
      </c>
      <c r="AU44" s="109" t="s">
        <v>1272</v>
      </c>
      <c r="AV44" s="109" t="s">
        <v>14</v>
      </c>
      <c r="AW44" s="109"/>
      <c r="AX44" s="110" t="s">
        <v>14</v>
      </c>
      <c r="AY44" s="110" t="s">
        <v>1272</v>
      </c>
      <c r="AZ44" s="110" t="s">
        <v>14</v>
      </c>
      <c r="BA44" s="110"/>
      <c r="BB44" s="111" t="s">
        <v>14</v>
      </c>
      <c r="BC44" s="111" t="s">
        <v>1272</v>
      </c>
      <c r="BD44" s="111" t="s">
        <v>14</v>
      </c>
      <c r="BE44" s="111"/>
      <c r="BF44" s="112" t="s">
        <v>437</v>
      </c>
      <c r="BG44" s="112" t="s">
        <v>435</v>
      </c>
      <c r="BH44" s="112"/>
      <c r="BI44" s="112"/>
      <c r="BJ44" s="113" t="s">
        <v>1302</v>
      </c>
      <c r="BK44" s="113" t="s">
        <v>713</v>
      </c>
      <c r="BL44" s="113" t="s">
        <v>1302</v>
      </c>
      <c r="BM44" s="113"/>
      <c r="BN44" s="99" t="s">
        <v>1257</v>
      </c>
      <c r="BO44" s="99" t="s">
        <v>1307</v>
      </c>
      <c r="BP44" s="99" t="s">
        <v>1257</v>
      </c>
      <c r="BQ44" s="132" t="s">
        <v>88</v>
      </c>
      <c r="BR44" s="114" t="s">
        <v>1328</v>
      </c>
      <c r="BS44" s="114" t="s">
        <v>1272</v>
      </c>
      <c r="BT44" s="114" t="s">
        <v>1328</v>
      </c>
      <c r="BU44" s="114" t="s">
        <v>1329</v>
      </c>
      <c r="BV44" s="88" t="s">
        <v>23</v>
      </c>
      <c r="BW44" s="88" t="s">
        <v>782</v>
      </c>
      <c r="BX44" s="88" t="s">
        <v>23</v>
      </c>
      <c r="BY44" s="88"/>
      <c r="BZ44" s="129" t="s">
        <v>72</v>
      </c>
      <c r="CA44" s="115" t="s">
        <v>1269</v>
      </c>
      <c r="CB44" s="129" t="s">
        <v>72</v>
      </c>
      <c r="CC44" s="115" t="s">
        <v>88</v>
      </c>
      <c r="CD44" s="99" t="s">
        <v>14</v>
      </c>
      <c r="CE44" s="99" t="s">
        <v>1272</v>
      </c>
      <c r="CF44" s="99" t="s">
        <v>14</v>
      </c>
      <c r="CG44" s="132" t="s">
        <v>461</v>
      </c>
      <c r="CH44" s="116" t="s">
        <v>18</v>
      </c>
      <c r="CI44" s="116" t="s">
        <v>80</v>
      </c>
      <c r="CJ44" s="116" t="s">
        <v>18</v>
      </c>
      <c r="CK44" s="116"/>
      <c r="CL44" s="117" t="s">
        <v>18</v>
      </c>
      <c r="CM44" s="117" t="s">
        <v>80</v>
      </c>
      <c r="CN44" s="117" t="s">
        <v>18</v>
      </c>
      <c r="CO44" s="117"/>
      <c r="CP44" s="88" t="s">
        <v>16</v>
      </c>
      <c r="CQ44" s="88" t="s">
        <v>18</v>
      </c>
      <c r="CR44" s="88" t="s">
        <v>16</v>
      </c>
      <c r="CS44" s="88" t="s">
        <v>80</v>
      </c>
      <c r="CT44" s="114" t="s">
        <v>80</v>
      </c>
      <c r="CU44" s="114" t="s">
        <v>18</v>
      </c>
      <c r="CV44" s="114" t="s">
        <v>80</v>
      </c>
      <c r="CW44" s="114" t="s">
        <v>1259</v>
      </c>
      <c r="CX44" s="130" t="s">
        <v>159</v>
      </c>
      <c r="CY44" s="130" t="s">
        <v>123</v>
      </c>
      <c r="CZ44" s="130" t="s">
        <v>159</v>
      </c>
      <c r="DA44" s="118" t="s">
        <v>1330</v>
      </c>
      <c r="DB44" s="131" t="s">
        <v>14</v>
      </c>
      <c r="DC44" s="131" t="s">
        <v>1291</v>
      </c>
      <c r="DD44" s="131" t="s">
        <v>14</v>
      </c>
      <c r="DE44" s="119" t="s">
        <v>1330</v>
      </c>
    </row>
    <row r="45" s="120" customFormat="true" ht="15" hidden="false" customHeight="false" outlineLevel="0" collapsed="false">
      <c r="A45" s="97" t="s">
        <v>1331</v>
      </c>
      <c r="B45" s="98" t="s">
        <v>1189</v>
      </c>
      <c r="C45" s="98" t="s">
        <v>1172</v>
      </c>
      <c r="D45" s="98" t="s">
        <v>1189</v>
      </c>
      <c r="E45" s="98"/>
      <c r="F45" s="99" t="s">
        <v>169</v>
      </c>
      <c r="G45" s="99" t="s">
        <v>133</v>
      </c>
      <c r="H45" s="99"/>
      <c r="I45" s="99"/>
      <c r="J45" s="100" t="s">
        <v>1280</v>
      </c>
      <c r="K45" s="140" t="s">
        <v>59</v>
      </c>
      <c r="L45" s="100"/>
      <c r="M45" s="100"/>
      <c r="N45" s="101" t="s">
        <v>18</v>
      </c>
      <c r="O45" s="101" t="s">
        <v>1280</v>
      </c>
      <c r="P45" s="101" t="s">
        <v>18</v>
      </c>
      <c r="Q45" s="101" t="s">
        <v>1189</v>
      </c>
      <c r="R45" s="102" t="s">
        <v>1272</v>
      </c>
      <c r="S45" s="102" t="s">
        <v>1307</v>
      </c>
      <c r="T45" s="102" t="s">
        <v>1272</v>
      </c>
      <c r="U45" s="142" t="s">
        <v>59</v>
      </c>
      <c r="V45" s="103" t="s">
        <v>145</v>
      </c>
      <c r="W45" s="103" t="s">
        <v>147</v>
      </c>
      <c r="X45" s="103" t="s">
        <v>110</v>
      </c>
      <c r="Y45" s="143" t="s">
        <v>1189</v>
      </c>
      <c r="Z45" s="134" t="s">
        <v>173</v>
      </c>
      <c r="AA45" s="104" t="s">
        <v>171</v>
      </c>
      <c r="AB45" s="104"/>
      <c r="AC45" s="134" t="s">
        <v>1332</v>
      </c>
      <c r="AD45" s="105"/>
      <c r="AE45" s="105"/>
      <c r="AF45" s="105"/>
      <c r="AG45" s="105"/>
      <c r="AH45" s="106" t="s">
        <v>911</v>
      </c>
      <c r="AI45" s="106" t="s">
        <v>780</v>
      </c>
      <c r="AJ45" s="106"/>
      <c r="AK45" s="106"/>
      <c r="AL45" s="107" t="s">
        <v>550</v>
      </c>
      <c r="AM45" s="107" t="s">
        <v>1220</v>
      </c>
      <c r="AN45" s="107" t="s">
        <v>550</v>
      </c>
      <c r="AO45" s="107"/>
      <c r="AP45" s="108" t="s">
        <v>1189</v>
      </c>
      <c r="AQ45" s="108" t="s">
        <v>1172</v>
      </c>
      <c r="AR45" s="108" t="s">
        <v>1189</v>
      </c>
      <c r="AS45" s="122" t="s">
        <v>66</v>
      </c>
      <c r="AT45" s="109" t="s">
        <v>387</v>
      </c>
      <c r="AU45" s="109" t="s">
        <v>343</v>
      </c>
      <c r="AV45" s="109"/>
      <c r="AW45" s="109"/>
      <c r="AX45" s="110" t="s">
        <v>387</v>
      </c>
      <c r="AY45" s="110" t="s">
        <v>343</v>
      </c>
      <c r="AZ45" s="110"/>
      <c r="BA45" s="110"/>
      <c r="BB45" s="111" t="s">
        <v>387</v>
      </c>
      <c r="BC45" s="111" t="s">
        <v>343</v>
      </c>
      <c r="BD45" s="111"/>
      <c r="BE45" s="111"/>
      <c r="BF45" s="112" t="s">
        <v>387</v>
      </c>
      <c r="BG45" s="112" t="s">
        <v>343</v>
      </c>
      <c r="BH45" s="112"/>
      <c r="BI45" s="112"/>
      <c r="BJ45" s="113" t="s">
        <v>388</v>
      </c>
      <c r="BK45" s="113" t="s">
        <v>344</v>
      </c>
      <c r="BL45" s="113"/>
      <c r="BM45" s="113"/>
      <c r="BN45" s="99" t="s">
        <v>1333</v>
      </c>
      <c r="BO45" s="99" t="s">
        <v>1334</v>
      </c>
      <c r="BP45" s="99" t="s">
        <v>1333</v>
      </c>
      <c r="BQ45" s="132" t="s">
        <v>163</v>
      </c>
      <c r="BR45" s="114" t="s">
        <v>1335</v>
      </c>
      <c r="BS45" s="114" t="s">
        <v>1336</v>
      </c>
      <c r="BT45" s="114" t="s">
        <v>1335</v>
      </c>
      <c r="BU45" s="114" t="s">
        <v>1337</v>
      </c>
      <c r="BV45" s="88" t="s">
        <v>1189</v>
      </c>
      <c r="BW45" s="88" t="s">
        <v>788</v>
      </c>
      <c r="BX45" s="88" t="s">
        <v>1189</v>
      </c>
      <c r="BY45" s="88"/>
      <c r="BZ45" s="129" t="s">
        <v>59</v>
      </c>
      <c r="CA45" s="115" t="s">
        <v>1280</v>
      </c>
      <c r="CB45" s="129" t="s">
        <v>59</v>
      </c>
      <c r="CC45" s="129"/>
      <c r="CD45" s="99" t="s">
        <v>1189</v>
      </c>
      <c r="CE45" s="99" t="s">
        <v>1172</v>
      </c>
      <c r="CF45" s="99" t="s">
        <v>1189</v>
      </c>
      <c r="CG45" s="132" t="s">
        <v>1338</v>
      </c>
      <c r="CH45" s="116" t="s">
        <v>1339</v>
      </c>
      <c r="CI45" s="116" t="s">
        <v>1340</v>
      </c>
      <c r="CJ45" s="116" t="s">
        <v>1339</v>
      </c>
      <c r="CK45" s="116"/>
      <c r="CL45" s="117" t="s">
        <v>1339</v>
      </c>
      <c r="CM45" s="117" t="s">
        <v>1340</v>
      </c>
      <c r="CN45" s="117" t="s">
        <v>1339</v>
      </c>
      <c r="CO45" s="117"/>
      <c r="CP45" s="88" t="s">
        <v>1339</v>
      </c>
      <c r="CQ45" s="88" t="s">
        <v>1340</v>
      </c>
      <c r="CR45" s="88" t="s">
        <v>1339</v>
      </c>
      <c r="CS45" s="88"/>
      <c r="CT45" s="114" t="s">
        <v>1339</v>
      </c>
      <c r="CU45" s="114" t="s">
        <v>1340</v>
      </c>
      <c r="CV45" s="114" t="s">
        <v>1339</v>
      </c>
      <c r="CW45" s="114"/>
      <c r="CX45" s="118" t="s">
        <v>1335</v>
      </c>
      <c r="CY45" s="118" t="s">
        <v>1336</v>
      </c>
      <c r="CZ45" s="118" t="s">
        <v>1335</v>
      </c>
      <c r="DA45" s="130" t="s">
        <v>163</v>
      </c>
      <c r="DB45" s="119" t="s">
        <v>1341</v>
      </c>
      <c r="DC45" s="119" t="s">
        <v>1208</v>
      </c>
      <c r="DD45" s="119" t="s">
        <v>1341</v>
      </c>
      <c r="DE45" s="131" t="s">
        <v>163</v>
      </c>
    </row>
    <row r="46" s="120" customFormat="true" ht="15" hidden="false" customHeight="false" outlineLevel="0" collapsed="false">
      <c r="A46" s="97" t="s">
        <v>1342</v>
      </c>
      <c r="B46" s="98" t="s">
        <v>1180</v>
      </c>
      <c r="C46" s="98" t="s">
        <v>1220</v>
      </c>
      <c r="D46" s="98" t="s">
        <v>1180</v>
      </c>
      <c r="E46" s="98"/>
      <c r="F46" s="99" t="s">
        <v>1272</v>
      </c>
      <c r="G46" s="99" t="s">
        <v>1307</v>
      </c>
      <c r="H46" s="99"/>
      <c r="I46" s="99" t="s">
        <v>1269</v>
      </c>
      <c r="J46" s="100" t="s">
        <v>1284</v>
      </c>
      <c r="K46" s="100" t="s">
        <v>49</v>
      </c>
      <c r="L46" s="140"/>
      <c r="M46" s="140" t="s">
        <v>51</v>
      </c>
      <c r="N46" s="101" t="s">
        <v>1272</v>
      </c>
      <c r="O46" s="101" t="s">
        <v>1307</v>
      </c>
      <c r="P46" s="101" t="s">
        <v>1272</v>
      </c>
      <c r="Q46" s="101" t="s">
        <v>1180</v>
      </c>
      <c r="R46" s="142" t="s">
        <v>80</v>
      </c>
      <c r="S46" s="102" t="s">
        <v>18</v>
      </c>
      <c r="T46" s="142" t="s">
        <v>80</v>
      </c>
      <c r="U46" s="142" t="s">
        <v>1180</v>
      </c>
      <c r="V46" s="143" t="s">
        <v>1272</v>
      </c>
      <c r="W46" s="143" t="s">
        <v>1307</v>
      </c>
      <c r="X46" s="143" t="s">
        <v>1272</v>
      </c>
      <c r="Y46" s="103" t="s">
        <v>1180</v>
      </c>
      <c r="Z46" s="134" t="s">
        <v>169</v>
      </c>
      <c r="AA46" s="134" t="s">
        <v>133</v>
      </c>
      <c r="AB46" s="134"/>
      <c r="AC46" s="104" t="s">
        <v>1269</v>
      </c>
      <c r="AD46" s="105"/>
      <c r="AE46" s="105"/>
      <c r="AF46" s="105"/>
      <c r="AG46" s="105"/>
      <c r="AH46" s="106" t="s">
        <v>913</v>
      </c>
      <c r="AI46" s="106" t="s">
        <v>782</v>
      </c>
      <c r="AJ46" s="106"/>
      <c r="AK46" s="106"/>
      <c r="AL46" s="107" t="s">
        <v>559</v>
      </c>
      <c r="AM46" s="107" t="s">
        <v>1172</v>
      </c>
      <c r="AN46" s="107" t="s">
        <v>559</v>
      </c>
      <c r="AO46" s="107"/>
      <c r="AP46" s="108" t="s">
        <v>1180</v>
      </c>
      <c r="AQ46" s="108" t="s">
        <v>1220</v>
      </c>
      <c r="AR46" s="108" t="s">
        <v>1180</v>
      </c>
      <c r="AS46" s="122" t="s">
        <v>94</v>
      </c>
      <c r="AT46" s="109" t="s">
        <v>407</v>
      </c>
      <c r="AU46" s="109" t="s">
        <v>310</v>
      </c>
      <c r="AV46" s="109"/>
      <c r="AW46" s="109"/>
      <c r="AX46" s="110" t="s">
        <v>392</v>
      </c>
      <c r="AY46" s="110" t="s">
        <v>348</v>
      </c>
      <c r="AZ46" s="110"/>
      <c r="BA46" s="110"/>
      <c r="BB46" s="111" t="s">
        <v>1257</v>
      </c>
      <c r="BC46" s="111"/>
      <c r="BD46" s="111"/>
      <c r="BE46" s="111"/>
      <c r="BF46" s="112" t="s">
        <v>392</v>
      </c>
      <c r="BG46" s="112" t="s">
        <v>348</v>
      </c>
      <c r="BH46" s="112"/>
      <c r="BI46" s="112"/>
      <c r="BJ46" s="113" t="s">
        <v>1232</v>
      </c>
      <c r="BK46" s="113" t="s">
        <v>57</v>
      </c>
      <c r="BL46" s="113"/>
      <c r="BM46" s="113"/>
      <c r="BN46" s="99" t="s">
        <v>1343</v>
      </c>
      <c r="BO46" s="99" t="s">
        <v>1344</v>
      </c>
      <c r="BP46" s="99"/>
      <c r="BQ46" s="132" t="s">
        <v>127</v>
      </c>
      <c r="BR46" s="128" t="s">
        <v>153</v>
      </c>
      <c r="BS46" s="128" t="s">
        <v>117</v>
      </c>
      <c r="BT46" s="128" t="s">
        <v>117</v>
      </c>
      <c r="BU46" s="114" t="s">
        <v>1345</v>
      </c>
      <c r="BV46" s="88" t="s">
        <v>1180</v>
      </c>
      <c r="BW46" s="88" t="s">
        <v>790</v>
      </c>
      <c r="BX46" s="88" t="s">
        <v>1180</v>
      </c>
      <c r="BY46" s="135"/>
      <c r="BZ46" s="115" t="s">
        <v>1307</v>
      </c>
      <c r="CA46" s="115" t="s">
        <v>1259</v>
      </c>
      <c r="CB46" s="115" t="s">
        <v>1307</v>
      </c>
      <c r="CC46" s="115"/>
      <c r="CD46" s="99" t="s">
        <v>1180</v>
      </c>
      <c r="CE46" s="99" t="s">
        <v>1220</v>
      </c>
      <c r="CF46" s="99" t="s">
        <v>1180</v>
      </c>
      <c r="CG46" s="99"/>
      <c r="CH46" s="138" t="s">
        <v>59</v>
      </c>
      <c r="CI46" s="116" t="s">
        <v>1280</v>
      </c>
      <c r="CJ46" s="138" t="s">
        <v>59</v>
      </c>
      <c r="CK46" s="116" t="s">
        <v>1269</v>
      </c>
      <c r="CL46" s="139" t="s">
        <v>59</v>
      </c>
      <c r="CM46" s="117" t="s">
        <v>1280</v>
      </c>
      <c r="CN46" s="139" t="s">
        <v>59</v>
      </c>
      <c r="CO46" s="117" t="s">
        <v>1269</v>
      </c>
      <c r="CP46" s="135" t="s">
        <v>59</v>
      </c>
      <c r="CQ46" s="88" t="s">
        <v>1280</v>
      </c>
      <c r="CR46" s="135" t="s">
        <v>59</v>
      </c>
      <c r="CS46" s="88" t="s">
        <v>1269</v>
      </c>
      <c r="CT46" s="128" t="s">
        <v>59</v>
      </c>
      <c r="CU46" s="114" t="s">
        <v>1280</v>
      </c>
      <c r="CV46" s="128" t="s">
        <v>59</v>
      </c>
      <c r="CW46" s="114" t="s">
        <v>1269</v>
      </c>
      <c r="CX46" s="130" t="s">
        <v>167</v>
      </c>
      <c r="CY46" s="130" t="s">
        <v>131</v>
      </c>
      <c r="CZ46" s="130" t="s">
        <v>167</v>
      </c>
      <c r="DA46" s="118" t="s">
        <v>1346</v>
      </c>
      <c r="DB46" s="131" t="s">
        <v>1311</v>
      </c>
      <c r="DC46" s="131" t="s">
        <v>1292</v>
      </c>
      <c r="DD46" s="131" t="s">
        <v>1311</v>
      </c>
      <c r="DE46" s="119" t="s">
        <v>1346</v>
      </c>
    </row>
    <row r="47" s="120" customFormat="true" ht="15" hidden="false" customHeight="false" outlineLevel="0" collapsed="false">
      <c r="A47" s="97" t="s">
        <v>1347</v>
      </c>
      <c r="B47" s="98" t="s">
        <v>16</v>
      </c>
      <c r="C47" s="98" t="s">
        <v>1259</v>
      </c>
      <c r="D47" s="98" t="s">
        <v>16</v>
      </c>
      <c r="E47" s="98"/>
      <c r="F47" s="99" t="s">
        <v>1263</v>
      </c>
      <c r="G47" s="99" t="s">
        <v>1257</v>
      </c>
      <c r="H47" s="99"/>
      <c r="I47" s="99"/>
      <c r="J47" s="100" t="s">
        <v>1307</v>
      </c>
      <c r="K47" s="100" t="s">
        <v>82</v>
      </c>
      <c r="L47" s="100"/>
      <c r="M47" s="100"/>
      <c r="N47" s="101" t="s">
        <v>143</v>
      </c>
      <c r="O47" s="101" t="s">
        <v>108</v>
      </c>
      <c r="P47" s="101"/>
      <c r="Q47" s="101" t="s">
        <v>1220</v>
      </c>
      <c r="R47" s="102" t="s">
        <v>1269</v>
      </c>
      <c r="S47" s="102" t="s">
        <v>1280</v>
      </c>
      <c r="T47" s="102" t="s">
        <v>1269</v>
      </c>
      <c r="U47" s="102"/>
      <c r="V47" s="103" t="s">
        <v>165</v>
      </c>
      <c r="W47" s="103" t="s">
        <v>167</v>
      </c>
      <c r="X47" s="103" t="s">
        <v>129</v>
      </c>
      <c r="Y47" s="103" t="s">
        <v>1348</v>
      </c>
      <c r="Z47" s="104" t="s">
        <v>1214</v>
      </c>
      <c r="AA47" s="104" t="s">
        <v>1232</v>
      </c>
      <c r="AB47" s="104"/>
      <c r="AC47" s="104" t="s">
        <v>18</v>
      </c>
      <c r="AD47" s="105"/>
      <c r="AE47" s="105"/>
      <c r="AF47" s="105"/>
      <c r="AG47" s="105"/>
      <c r="AH47" s="106" t="s">
        <v>879</v>
      </c>
      <c r="AI47" s="106"/>
      <c r="AJ47" s="106"/>
      <c r="AK47" s="106"/>
      <c r="AL47" s="107" t="s">
        <v>562</v>
      </c>
      <c r="AM47" s="121" t="s">
        <v>1349</v>
      </c>
      <c r="AN47" s="107" t="s">
        <v>562</v>
      </c>
      <c r="AO47" s="107"/>
      <c r="AP47" s="108" t="s">
        <v>16</v>
      </c>
      <c r="AQ47" s="122" t="s">
        <v>1259</v>
      </c>
      <c r="AR47" s="108" t="s">
        <v>16</v>
      </c>
      <c r="AS47" s="108" t="s">
        <v>68</v>
      </c>
      <c r="AT47" s="109" t="s">
        <v>16</v>
      </c>
      <c r="AU47" s="123" t="s">
        <v>1208</v>
      </c>
      <c r="AV47" s="109"/>
      <c r="AW47" s="109"/>
      <c r="AX47" s="110" t="s">
        <v>16</v>
      </c>
      <c r="AY47" s="124" t="s">
        <v>1208</v>
      </c>
      <c r="AZ47" s="110"/>
      <c r="BA47" s="110"/>
      <c r="BB47" s="111" t="s">
        <v>16</v>
      </c>
      <c r="BC47" s="125" t="s">
        <v>1208</v>
      </c>
      <c r="BD47" s="111"/>
      <c r="BE47" s="111"/>
      <c r="BF47" s="112" t="s">
        <v>16</v>
      </c>
      <c r="BG47" s="126" t="s">
        <v>1208</v>
      </c>
      <c r="BH47" s="112"/>
      <c r="BI47" s="112"/>
      <c r="BJ47" s="113" t="s">
        <v>1350</v>
      </c>
      <c r="BK47" s="127" t="s">
        <v>1351</v>
      </c>
      <c r="BL47" s="113" t="s">
        <v>1350</v>
      </c>
      <c r="BM47" s="113"/>
      <c r="BN47" s="132" t="s">
        <v>159</v>
      </c>
      <c r="BO47" s="99" t="s">
        <v>1352</v>
      </c>
      <c r="BP47" s="132" t="s">
        <v>159</v>
      </c>
      <c r="BQ47" s="99" t="s">
        <v>1352</v>
      </c>
      <c r="BR47" s="128" t="s">
        <v>1353</v>
      </c>
      <c r="BS47" s="128" t="s">
        <v>1354</v>
      </c>
      <c r="BT47" s="128" t="s">
        <v>1354</v>
      </c>
      <c r="BU47" s="128" t="s">
        <v>1355</v>
      </c>
      <c r="BV47" s="88" t="s">
        <v>770</v>
      </c>
      <c r="BW47" s="88" t="s">
        <v>1083</v>
      </c>
      <c r="BX47" s="88" t="s">
        <v>770</v>
      </c>
      <c r="BY47" s="135"/>
      <c r="BZ47" s="115" t="s">
        <v>1216</v>
      </c>
      <c r="CA47" s="115" t="s">
        <v>1258</v>
      </c>
      <c r="CB47" s="115" t="s">
        <v>1216</v>
      </c>
      <c r="CC47" s="115"/>
      <c r="CD47" s="99" t="s">
        <v>16</v>
      </c>
      <c r="CE47" s="99" t="s">
        <v>1259</v>
      </c>
      <c r="CF47" s="99" t="s">
        <v>16</v>
      </c>
      <c r="CG47" s="99" t="s">
        <v>1356</v>
      </c>
      <c r="CH47" s="116" t="s">
        <v>1257</v>
      </c>
      <c r="CI47" s="116" t="s">
        <v>1307</v>
      </c>
      <c r="CJ47" s="116" t="s">
        <v>1257</v>
      </c>
      <c r="CK47" s="116"/>
      <c r="CL47" s="117" t="s">
        <v>1257</v>
      </c>
      <c r="CM47" s="117" t="s">
        <v>1307</v>
      </c>
      <c r="CN47" s="117" t="s">
        <v>1257</v>
      </c>
      <c r="CO47" s="117"/>
      <c r="CP47" s="88" t="s">
        <v>1257</v>
      </c>
      <c r="CQ47" s="88" t="s">
        <v>1307</v>
      </c>
      <c r="CR47" s="88" t="s">
        <v>1257</v>
      </c>
      <c r="CS47" s="88"/>
      <c r="CT47" s="114" t="s">
        <v>1257</v>
      </c>
      <c r="CU47" s="114" t="s">
        <v>1307</v>
      </c>
      <c r="CV47" s="114" t="s">
        <v>1257</v>
      </c>
      <c r="CW47" s="114"/>
      <c r="CX47" s="130" t="s">
        <v>1353</v>
      </c>
      <c r="CY47" s="130" t="s">
        <v>1354</v>
      </c>
      <c r="CZ47" s="130" t="s">
        <v>1354</v>
      </c>
      <c r="DA47" s="130" t="s">
        <v>51</v>
      </c>
      <c r="DB47" s="131" t="s">
        <v>59</v>
      </c>
      <c r="DC47" s="131" t="s">
        <v>1257</v>
      </c>
      <c r="DD47" s="131" t="s">
        <v>59</v>
      </c>
      <c r="DE47" s="131" t="s">
        <v>51</v>
      </c>
    </row>
    <row r="48" s="120" customFormat="true" ht="15" hidden="false" customHeight="false" outlineLevel="0" collapsed="false">
      <c r="A48" s="97" t="s">
        <v>1357</v>
      </c>
      <c r="B48" s="98" t="s">
        <v>1263</v>
      </c>
      <c r="C48" s="98" t="s">
        <v>1269</v>
      </c>
      <c r="D48" s="98" t="s">
        <v>1263</v>
      </c>
      <c r="E48" s="98"/>
      <c r="F48" s="99" t="s">
        <v>1263</v>
      </c>
      <c r="G48" s="99" t="s">
        <v>1257</v>
      </c>
      <c r="H48" s="99"/>
      <c r="I48" s="99"/>
      <c r="J48" s="100"/>
      <c r="K48" s="100"/>
      <c r="L48" s="100"/>
      <c r="M48" s="100"/>
      <c r="N48" s="101"/>
      <c r="O48" s="101"/>
      <c r="P48" s="101"/>
      <c r="Q48" s="101"/>
      <c r="R48" s="102"/>
      <c r="S48" s="102"/>
      <c r="T48" s="102"/>
      <c r="U48" s="102"/>
      <c r="V48" s="103"/>
      <c r="W48" s="103"/>
      <c r="X48" s="103"/>
      <c r="Y48" s="103"/>
      <c r="Z48" s="104"/>
      <c r="AA48" s="104"/>
      <c r="AB48" s="104"/>
      <c r="AC48" s="104"/>
      <c r="AD48" s="105"/>
      <c r="AE48" s="105"/>
      <c r="AF48" s="105"/>
      <c r="AG48" s="105"/>
      <c r="AH48" s="106"/>
      <c r="AI48" s="106"/>
      <c r="AJ48" s="106"/>
      <c r="AK48" s="106"/>
      <c r="AL48" s="107"/>
      <c r="AM48" s="107"/>
      <c r="AN48" s="107"/>
      <c r="AO48" s="107"/>
      <c r="AP48" s="108"/>
      <c r="AQ48" s="108"/>
      <c r="AR48" s="108"/>
      <c r="AS48" s="108"/>
      <c r="AT48" s="109"/>
      <c r="AU48" s="109"/>
      <c r="AV48" s="109"/>
      <c r="AW48" s="109"/>
      <c r="AX48" s="110"/>
      <c r="AY48" s="110"/>
      <c r="AZ48" s="110"/>
      <c r="BA48" s="110"/>
      <c r="BB48" s="111"/>
      <c r="BC48" s="111"/>
      <c r="BD48" s="111"/>
      <c r="BE48" s="111"/>
      <c r="BF48" s="112"/>
      <c r="BG48" s="112"/>
      <c r="BH48" s="112"/>
      <c r="BI48" s="112"/>
      <c r="BJ48" s="113"/>
      <c r="BK48" s="113"/>
      <c r="BL48" s="113"/>
      <c r="BM48" s="113"/>
      <c r="BN48" s="99"/>
      <c r="BO48" s="99"/>
      <c r="BP48" s="99"/>
      <c r="BQ48" s="99"/>
      <c r="BR48" s="114"/>
      <c r="BS48" s="114"/>
      <c r="BT48" s="114"/>
      <c r="BU48" s="114"/>
      <c r="BV48" s="88" t="s">
        <v>1263</v>
      </c>
      <c r="BW48" s="88" t="s">
        <v>1269</v>
      </c>
      <c r="BX48" s="88" t="s">
        <v>1263</v>
      </c>
      <c r="BY48" s="88"/>
      <c r="BZ48" s="115"/>
      <c r="CA48" s="115"/>
      <c r="CB48" s="115"/>
      <c r="CC48" s="115"/>
      <c r="CD48" s="99" t="s">
        <v>1263</v>
      </c>
      <c r="CE48" s="99" t="s">
        <v>1269</v>
      </c>
      <c r="CF48" s="99" t="s">
        <v>1263</v>
      </c>
      <c r="CG48" s="99"/>
      <c r="CH48" s="116"/>
      <c r="CI48" s="116"/>
      <c r="CJ48" s="116"/>
      <c r="CK48" s="116"/>
      <c r="CL48" s="117"/>
      <c r="CM48" s="117"/>
      <c r="CN48" s="117"/>
      <c r="CO48" s="117"/>
      <c r="CP48" s="88"/>
      <c r="CQ48" s="88"/>
      <c r="CR48" s="88"/>
      <c r="CS48" s="88"/>
      <c r="CT48" s="114"/>
      <c r="CU48" s="114"/>
      <c r="CV48" s="114"/>
      <c r="CW48" s="114"/>
      <c r="CX48" s="118"/>
      <c r="CY48" s="118"/>
      <c r="CZ48" s="118"/>
      <c r="DA48" s="118"/>
      <c r="DB48" s="119"/>
      <c r="DC48" s="119"/>
      <c r="DD48" s="119"/>
      <c r="DE48" s="119"/>
    </row>
    <row r="49" s="120" customFormat="true" ht="15" hidden="false" customHeight="false" outlineLevel="0" collapsed="false">
      <c r="A49" s="97" t="s">
        <v>1358</v>
      </c>
      <c r="B49" s="98" t="s">
        <v>1232</v>
      </c>
      <c r="C49" s="98" t="s">
        <v>1233</v>
      </c>
      <c r="D49" s="98" t="s">
        <v>1232</v>
      </c>
      <c r="E49" s="98"/>
      <c r="F49" s="99" t="s">
        <v>161</v>
      </c>
      <c r="G49" s="99" t="s">
        <v>125</v>
      </c>
      <c r="H49" s="99"/>
      <c r="I49" s="99"/>
      <c r="J49" s="100" t="s">
        <v>1211</v>
      </c>
      <c r="K49" s="100" t="s">
        <v>1212</v>
      </c>
      <c r="L49" s="100"/>
      <c r="M49" s="100"/>
      <c r="N49" s="101" t="s">
        <v>155</v>
      </c>
      <c r="O49" s="101" t="s">
        <v>119</v>
      </c>
      <c r="P49" s="101"/>
      <c r="Q49" s="101"/>
      <c r="R49" s="102" t="s">
        <v>143</v>
      </c>
      <c r="S49" s="102" t="s">
        <v>108</v>
      </c>
      <c r="T49" s="102"/>
      <c r="U49" s="102"/>
      <c r="V49" s="103" t="s">
        <v>157</v>
      </c>
      <c r="W49" s="143" t="s">
        <v>143</v>
      </c>
      <c r="X49" s="103" t="s">
        <v>121</v>
      </c>
      <c r="Y49" s="103" t="s">
        <v>1230</v>
      </c>
      <c r="Z49" s="134" t="s">
        <v>181</v>
      </c>
      <c r="AA49" s="134" t="s">
        <v>179</v>
      </c>
      <c r="AB49" s="104"/>
      <c r="AC49" s="104" t="s">
        <v>80</v>
      </c>
      <c r="AD49" s="105"/>
      <c r="AE49" s="105"/>
      <c r="AF49" s="105"/>
      <c r="AG49" s="105"/>
      <c r="AH49" s="106" t="s">
        <v>893</v>
      </c>
      <c r="AI49" s="106"/>
      <c r="AJ49" s="106"/>
      <c r="AK49" s="106"/>
      <c r="AL49" s="107" t="s">
        <v>619</v>
      </c>
      <c r="AM49" s="107" t="s">
        <v>1233</v>
      </c>
      <c r="AN49" s="107" t="s">
        <v>619</v>
      </c>
      <c r="AO49" s="107"/>
      <c r="AP49" s="108" t="s">
        <v>202</v>
      </c>
      <c r="AQ49" s="122" t="s">
        <v>61</v>
      </c>
      <c r="AR49" s="108" t="s">
        <v>202</v>
      </c>
      <c r="AS49" s="122" t="s">
        <v>204</v>
      </c>
      <c r="AT49" s="109" t="s">
        <v>366</v>
      </c>
      <c r="AU49" s="123" t="s">
        <v>322</v>
      </c>
      <c r="AV49" s="109"/>
      <c r="AW49" s="109"/>
      <c r="AX49" s="110" t="s">
        <v>366</v>
      </c>
      <c r="AY49" s="124" t="s">
        <v>322</v>
      </c>
      <c r="AZ49" s="110"/>
      <c r="BA49" s="110"/>
      <c r="BB49" s="111" t="s">
        <v>366</v>
      </c>
      <c r="BC49" s="125" t="s">
        <v>322</v>
      </c>
      <c r="BD49" s="111"/>
      <c r="BE49" s="111"/>
      <c r="BF49" s="112" t="s">
        <v>366</v>
      </c>
      <c r="BG49" s="126" t="s">
        <v>322</v>
      </c>
      <c r="BH49" s="112"/>
      <c r="BI49" s="112"/>
      <c r="BJ49" s="113" t="s">
        <v>374</v>
      </c>
      <c r="BK49" s="127" t="s">
        <v>330</v>
      </c>
      <c r="BL49" s="113"/>
      <c r="BM49" s="113"/>
      <c r="BN49" s="99" t="s">
        <v>1205</v>
      </c>
      <c r="BO49" s="99" t="s">
        <v>1209</v>
      </c>
      <c r="BP49" s="99"/>
      <c r="BQ49" s="99" t="s">
        <v>1284</v>
      </c>
      <c r="BR49" s="114" t="s">
        <v>1359</v>
      </c>
      <c r="BS49" s="114" t="s">
        <v>1360</v>
      </c>
      <c r="BT49" s="114" t="s">
        <v>1360</v>
      </c>
      <c r="BU49" s="114" t="s">
        <v>1361</v>
      </c>
      <c r="BV49" s="88" t="s">
        <v>1232</v>
      </c>
      <c r="BW49" s="88" t="s">
        <v>1233</v>
      </c>
      <c r="BX49" s="88" t="s">
        <v>1232</v>
      </c>
      <c r="BY49" s="88"/>
      <c r="BZ49" s="115" t="s">
        <v>1272</v>
      </c>
      <c r="CA49" s="115" t="s">
        <v>74</v>
      </c>
      <c r="CB49" s="115"/>
      <c r="CC49" s="115"/>
      <c r="CD49" s="99" t="s">
        <v>490</v>
      </c>
      <c r="CE49" s="99" t="s">
        <v>1233</v>
      </c>
      <c r="CF49" s="99"/>
      <c r="CG49" s="132" t="s">
        <v>1362</v>
      </c>
      <c r="CH49" s="116" t="s">
        <v>161</v>
      </c>
      <c r="CI49" s="116" t="s">
        <v>125</v>
      </c>
      <c r="CJ49" s="116" t="s">
        <v>161</v>
      </c>
      <c r="CK49" s="116"/>
      <c r="CL49" s="117" t="s">
        <v>161</v>
      </c>
      <c r="CM49" s="117" t="s">
        <v>125</v>
      </c>
      <c r="CN49" s="117" t="s">
        <v>161</v>
      </c>
      <c r="CO49" s="117"/>
      <c r="CP49" s="88" t="s">
        <v>1363</v>
      </c>
      <c r="CQ49" s="88" t="s">
        <v>1364</v>
      </c>
      <c r="CR49" s="88" t="s">
        <v>1363</v>
      </c>
      <c r="CS49" s="88"/>
      <c r="CT49" s="114" t="s">
        <v>1363</v>
      </c>
      <c r="CU49" s="114" t="s">
        <v>1364</v>
      </c>
      <c r="CV49" s="114" t="s">
        <v>1363</v>
      </c>
      <c r="CW49" s="114"/>
      <c r="CX49" s="130" t="s">
        <v>147</v>
      </c>
      <c r="CY49" s="130" t="s">
        <v>112</v>
      </c>
      <c r="CZ49" s="130" t="s">
        <v>147</v>
      </c>
      <c r="DA49" s="118" t="s">
        <v>1284</v>
      </c>
      <c r="DB49" s="131" t="s">
        <v>1365</v>
      </c>
      <c r="DC49" s="119" t="s">
        <v>8</v>
      </c>
      <c r="DD49" s="131" t="s">
        <v>1365</v>
      </c>
      <c r="DE49" s="119" t="s">
        <v>1284</v>
      </c>
    </row>
    <row r="50" s="120" customFormat="true" ht="15" hidden="false" customHeight="false" outlineLevel="0" collapsed="false">
      <c r="A50" s="97" t="s">
        <v>1366</v>
      </c>
      <c r="B50" s="98" t="s">
        <v>1257</v>
      </c>
      <c r="C50" s="98" t="s">
        <v>8</v>
      </c>
      <c r="D50" s="98" t="s">
        <v>1257</v>
      </c>
      <c r="E50" s="98"/>
      <c r="F50" s="99" t="s">
        <v>139</v>
      </c>
      <c r="G50" s="99" t="s">
        <v>106</v>
      </c>
      <c r="H50" s="99"/>
      <c r="I50" s="99"/>
      <c r="J50" s="100" t="s">
        <v>129</v>
      </c>
      <c r="K50" s="100" t="s">
        <v>1291</v>
      </c>
      <c r="L50" s="100"/>
      <c r="M50" s="100"/>
      <c r="N50" s="101" t="s">
        <v>80</v>
      </c>
      <c r="O50" s="101" t="s">
        <v>59</v>
      </c>
      <c r="P50" s="101" t="s">
        <v>80</v>
      </c>
      <c r="Q50" s="101" t="s">
        <v>1172</v>
      </c>
      <c r="R50" s="142" t="s">
        <v>92</v>
      </c>
      <c r="S50" s="142" t="s">
        <v>64</v>
      </c>
      <c r="T50" s="142" t="s">
        <v>92</v>
      </c>
      <c r="U50" s="142"/>
      <c r="V50" s="103" t="s">
        <v>137</v>
      </c>
      <c r="W50" s="143" t="s">
        <v>159</v>
      </c>
      <c r="X50" s="103" t="s">
        <v>104</v>
      </c>
      <c r="Y50" s="103" t="s">
        <v>1263</v>
      </c>
      <c r="Z50" s="104" t="s">
        <v>1197</v>
      </c>
      <c r="AA50" s="104" t="s">
        <v>175</v>
      </c>
      <c r="AB50" s="104"/>
      <c r="AC50" s="104"/>
      <c r="AD50" s="105"/>
      <c r="AE50" s="105"/>
      <c r="AF50" s="105"/>
      <c r="AG50" s="105"/>
      <c r="AH50" s="106" t="s">
        <v>814</v>
      </c>
      <c r="AI50" s="106"/>
      <c r="AJ50" s="106"/>
      <c r="AK50" s="106"/>
      <c r="AL50" s="107" t="s">
        <v>583</v>
      </c>
      <c r="AM50" s="107" t="s">
        <v>8</v>
      </c>
      <c r="AN50" s="107" t="s">
        <v>583</v>
      </c>
      <c r="AO50" s="107"/>
      <c r="AP50" s="108" t="s">
        <v>1257</v>
      </c>
      <c r="AQ50" s="108" t="s">
        <v>8</v>
      </c>
      <c r="AR50" s="108" t="s">
        <v>1257</v>
      </c>
      <c r="AS50" s="108"/>
      <c r="AT50" s="109" t="s">
        <v>405</v>
      </c>
      <c r="AU50" s="123" t="s">
        <v>306</v>
      </c>
      <c r="AV50" s="109"/>
      <c r="AW50" s="109"/>
      <c r="AX50" s="110" t="s">
        <v>398</v>
      </c>
      <c r="AY50" s="124" t="s">
        <v>354</v>
      </c>
      <c r="AZ50" s="110"/>
      <c r="BA50" s="110"/>
      <c r="BB50" s="111" t="s">
        <v>398</v>
      </c>
      <c r="BC50" s="125" t="s">
        <v>354</v>
      </c>
      <c r="BD50" s="111"/>
      <c r="BE50" s="111"/>
      <c r="BF50" s="112" t="s">
        <v>398</v>
      </c>
      <c r="BG50" s="126" t="s">
        <v>354</v>
      </c>
      <c r="BH50" s="112"/>
      <c r="BI50" s="112"/>
      <c r="BJ50" s="113" t="s">
        <v>389</v>
      </c>
      <c r="BK50" s="127" t="s">
        <v>345</v>
      </c>
      <c r="BL50" s="113"/>
      <c r="BM50" s="113"/>
      <c r="BN50" s="99" t="s">
        <v>1367</v>
      </c>
      <c r="BO50" s="99" t="s">
        <v>1368</v>
      </c>
      <c r="BP50" s="99" t="s">
        <v>1367</v>
      </c>
      <c r="BQ50" s="132" t="s">
        <v>135</v>
      </c>
      <c r="BR50" s="114" t="s">
        <v>1369</v>
      </c>
      <c r="BS50" s="114" t="s">
        <v>1370</v>
      </c>
      <c r="BT50" s="114" t="s">
        <v>1370</v>
      </c>
      <c r="BU50" s="114" t="s">
        <v>1371</v>
      </c>
      <c r="BV50" s="88" t="s">
        <v>1257</v>
      </c>
      <c r="BW50" s="88" t="s">
        <v>8</v>
      </c>
      <c r="BX50" s="88" t="s">
        <v>1257</v>
      </c>
      <c r="BY50" s="88"/>
      <c r="BZ50" s="115" t="s">
        <v>1303</v>
      </c>
      <c r="CA50" s="115" t="s">
        <v>1372</v>
      </c>
      <c r="CB50" s="115" t="s">
        <v>1303</v>
      </c>
      <c r="CC50" s="115"/>
      <c r="CD50" s="99" t="s">
        <v>10</v>
      </c>
      <c r="CE50" s="132" t="s">
        <v>8</v>
      </c>
      <c r="CF50" s="99"/>
      <c r="CG50" s="99"/>
      <c r="CH50" s="116" t="s">
        <v>139</v>
      </c>
      <c r="CI50" s="116" t="s">
        <v>106</v>
      </c>
      <c r="CJ50" s="116" t="s">
        <v>139</v>
      </c>
      <c r="CK50" s="116"/>
      <c r="CL50" s="117" t="s">
        <v>139</v>
      </c>
      <c r="CM50" s="117" t="s">
        <v>106</v>
      </c>
      <c r="CN50" s="117" t="s">
        <v>139</v>
      </c>
      <c r="CO50" s="117"/>
      <c r="CP50" s="88" t="s">
        <v>1373</v>
      </c>
      <c r="CQ50" s="88" t="s">
        <v>1374</v>
      </c>
      <c r="CR50" s="88" t="s">
        <v>1373</v>
      </c>
      <c r="CS50" s="88"/>
      <c r="CT50" s="114" t="s">
        <v>1373</v>
      </c>
      <c r="CU50" s="114" t="s">
        <v>1374</v>
      </c>
      <c r="CV50" s="114" t="s">
        <v>1373</v>
      </c>
      <c r="CW50" s="114"/>
      <c r="CX50" s="118" t="s">
        <v>1375</v>
      </c>
      <c r="CY50" s="118" t="s">
        <v>1376</v>
      </c>
      <c r="CZ50" s="118" t="s">
        <v>1375</v>
      </c>
      <c r="DA50" s="118" t="s">
        <v>135</v>
      </c>
      <c r="DB50" s="119" t="s">
        <v>57</v>
      </c>
      <c r="DC50" s="119" t="s">
        <v>1271</v>
      </c>
      <c r="DD50" s="119" t="s">
        <v>57</v>
      </c>
      <c r="DE50" s="119" t="s">
        <v>135</v>
      </c>
    </row>
    <row r="51" s="120" customFormat="true" ht="15" hidden="false" customHeight="false" outlineLevel="0" collapsed="false">
      <c r="A51" s="97" t="s">
        <v>1377</v>
      </c>
      <c r="B51" s="98" t="s">
        <v>18</v>
      </c>
      <c r="C51" s="98" t="s">
        <v>1269</v>
      </c>
      <c r="D51" s="98" t="s">
        <v>18</v>
      </c>
      <c r="E51" s="98"/>
      <c r="F51" s="99" t="s">
        <v>1280</v>
      </c>
      <c r="G51" s="99" t="s">
        <v>72</v>
      </c>
      <c r="H51" s="99" t="s">
        <v>1280</v>
      </c>
      <c r="I51" s="99"/>
      <c r="J51" s="100" t="s">
        <v>1378</v>
      </c>
      <c r="K51" s="100" t="s">
        <v>6</v>
      </c>
      <c r="L51" s="100" t="s">
        <v>1378</v>
      </c>
      <c r="M51" s="100"/>
      <c r="N51" s="144" t="s">
        <v>92</v>
      </c>
      <c r="O51" s="144" t="s">
        <v>64</v>
      </c>
      <c r="P51" s="144" t="s">
        <v>92</v>
      </c>
      <c r="Q51" s="144" t="s">
        <v>16</v>
      </c>
      <c r="R51" s="142" t="s">
        <v>16</v>
      </c>
      <c r="S51" s="142" t="s">
        <v>1259</v>
      </c>
      <c r="T51" s="142" t="s">
        <v>16</v>
      </c>
      <c r="U51" s="142"/>
      <c r="V51" s="143" t="s">
        <v>16</v>
      </c>
      <c r="W51" s="143" t="s">
        <v>1259</v>
      </c>
      <c r="X51" s="143" t="s">
        <v>16</v>
      </c>
      <c r="Y51" s="143"/>
      <c r="Z51" s="134" t="s">
        <v>8</v>
      </c>
      <c r="AA51" s="134" t="s">
        <v>112</v>
      </c>
      <c r="AB51" s="134"/>
      <c r="AC51" s="104" t="s">
        <v>1216</v>
      </c>
      <c r="AD51" s="105"/>
      <c r="AE51" s="105"/>
      <c r="AF51" s="105"/>
      <c r="AG51" s="105"/>
      <c r="AH51" s="106" t="s">
        <v>895</v>
      </c>
      <c r="AI51" s="106"/>
      <c r="AJ51" s="106"/>
      <c r="AK51" s="106"/>
      <c r="AL51" s="107" t="s">
        <v>1258</v>
      </c>
      <c r="AM51" s="107" t="s">
        <v>1216</v>
      </c>
      <c r="AN51" s="107" t="s">
        <v>1258</v>
      </c>
      <c r="AO51" s="107"/>
      <c r="AP51" s="108" t="s">
        <v>18</v>
      </c>
      <c r="AQ51" s="108" t="s">
        <v>1269</v>
      </c>
      <c r="AR51" s="108" t="s">
        <v>18</v>
      </c>
      <c r="AS51" s="108"/>
      <c r="AT51" s="109" t="s">
        <v>18</v>
      </c>
      <c r="AU51" s="123" t="s">
        <v>715</v>
      </c>
      <c r="AV51" s="109"/>
      <c r="AW51" s="109"/>
      <c r="AX51" s="110" t="s">
        <v>404</v>
      </c>
      <c r="AY51" s="124" t="s">
        <v>304</v>
      </c>
      <c r="AZ51" s="110"/>
      <c r="BA51" s="110"/>
      <c r="BB51" s="111" t="s">
        <v>404</v>
      </c>
      <c r="BC51" s="125" t="s">
        <v>304</v>
      </c>
      <c r="BD51" s="111"/>
      <c r="BE51" s="111"/>
      <c r="BF51" s="112" t="s">
        <v>1292</v>
      </c>
      <c r="BG51" s="126" t="s">
        <v>1311</v>
      </c>
      <c r="BH51" s="112" t="s">
        <v>1292</v>
      </c>
      <c r="BI51" s="112"/>
      <c r="BJ51" s="113" t="s">
        <v>1292</v>
      </c>
      <c r="BK51" s="127" t="s">
        <v>1311</v>
      </c>
      <c r="BL51" s="113" t="s">
        <v>1292</v>
      </c>
      <c r="BM51" s="113"/>
      <c r="BN51" s="132" t="s">
        <v>196</v>
      </c>
      <c r="BO51" s="132" t="s">
        <v>192</v>
      </c>
      <c r="BP51" s="132" t="s">
        <v>196</v>
      </c>
      <c r="BQ51" s="132" t="s">
        <v>192</v>
      </c>
      <c r="BR51" s="128" t="s">
        <v>1350</v>
      </c>
      <c r="BS51" s="128" t="s">
        <v>1351</v>
      </c>
      <c r="BT51" s="128" t="s">
        <v>1350</v>
      </c>
      <c r="BU51" s="114" t="s">
        <v>1379</v>
      </c>
      <c r="BV51" s="88" t="s">
        <v>18</v>
      </c>
      <c r="BW51" s="88" t="s">
        <v>1269</v>
      </c>
      <c r="BX51" s="88" t="s">
        <v>18</v>
      </c>
      <c r="BY51" s="135"/>
      <c r="BZ51" s="115" t="s">
        <v>1230</v>
      </c>
      <c r="CA51" s="115" t="s">
        <v>57</v>
      </c>
      <c r="CB51" s="115" t="s">
        <v>1230</v>
      </c>
      <c r="CC51" s="115" t="s">
        <v>68</v>
      </c>
      <c r="CD51" s="99" t="s">
        <v>1232</v>
      </c>
      <c r="CE51" s="99" t="s">
        <v>1269</v>
      </c>
      <c r="CF51" s="99"/>
      <c r="CG51" s="132" t="s">
        <v>1380</v>
      </c>
      <c r="CH51" s="138" t="s">
        <v>57</v>
      </c>
      <c r="CI51" s="138" t="s">
        <v>98</v>
      </c>
      <c r="CJ51" s="138" t="s">
        <v>57</v>
      </c>
      <c r="CK51" s="116"/>
      <c r="CL51" s="139" t="s">
        <v>57</v>
      </c>
      <c r="CM51" s="139" t="s">
        <v>98</v>
      </c>
      <c r="CN51" s="139" t="s">
        <v>57</v>
      </c>
      <c r="CO51" s="117"/>
      <c r="CP51" s="135" t="s">
        <v>1259</v>
      </c>
      <c r="CQ51" s="135" t="s">
        <v>57</v>
      </c>
      <c r="CR51" s="135" t="s">
        <v>1259</v>
      </c>
      <c r="CS51" s="88"/>
      <c r="CT51" s="128" t="s">
        <v>98</v>
      </c>
      <c r="CU51" s="128" t="s">
        <v>57</v>
      </c>
      <c r="CV51" s="128" t="s">
        <v>98</v>
      </c>
      <c r="CW51" s="114"/>
      <c r="CX51" s="118" t="s">
        <v>12</v>
      </c>
      <c r="CY51" s="130" t="s">
        <v>1351</v>
      </c>
      <c r="CZ51" s="118" t="s">
        <v>12</v>
      </c>
      <c r="DA51" s="118"/>
      <c r="DB51" s="119" t="s">
        <v>1232</v>
      </c>
      <c r="DC51" s="131" t="s">
        <v>72</v>
      </c>
      <c r="DD51" s="119" t="s">
        <v>1232</v>
      </c>
      <c r="DE51" s="119"/>
    </row>
    <row r="52" s="120" customFormat="true" ht="15" hidden="false" customHeight="false" outlineLevel="0" collapsed="false">
      <c r="A52" s="97" t="s">
        <v>1381</v>
      </c>
      <c r="B52" s="98" t="s">
        <v>10</v>
      </c>
      <c r="C52" s="98" t="s">
        <v>1216</v>
      </c>
      <c r="D52" s="98" t="s">
        <v>10</v>
      </c>
      <c r="E52" s="98"/>
      <c r="F52" s="99" t="s">
        <v>10</v>
      </c>
      <c r="G52" s="99" t="s">
        <v>1232</v>
      </c>
      <c r="H52" s="99"/>
      <c r="I52" s="99"/>
      <c r="J52" s="100" t="s">
        <v>1232</v>
      </c>
      <c r="K52" s="100" t="s">
        <v>1302</v>
      </c>
      <c r="L52" s="100"/>
      <c r="M52" s="100"/>
      <c r="N52" s="101" t="s">
        <v>10</v>
      </c>
      <c r="O52" s="101" t="s">
        <v>1232</v>
      </c>
      <c r="P52" s="101" t="s">
        <v>10</v>
      </c>
      <c r="Q52" s="101"/>
      <c r="R52" s="102" t="s">
        <v>10</v>
      </c>
      <c r="S52" s="102" t="s">
        <v>1232</v>
      </c>
      <c r="T52" s="102" t="s">
        <v>10</v>
      </c>
      <c r="U52" s="102"/>
      <c r="V52" s="103" t="s">
        <v>10</v>
      </c>
      <c r="W52" s="103" t="s">
        <v>1232</v>
      </c>
      <c r="X52" s="103" t="s">
        <v>10</v>
      </c>
      <c r="Y52" s="143" t="s">
        <v>66</v>
      </c>
      <c r="Z52" s="104" t="s">
        <v>161</v>
      </c>
      <c r="AA52" s="104" t="s">
        <v>125</v>
      </c>
      <c r="AB52" s="104"/>
      <c r="AC52" s="104"/>
      <c r="AD52" s="105"/>
      <c r="AE52" s="105"/>
      <c r="AF52" s="105"/>
      <c r="AG52" s="105"/>
      <c r="AH52" s="106" t="s">
        <v>851</v>
      </c>
      <c r="AI52" s="106" t="s">
        <v>770</v>
      </c>
      <c r="AJ52" s="106"/>
      <c r="AK52" s="106"/>
      <c r="AL52" s="107" t="s">
        <v>634</v>
      </c>
      <c r="AM52" s="107" t="s">
        <v>10</v>
      </c>
      <c r="AN52" s="107" t="s">
        <v>634</v>
      </c>
      <c r="AO52" s="107"/>
      <c r="AP52" s="108" t="s">
        <v>10</v>
      </c>
      <c r="AQ52" s="108" t="s">
        <v>1216</v>
      </c>
      <c r="AR52" s="108" t="s">
        <v>10</v>
      </c>
      <c r="AS52" s="108"/>
      <c r="AT52" s="109" t="s">
        <v>361</v>
      </c>
      <c r="AU52" s="109" t="s">
        <v>317</v>
      </c>
      <c r="AV52" s="109"/>
      <c r="AW52" s="109"/>
      <c r="AX52" s="110" t="s">
        <v>361</v>
      </c>
      <c r="AY52" s="110" t="s">
        <v>317</v>
      </c>
      <c r="AZ52" s="110"/>
      <c r="BA52" s="110"/>
      <c r="BB52" s="111" t="s">
        <v>361</v>
      </c>
      <c r="BC52" s="111" t="s">
        <v>317</v>
      </c>
      <c r="BD52" s="111"/>
      <c r="BE52" s="111"/>
      <c r="BF52" s="112" t="s">
        <v>361</v>
      </c>
      <c r="BG52" s="112" t="s">
        <v>317</v>
      </c>
      <c r="BH52" s="112"/>
      <c r="BI52" s="112"/>
      <c r="BJ52" s="113" t="s">
        <v>382</v>
      </c>
      <c r="BK52" s="113" t="s">
        <v>338</v>
      </c>
      <c r="BL52" s="113"/>
      <c r="BM52" s="113"/>
      <c r="BN52" s="99" t="s">
        <v>10</v>
      </c>
      <c r="BO52" s="99" t="s">
        <v>1232</v>
      </c>
      <c r="BP52" s="99" t="s">
        <v>10</v>
      </c>
      <c r="BQ52" s="99" t="s">
        <v>1216</v>
      </c>
      <c r="BR52" s="114" t="s">
        <v>10</v>
      </c>
      <c r="BS52" s="114" t="s">
        <v>1232</v>
      </c>
      <c r="BT52" s="114" t="s">
        <v>10</v>
      </c>
      <c r="BU52" s="114" t="s">
        <v>1382</v>
      </c>
      <c r="BV52" s="88" t="s">
        <v>10</v>
      </c>
      <c r="BW52" s="88" t="s">
        <v>776</v>
      </c>
      <c r="BX52" s="88" t="s">
        <v>10</v>
      </c>
      <c r="BY52" s="88"/>
      <c r="BZ52" s="115" t="s">
        <v>1214</v>
      </c>
      <c r="CA52" s="115" t="s">
        <v>1232</v>
      </c>
      <c r="CB52" s="115"/>
      <c r="CC52" s="115"/>
      <c r="CD52" s="99" t="s">
        <v>497</v>
      </c>
      <c r="CE52" s="132"/>
      <c r="CF52" s="99"/>
      <c r="CG52" s="99"/>
      <c r="CH52" s="116" t="s">
        <v>10</v>
      </c>
      <c r="CI52" s="116" t="s">
        <v>1232</v>
      </c>
      <c r="CJ52" s="116" t="s">
        <v>10</v>
      </c>
      <c r="CK52" s="116"/>
      <c r="CL52" s="117" t="s">
        <v>10</v>
      </c>
      <c r="CM52" s="117" t="s">
        <v>1232</v>
      </c>
      <c r="CN52" s="117" t="s">
        <v>10</v>
      </c>
      <c r="CO52" s="117"/>
      <c r="CP52" s="88" t="s">
        <v>10</v>
      </c>
      <c r="CQ52" s="88" t="s">
        <v>1232</v>
      </c>
      <c r="CR52" s="88" t="s">
        <v>10</v>
      </c>
      <c r="CS52" s="88"/>
      <c r="CT52" s="114" t="s">
        <v>10</v>
      </c>
      <c r="CU52" s="114" t="s">
        <v>1232</v>
      </c>
      <c r="CV52" s="114" t="s">
        <v>10</v>
      </c>
      <c r="CW52" s="114"/>
      <c r="CX52" s="118" t="s">
        <v>10</v>
      </c>
      <c r="CY52" s="118" t="s">
        <v>1215</v>
      </c>
      <c r="CZ52" s="118" t="s">
        <v>10</v>
      </c>
      <c r="DA52" s="118" t="s">
        <v>1232</v>
      </c>
      <c r="DB52" s="119" t="s">
        <v>10</v>
      </c>
      <c r="DC52" s="119" t="s">
        <v>1215</v>
      </c>
      <c r="DD52" s="119" t="s">
        <v>10</v>
      </c>
      <c r="DE52" s="119" t="s">
        <v>1216</v>
      </c>
    </row>
    <row r="53" s="120" customFormat="true" ht="15" hidden="false" customHeight="false" outlineLevel="0" collapsed="false">
      <c r="A53" s="97" t="s">
        <v>1383</v>
      </c>
      <c r="B53" s="98" t="s">
        <v>1302</v>
      </c>
      <c r="C53" s="98" t="s">
        <v>1258</v>
      </c>
      <c r="D53" s="98" t="s">
        <v>1302</v>
      </c>
      <c r="E53" s="98"/>
      <c r="F53" s="99" t="s">
        <v>1302</v>
      </c>
      <c r="G53" s="99" t="s">
        <v>1233</v>
      </c>
      <c r="H53" s="99"/>
      <c r="I53" s="99"/>
      <c r="J53" s="100" t="s">
        <v>1233</v>
      </c>
      <c r="K53" s="100" t="s">
        <v>1208</v>
      </c>
      <c r="L53" s="100"/>
      <c r="M53" s="100"/>
      <c r="N53" s="101" t="s">
        <v>1302</v>
      </c>
      <c r="O53" s="101" t="s">
        <v>1233</v>
      </c>
      <c r="P53" s="101" t="s">
        <v>1302</v>
      </c>
      <c r="Q53" s="101"/>
      <c r="R53" s="102" t="s">
        <v>1302</v>
      </c>
      <c r="S53" s="102" t="s">
        <v>1233</v>
      </c>
      <c r="T53" s="102" t="s">
        <v>1302</v>
      </c>
      <c r="U53" s="102"/>
      <c r="V53" s="103" t="s">
        <v>1302</v>
      </c>
      <c r="W53" s="103" t="s">
        <v>1233</v>
      </c>
      <c r="X53" s="103" t="s">
        <v>1302</v>
      </c>
      <c r="Y53" s="143" t="s">
        <v>94</v>
      </c>
      <c r="Z53" s="104" t="s">
        <v>143</v>
      </c>
      <c r="AA53" s="104" t="s">
        <v>108</v>
      </c>
      <c r="AB53" s="104"/>
      <c r="AC53" s="104"/>
      <c r="AD53" s="105"/>
      <c r="AE53" s="105"/>
      <c r="AF53" s="105"/>
      <c r="AG53" s="105"/>
      <c r="AH53" s="106" t="s">
        <v>891</v>
      </c>
      <c r="AI53" s="106" t="s">
        <v>771</v>
      </c>
      <c r="AJ53" s="106"/>
      <c r="AK53" s="106"/>
      <c r="AL53" s="107" t="s">
        <v>568</v>
      </c>
      <c r="AM53" s="107" t="s">
        <v>1302</v>
      </c>
      <c r="AN53" s="107" t="s">
        <v>568</v>
      </c>
      <c r="AO53" s="107"/>
      <c r="AP53" s="108" t="s">
        <v>1302</v>
      </c>
      <c r="AQ53" s="108" t="s">
        <v>1258</v>
      </c>
      <c r="AR53" s="108" t="s">
        <v>1302</v>
      </c>
      <c r="AS53" s="108"/>
      <c r="AT53" s="109" t="s">
        <v>400</v>
      </c>
      <c r="AU53" s="109" t="s">
        <v>356</v>
      </c>
      <c r="AV53" s="109"/>
      <c r="AW53" s="109"/>
      <c r="AX53" s="110" t="s">
        <v>400</v>
      </c>
      <c r="AY53" s="110" t="s">
        <v>356</v>
      </c>
      <c r="AZ53" s="110"/>
      <c r="BA53" s="110"/>
      <c r="BB53" s="111" t="s">
        <v>400</v>
      </c>
      <c r="BC53" s="111" t="s">
        <v>356</v>
      </c>
      <c r="BD53" s="111"/>
      <c r="BE53" s="111"/>
      <c r="BF53" s="112" t="s">
        <v>400</v>
      </c>
      <c r="BG53" s="112" t="s">
        <v>356</v>
      </c>
      <c r="BH53" s="112"/>
      <c r="BI53" s="112"/>
      <c r="BJ53" s="113" t="s">
        <v>372</v>
      </c>
      <c r="BK53" s="113" t="s">
        <v>328</v>
      </c>
      <c r="BL53" s="113"/>
      <c r="BM53" s="113"/>
      <c r="BN53" s="99" t="s">
        <v>1302</v>
      </c>
      <c r="BO53" s="99" t="s">
        <v>1233</v>
      </c>
      <c r="BP53" s="99" t="s">
        <v>1302</v>
      </c>
      <c r="BQ53" s="99" t="s">
        <v>1258</v>
      </c>
      <c r="BR53" s="114" t="s">
        <v>1302</v>
      </c>
      <c r="BS53" s="114" t="s">
        <v>1233</v>
      </c>
      <c r="BT53" s="114" t="s">
        <v>1302</v>
      </c>
      <c r="BU53" s="114" t="s">
        <v>1384</v>
      </c>
      <c r="BV53" s="88" t="s">
        <v>771</v>
      </c>
      <c r="BW53" s="88" t="s">
        <v>778</v>
      </c>
      <c r="BX53" s="88"/>
      <c r="BY53" s="88"/>
      <c r="BZ53" s="115" t="s">
        <v>1302</v>
      </c>
      <c r="CA53" s="115" t="s">
        <v>1233</v>
      </c>
      <c r="CB53" s="115" t="s">
        <v>1302</v>
      </c>
      <c r="CC53" s="115" t="s">
        <v>86</v>
      </c>
      <c r="CD53" s="99" t="s">
        <v>492</v>
      </c>
      <c r="CE53" s="132" t="s">
        <v>1385</v>
      </c>
      <c r="CF53" s="99"/>
      <c r="CG53" s="99"/>
      <c r="CH53" s="116" t="s">
        <v>1302</v>
      </c>
      <c r="CI53" s="116" t="s">
        <v>1233</v>
      </c>
      <c r="CJ53" s="116" t="s">
        <v>1302</v>
      </c>
      <c r="CK53" s="116"/>
      <c r="CL53" s="117" t="s">
        <v>1302</v>
      </c>
      <c r="CM53" s="117" t="s">
        <v>1233</v>
      </c>
      <c r="CN53" s="117" t="s">
        <v>1302</v>
      </c>
      <c r="CO53" s="117"/>
      <c r="CP53" s="88" t="s">
        <v>1302</v>
      </c>
      <c r="CQ53" s="88" t="s">
        <v>1233</v>
      </c>
      <c r="CR53" s="88" t="s">
        <v>1302</v>
      </c>
      <c r="CS53" s="88"/>
      <c r="CT53" s="114" t="s">
        <v>1302</v>
      </c>
      <c r="CU53" s="114" t="s">
        <v>1233</v>
      </c>
      <c r="CV53" s="114" t="s">
        <v>1302</v>
      </c>
      <c r="CW53" s="114"/>
      <c r="CX53" s="118" t="s">
        <v>1302</v>
      </c>
      <c r="CY53" s="118" t="s">
        <v>1233</v>
      </c>
      <c r="CZ53" s="118" t="s">
        <v>1302</v>
      </c>
      <c r="DA53" s="118" t="s">
        <v>1258</v>
      </c>
      <c r="DB53" s="119" t="s">
        <v>1302</v>
      </c>
      <c r="DC53" s="119" t="s">
        <v>1233</v>
      </c>
      <c r="DD53" s="119" t="s">
        <v>1302</v>
      </c>
      <c r="DE53" s="119" t="s">
        <v>1258</v>
      </c>
    </row>
    <row r="54" s="120" customFormat="true" ht="15" hidden="false" customHeight="false" outlineLevel="0" collapsed="false">
      <c r="A54" s="97" t="s">
        <v>1386</v>
      </c>
      <c r="B54" s="98" t="s">
        <v>1208</v>
      </c>
      <c r="C54" s="98" t="s">
        <v>1215</v>
      </c>
      <c r="D54" s="98" t="s">
        <v>1208</v>
      </c>
      <c r="E54" s="98"/>
      <c r="F54" s="99" t="s">
        <v>1297</v>
      </c>
      <c r="G54" s="99" t="s">
        <v>1304</v>
      </c>
      <c r="H54" s="99" t="s">
        <v>1297</v>
      </c>
      <c r="I54" s="99"/>
      <c r="J54" s="100" t="s">
        <v>1271</v>
      </c>
      <c r="K54" s="100" t="s">
        <v>57</v>
      </c>
      <c r="L54" s="100"/>
      <c r="M54" s="100"/>
      <c r="N54" s="101" t="s">
        <v>1297</v>
      </c>
      <c r="O54" s="101" t="s">
        <v>1304</v>
      </c>
      <c r="P54" s="101" t="s">
        <v>1297</v>
      </c>
      <c r="Q54" s="101"/>
      <c r="R54" s="102" t="s">
        <v>1297</v>
      </c>
      <c r="S54" s="102" t="s">
        <v>1304</v>
      </c>
      <c r="T54" s="102" t="s">
        <v>1297</v>
      </c>
      <c r="U54" s="102"/>
      <c r="V54" s="103" t="s">
        <v>1297</v>
      </c>
      <c r="W54" s="103" t="s">
        <v>1304</v>
      </c>
      <c r="X54" s="103" t="s">
        <v>1297</v>
      </c>
      <c r="Y54" s="103" t="s">
        <v>72</v>
      </c>
      <c r="Z54" s="104" t="s">
        <v>1302</v>
      </c>
      <c r="AA54" s="104" t="s">
        <v>1233</v>
      </c>
      <c r="AB54" s="104" t="s">
        <v>1302</v>
      </c>
      <c r="AC54" s="104"/>
      <c r="AD54" s="105"/>
      <c r="AE54" s="105"/>
      <c r="AF54" s="105"/>
      <c r="AG54" s="105"/>
      <c r="AH54" s="106" t="s">
        <v>880</v>
      </c>
      <c r="AI54" s="106" t="s">
        <v>921</v>
      </c>
      <c r="AJ54" s="106"/>
      <c r="AK54" s="106"/>
      <c r="AL54" s="107" t="s">
        <v>586</v>
      </c>
      <c r="AM54" s="107" t="s">
        <v>511</v>
      </c>
      <c r="AN54" s="107" t="s">
        <v>586</v>
      </c>
      <c r="AO54" s="107"/>
      <c r="AP54" s="108" t="s">
        <v>1208</v>
      </c>
      <c r="AQ54" s="108" t="s">
        <v>1215</v>
      </c>
      <c r="AR54" s="108" t="s">
        <v>1208</v>
      </c>
      <c r="AS54" s="108"/>
      <c r="AT54" s="109" t="s">
        <v>1302</v>
      </c>
      <c r="AU54" s="109" t="s">
        <v>10</v>
      </c>
      <c r="AV54" s="109" t="s">
        <v>1302</v>
      </c>
      <c r="AW54" s="109"/>
      <c r="AX54" s="110" t="s">
        <v>1302</v>
      </c>
      <c r="AY54" s="110" t="s">
        <v>10</v>
      </c>
      <c r="AZ54" s="110" t="s">
        <v>1302</v>
      </c>
      <c r="BA54" s="110"/>
      <c r="BB54" s="111" t="s">
        <v>1302</v>
      </c>
      <c r="BC54" s="111" t="s">
        <v>10</v>
      </c>
      <c r="BD54" s="111" t="s">
        <v>1302</v>
      </c>
      <c r="BE54" s="111"/>
      <c r="BF54" s="112" t="s">
        <v>717</v>
      </c>
      <c r="BG54" s="112" t="s">
        <v>1215</v>
      </c>
      <c r="BH54" s="112" t="s">
        <v>717</v>
      </c>
      <c r="BI54" s="112"/>
      <c r="BJ54" s="113" t="s">
        <v>361</v>
      </c>
      <c r="BK54" s="113" t="s">
        <v>317</v>
      </c>
      <c r="BL54" s="113"/>
      <c r="BM54" s="113"/>
      <c r="BN54" s="99" t="s">
        <v>1297</v>
      </c>
      <c r="BO54" s="99" t="s">
        <v>1304</v>
      </c>
      <c r="BP54" s="99" t="s">
        <v>1297</v>
      </c>
      <c r="BQ54" s="99"/>
      <c r="BR54" s="114" t="s">
        <v>1208</v>
      </c>
      <c r="BS54" s="114" t="s">
        <v>1215</v>
      </c>
      <c r="BT54" s="114" t="s">
        <v>1208</v>
      </c>
      <c r="BU54" s="114"/>
      <c r="BV54" s="88" t="s">
        <v>1208</v>
      </c>
      <c r="BW54" s="88" t="s">
        <v>1215</v>
      </c>
      <c r="BX54" s="88" t="s">
        <v>1208</v>
      </c>
      <c r="BY54" s="88"/>
      <c r="BZ54" s="115" t="s">
        <v>1297</v>
      </c>
      <c r="CA54" s="115" t="s">
        <v>1328</v>
      </c>
      <c r="CB54" s="115" t="s">
        <v>1297</v>
      </c>
      <c r="CC54" s="115"/>
      <c r="CD54" s="99" t="s">
        <v>1302</v>
      </c>
      <c r="CE54" s="99" t="s">
        <v>1215</v>
      </c>
      <c r="CF54" s="99"/>
      <c r="CG54" s="99"/>
      <c r="CH54" s="116" t="s">
        <v>1297</v>
      </c>
      <c r="CI54" s="116" t="s">
        <v>1304</v>
      </c>
      <c r="CJ54" s="116" t="s">
        <v>1297</v>
      </c>
      <c r="CK54" s="116"/>
      <c r="CL54" s="117" t="s">
        <v>1297</v>
      </c>
      <c r="CM54" s="117" t="s">
        <v>1304</v>
      </c>
      <c r="CN54" s="117" t="s">
        <v>1297</v>
      </c>
      <c r="CO54" s="117"/>
      <c r="CP54" s="88" t="s">
        <v>1297</v>
      </c>
      <c r="CQ54" s="88" t="s">
        <v>1304</v>
      </c>
      <c r="CR54" s="88" t="s">
        <v>1297</v>
      </c>
      <c r="CS54" s="88"/>
      <c r="CT54" s="114" t="s">
        <v>1297</v>
      </c>
      <c r="CU54" s="114" t="s">
        <v>1304</v>
      </c>
      <c r="CV54" s="114" t="s">
        <v>1297</v>
      </c>
      <c r="CW54" s="114"/>
      <c r="CX54" s="118" t="s">
        <v>1208</v>
      </c>
      <c r="CY54" s="118" t="s">
        <v>1215</v>
      </c>
      <c r="CZ54" s="118" t="s">
        <v>1208</v>
      </c>
      <c r="DA54" s="118"/>
      <c r="DB54" s="119" t="s">
        <v>1297</v>
      </c>
      <c r="DC54" s="119" t="s">
        <v>1304</v>
      </c>
      <c r="DD54" s="119" t="s">
        <v>1297</v>
      </c>
      <c r="DE54" s="119" t="s">
        <v>1307</v>
      </c>
    </row>
    <row r="55" s="176" customFormat="true" ht="15" hidden="false" customHeight="false" outlineLevel="0" collapsed="false">
      <c r="A55" s="145" t="s">
        <v>1387</v>
      </c>
      <c r="B55" s="146" t="s">
        <v>1216</v>
      </c>
      <c r="C55" s="146" t="s">
        <v>1258</v>
      </c>
      <c r="D55" s="146" t="s">
        <v>1216</v>
      </c>
      <c r="E55" s="146"/>
      <c r="F55" s="147" t="s">
        <v>1216</v>
      </c>
      <c r="G55" s="147" t="s">
        <v>1258</v>
      </c>
      <c r="H55" s="147"/>
      <c r="I55" s="147" t="s">
        <v>1259</v>
      </c>
      <c r="J55" s="148" t="s">
        <v>1216</v>
      </c>
      <c r="K55" s="148" t="s">
        <v>1258</v>
      </c>
      <c r="L55" s="148"/>
      <c r="M55" s="148" t="s">
        <v>1259</v>
      </c>
      <c r="N55" s="149"/>
      <c r="O55" s="149"/>
      <c r="P55" s="149"/>
      <c r="Q55" s="149"/>
      <c r="R55" s="150"/>
      <c r="S55" s="150"/>
      <c r="T55" s="150"/>
      <c r="U55" s="150"/>
      <c r="V55" s="151"/>
      <c r="W55" s="151"/>
      <c r="X55" s="151"/>
      <c r="Y55" s="151"/>
      <c r="Z55" s="152"/>
      <c r="AA55" s="152"/>
      <c r="AB55" s="152"/>
      <c r="AC55" s="152"/>
      <c r="AD55" s="153"/>
      <c r="AE55" s="153"/>
      <c r="AF55" s="153"/>
      <c r="AG55" s="153"/>
      <c r="AH55" s="154"/>
      <c r="AI55" s="154"/>
      <c r="AJ55" s="154"/>
      <c r="AK55" s="154"/>
      <c r="AL55" s="155" t="s">
        <v>16</v>
      </c>
      <c r="AM55" s="155" t="s">
        <v>1259</v>
      </c>
      <c r="AN55" s="155" t="s">
        <v>16</v>
      </c>
      <c r="AO55" s="155"/>
      <c r="AP55" s="156"/>
      <c r="AQ55" s="156"/>
      <c r="AR55" s="156"/>
      <c r="AS55" s="156"/>
      <c r="AT55" s="157" t="s">
        <v>416</v>
      </c>
      <c r="AU55" s="157" t="s">
        <v>415</v>
      </c>
      <c r="AV55" s="157"/>
      <c r="AW55" s="157"/>
      <c r="AX55" s="158" t="s">
        <v>16</v>
      </c>
      <c r="AY55" s="159" t="s">
        <v>1208</v>
      </c>
      <c r="AZ55" s="158"/>
      <c r="BA55" s="158"/>
      <c r="BB55" s="160" t="s">
        <v>16</v>
      </c>
      <c r="BC55" s="161" t="s">
        <v>1208</v>
      </c>
      <c r="BD55" s="160"/>
      <c r="BE55" s="160"/>
      <c r="BF55" s="162" t="s">
        <v>16</v>
      </c>
      <c r="BG55" s="163" t="s">
        <v>1259</v>
      </c>
      <c r="BH55" s="162"/>
      <c r="BI55" s="162"/>
      <c r="BJ55" s="164" t="s">
        <v>408</v>
      </c>
      <c r="BK55" s="165" t="s">
        <v>312</v>
      </c>
      <c r="BL55" s="164"/>
      <c r="BM55" s="164"/>
      <c r="BN55" s="147"/>
      <c r="BO55" s="147"/>
      <c r="BP55" s="147"/>
      <c r="BQ55" s="147"/>
      <c r="BR55" s="166" t="s">
        <v>16</v>
      </c>
      <c r="BS55" s="166" t="s">
        <v>1259</v>
      </c>
      <c r="BT55" s="166" t="s">
        <v>16</v>
      </c>
      <c r="BU55" s="166"/>
      <c r="BV55" s="135" t="s">
        <v>770</v>
      </c>
      <c r="BW55" s="135" t="s">
        <v>1083</v>
      </c>
      <c r="BX55" s="135" t="s">
        <v>770</v>
      </c>
      <c r="BY55" s="167"/>
      <c r="BZ55" s="168" t="s">
        <v>1180</v>
      </c>
      <c r="CA55" s="168" t="s">
        <v>1189</v>
      </c>
      <c r="CB55" s="168" t="s">
        <v>1180</v>
      </c>
      <c r="CC55" s="169" t="s">
        <v>55</v>
      </c>
      <c r="CD55" s="147" t="s">
        <v>16</v>
      </c>
      <c r="CE55" s="147" t="s">
        <v>1259</v>
      </c>
      <c r="CF55" s="147"/>
      <c r="CG55" s="147"/>
      <c r="CH55" s="170" t="s">
        <v>1216</v>
      </c>
      <c r="CI55" s="170" t="s">
        <v>1258</v>
      </c>
      <c r="CJ55" s="170" t="s">
        <v>1216</v>
      </c>
      <c r="CK55" s="170" t="s">
        <v>1259</v>
      </c>
      <c r="CL55" s="171" t="s">
        <v>1216</v>
      </c>
      <c r="CM55" s="171" t="s">
        <v>1258</v>
      </c>
      <c r="CN55" s="171" t="s">
        <v>1216</v>
      </c>
      <c r="CO55" s="171" t="s">
        <v>1259</v>
      </c>
      <c r="CP55" s="167" t="s">
        <v>1257</v>
      </c>
      <c r="CQ55" s="167" t="s">
        <v>1307</v>
      </c>
      <c r="CR55" s="167" t="s">
        <v>1257</v>
      </c>
      <c r="CS55" s="167"/>
      <c r="CT55" s="166" t="s">
        <v>1216</v>
      </c>
      <c r="CU55" s="166" t="s">
        <v>1258</v>
      </c>
      <c r="CV55" s="166" t="s">
        <v>1216</v>
      </c>
      <c r="CW55" s="166" t="s">
        <v>16</v>
      </c>
      <c r="CX55" s="172" t="s">
        <v>151</v>
      </c>
      <c r="CY55" s="172" t="s">
        <v>116</v>
      </c>
      <c r="CZ55" s="172" t="s">
        <v>151</v>
      </c>
      <c r="DA55" s="173" t="s">
        <v>51</v>
      </c>
      <c r="DB55" s="174" t="s">
        <v>16</v>
      </c>
      <c r="DC55" s="174" t="s">
        <v>1259</v>
      </c>
      <c r="DD55" s="174" t="s">
        <v>16</v>
      </c>
      <c r="DE55" s="175"/>
    </row>
    <row r="56" s="176" customFormat="true" ht="15" hidden="false" customHeight="false" outlineLevel="0" collapsed="false">
      <c r="A56" s="145" t="s">
        <v>1388</v>
      </c>
      <c r="B56" s="146"/>
      <c r="C56" s="146" t="s">
        <v>1389</v>
      </c>
      <c r="D56" s="146"/>
      <c r="E56" s="146"/>
      <c r="F56" s="147"/>
      <c r="G56" s="147" t="s">
        <v>1389</v>
      </c>
      <c r="H56" s="147"/>
      <c r="I56" s="147" t="n">
        <v>54</v>
      </c>
      <c r="J56" s="148"/>
      <c r="K56" s="148" t="s">
        <v>1389</v>
      </c>
      <c r="L56" s="148"/>
      <c r="M56" s="148" t="n">
        <v>50</v>
      </c>
      <c r="N56" s="149"/>
      <c r="O56" s="149" t="s">
        <v>1389</v>
      </c>
      <c r="P56" s="149"/>
      <c r="Q56" s="149" t="n">
        <v>53</v>
      </c>
      <c r="R56" s="150"/>
      <c r="S56" s="150" t="s">
        <v>1389</v>
      </c>
      <c r="T56" s="150"/>
      <c r="U56" s="150" t="n">
        <v>50</v>
      </c>
      <c r="V56" s="151"/>
      <c r="W56" s="151" t="s">
        <v>1389</v>
      </c>
      <c r="X56" s="151"/>
      <c r="Y56" s="151" t="n">
        <v>50</v>
      </c>
      <c r="Z56" s="152"/>
      <c r="AA56" s="152" t="s">
        <v>1389</v>
      </c>
      <c r="AB56" s="152"/>
      <c r="AC56" s="152" t="n">
        <v>50</v>
      </c>
      <c r="AD56" s="153"/>
      <c r="AE56" s="153" t="n">
        <v>33</v>
      </c>
      <c r="AF56" s="153"/>
      <c r="AG56" s="153"/>
      <c r="AH56" s="154"/>
      <c r="AI56" s="154" t="s">
        <v>1389</v>
      </c>
      <c r="AJ56" s="154"/>
      <c r="AK56" s="154"/>
      <c r="AL56" s="155"/>
      <c r="AM56" s="155" t="n">
        <v>42</v>
      </c>
      <c r="AN56" s="155"/>
      <c r="AO56" s="155" t="n">
        <v>52</v>
      </c>
      <c r="AP56" s="156"/>
      <c r="AQ56" s="156" t="s">
        <v>1389</v>
      </c>
      <c r="AR56" s="156"/>
      <c r="AS56" s="156" t="n">
        <v>50</v>
      </c>
      <c r="AT56" s="157"/>
      <c r="AU56" s="157" t="s">
        <v>1389</v>
      </c>
      <c r="AV56" s="157"/>
      <c r="AW56" s="157" t="n">
        <v>50</v>
      </c>
      <c r="AX56" s="158"/>
      <c r="AY56" s="158" t="s">
        <v>1389</v>
      </c>
      <c r="AZ56" s="158"/>
      <c r="BA56" s="158" t="n">
        <v>50</v>
      </c>
      <c r="BB56" s="160"/>
      <c r="BC56" s="160" t="s">
        <v>1389</v>
      </c>
      <c r="BD56" s="160"/>
      <c r="BE56" s="160" t="n">
        <v>50</v>
      </c>
      <c r="BF56" s="162"/>
      <c r="BG56" s="162" t="s">
        <v>1389</v>
      </c>
      <c r="BH56" s="162"/>
      <c r="BI56" s="162" t="n">
        <v>50</v>
      </c>
      <c r="BJ56" s="164"/>
      <c r="BK56" s="164" t="s">
        <v>1389</v>
      </c>
      <c r="BL56" s="164"/>
      <c r="BM56" s="164" t="n">
        <v>50</v>
      </c>
      <c r="BN56" s="147"/>
      <c r="BO56" s="147" t="s">
        <v>1389</v>
      </c>
      <c r="BP56" s="147"/>
      <c r="BQ56" s="147" t="n">
        <v>52</v>
      </c>
      <c r="BR56" s="166"/>
      <c r="BS56" s="166" t="s">
        <v>1389</v>
      </c>
      <c r="BT56" s="166"/>
      <c r="BU56" s="166" t="n">
        <v>48</v>
      </c>
      <c r="BV56" s="167"/>
      <c r="BW56" s="167" t="n">
        <v>42</v>
      </c>
      <c r="BX56" s="167"/>
      <c r="BY56" s="167"/>
      <c r="BZ56" s="168"/>
      <c r="CA56" s="168" t="s">
        <v>1389</v>
      </c>
      <c r="CB56" s="168"/>
      <c r="CC56" s="169" t="n">
        <v>50</v>
      </c>
      <c r="CD56" s="147"/>
      <c r="CE56" s="147" t="n">
        <v>29</v>
      </c>
      <c r="CF56" s="147"/>
      <c r="CG56" s="147" t="n">
        <v>52</v>
      </c>
      <c r="CH56" s="170"/>
      <c r="CI56" s="170" t="s">
        <v>1389</v>
      </c>
      <c r="CJ56" s="170"/>
      <c r="CK56" s="170" t="n">
        <v>52</v>
      </c>
      <c r="CL56" s="171"/>
      <c r="CM56" s="171" t="s">
        <v>1389</v>
      </c>
      <c r="CN56" s="171"/>
      <c r="CO56" s="171" t="n">
        <v>52</v>
      </c>
      <c r="CP56" s="167"/>
      <c r="CQ56" s="167" t="s">
        <v>1389</v>
      </c>
      <c r="CR56" s="167"/>
      <c r="CS56" s="167" t="n">
        <v>52</v>
      </c>
      <c r="CT56" s="166"/>
      <c r="CU56" s="166" t="s">
        <v>1389</v>
      </c>
      <c r="CV56" s="166"/>
      <c r="CW56" s="166" t="n">
        <v>52</v>
      </c>
      <c r="CX56" s="173"/>
      <c r="CY56" s="173" t="s">
        <v>1389</v>
      </c>
      <c r="CZ56" s="173"/>
      <c r="DA56" s="173" t="n">
        <v>48</v>
      </c>
      <c r="DB56" s="175"/>
      <c r="DC56" s="175" t="s">
        <v>1389</v>
      </c>
      <c r="DD56" s="175"/>
      <c r="DE56" s="175" t="n">
        <v>48</v>
      </c>
    </row>
    <row r="57" s="176" customFormat="true" ht="15" hidden="false" customHeight="false" outlineLevel="0" collapsed="false">
      <c r="A57" s="145" t="s">
        <v>1390</v>
      </c>
      <c r="B57" s="146"/>
      <c r="C57" s="146" t="s">
        <v>1389</v>
      </c>
      <c r="D57" s="146"/>
      <c r="E57" s="146"/>
      <c r="F57" s="147"/>
      <c r="G57" s="147" t="s">
        <v>1389</v>
      </c>
      <c r="H57" s="147"/>
      <c r="I57" s="147" t="n">
        <v>13</v>
      </c>
      <c r="J57" s="148"/>
      <c r="K57" s="148" t="s">
        <v>1389</v>
      </c>
      <c r="L57" s="148"/>
      <c r="M57" s="148" t="n">
        <v>13</v>
      </c>
      <c r="N57" s="149"/>
      <c r="O57" s="149" t="s">
        <v>1389</v>
      </c>
      <c r="P57" s="149"/>
      <c r="Q57" s="149" t="n">
        <v>13</v>
      </c>
      <c r="R57" s="150"/>
      <c r="S57" s="150" t="s">
        <v>1389</v>
      </c>
      <c r="T57" s="150"/>
      <c r="U57" s="150" t="n">
        <v>13</v>
      </c>
      <c r="V57" s="151"/>
      <c r="W57" s="151" t="s">
        <v>1389</v>
      </c>
      <c r="X57" s="151"/>
      <c r="Y57" s="151" t="n">
        <v>12</v>
      </c>
      <c r="Z57" s="152"/>
      <c r="AA57" s="152" t="s">
        <v>1389</v>
      </c>
      <c r="AB57" s="152"/>
      <c r="AC57" s="152" t="n">
        <v>12</v>
      </c>
      <c r="AD57" s="153"/>
      <c r="AE57" s="153" t="n">
        <v>15</v>
      </c>
      <c r="AF57" s="153"/>
      <c r="AG57" s="153"/>
      <c r="AH57" s="154"/>
      <c r="AI57" s="154" t="s">
        <v>1389</v>
      </c>
      <c r="AJ57" s="154"/>
      <c r="AK57" s="154"/>
      <c r="AL57" s="155"/>
      <c r="AM57" s="155" t="n">
        <v>0</v>
      </c>
      <c r="AN57" s="155"/>
      <c r="AO57" s="155" t="n">
        <v>13</v>
      </c>
      <c r="AP57" s="156"/>
      <c r="AQ57" s="156" t="s">
        <v>1389</v>
      </c>
      <c r="AR57" s="156"/>
      <c r="AS57" s="156" t="n">
        <v>12</v>
      </c>
      <c r="AT57" s="157"/>
      <c r="AU57" s="157" t="s">
        <v>1389</v>
      </c>
      <c r="AV57" s="157"/>
      <c r="AW57" s="157" t="n">
        <v>12</v>
      </c>
      <c r="AX57" s="158"/>
      <c r="AY57" s="158" t="s">
        <v>1389</v>
      </c>
      <c r="AZ57" s="158"/>
      <c r="BA57" s="158" t="n">
        <v>13</v>
      </c>
      <c r="BB57" s="160"/>
      <c r="BC57" s="160" t="s">
        <v>1389</v>
      </c>
      <c r="BD57" s="160"/>
      <c r="BE57" s="160" t="n">
        <v>13</v>
      </c>
      <c r="BF57" s="162"/>
      <c r="BG57" s="162" t="s">
        <v>1389</v>
      </c>
      <c r="BH57" s="162"/>
      <c r="BI57" s="162" t="n">
        <v>13</v>
      </c>
      <c r="BJ57" s="164"/>
      <c r="BK57" s="164" t="s">
        <v>1389</v>
      </c>
      <c r="BL57" s="164"/>
      <c r="BM57" s="164" t="n">
        <v>12</v>
      </c>
      <c r="BN57" s="147"/>
      <c r="BO57" s="147" t="s">
        <v>1389</v>
      </c>
      <c r="BP57" s="147"/>
      <c r="BQ57" s="147" t="n">
        <v>12</v>
      </c>
      <c r="BR57" s="166"/>
      <c r="BS57" s="166" t="s">
        <v>1389</v>
      </c>
      <c r="BT57" s="166"/>
      <c r="BU57" s="166" t="n">
        <v>12</v>
      </c>
      <c r="BV57" s="167"/>
      <c r="BW57" s="167" t="n">
        <v>10</v>
      </c>
      <c r="BX57" s="167"/>
      <c r="BY57" s="167"/>
      <c r="BZ57" s="168"/>
      <c r="CA57" s="168" t="s">
        <v>1389</v>
      </c>
      <c r="CB57" s="168"/>
      <c r="CC57" s="169" t="n">
        <v>11</v>
      </c>
      <c r="CD57" s="147"/>
      <c r="CE57" s="147" t="n">
        <v>0</v>
      </c>
      <c r="CF57" s="147"/>
      <c r="CG57" s="147" t="n">
        <v>0</v>
      </c>
      <c r="CH57" s="170"/>
      <c r="CI57" s="170" t="s">
        <v>1389</v>
      </c>
      <c r="CJ57" s="170"/>
      <c r="CK57" s="170" t="n">
        <v>12</v>
      </c>
      <c r="CL57" s="171"/>
      <c r="CM57" s="171" t="s">
        <v>1389</v>
      </c>
      <c r="CN57" s="171"/>
      <c r="CO57" s="171" t="n">
        <v>12</v>
      </c>
      <c r="CP57" s="167"/>
      <c r="CQ57" s="167" t="s">
        <v>1389</v>
      </c>
      <c r="CR57" s="167"/>
      <c r="CS57" s="167" t="n">
        <v>12</v>
      </c>
      <c r="CT57" s="166"/>
      <c r="CU57" s="166" t="s">
        <v>1389</v>
      </c>
      <c r="CV57" s="166"/>
      <c r="CW57" s="166" t="n">
        <v>12</v>
      </c>
      <c r="CX57" s="173"/>
      <c r="CY57" s="173" t="s">
        <v>1389</v>
      </c>
      <c r="CZ57" s="173"/>
      <c r="DA57" s="173" t="n">
        <v>12</v>
      </c>
      <c r="DB57" s="175"/>
      <c r="DC57" s="175" t="s">
        <v>1389</v>
      </c>
      <c r="DD57" s="175"/>
      <c r="DE57" s="175" t="n">
        <v>12</v>
      </c>
    </row>
    <row r="58" s="176" customFormat="true" ht="15" hidden="false" customHeight="false" outlineLevel="0" collapsed="false">
      <c r="A58" s="145" t="s">
        <v>1391</v>
      </c>
      <c r="B58" s="146"/>
      <c r="C58" s="146" t="n">
        <v>35</v>
      </c>
      <c r="D58" s="146"/>
      <c r="E58" s="146"/>
      <c r="F58" s="147"/>
      <c r="G58" s="147" t="n">
        <v>27</v>
      </c>
      <c r="H58" s="147"/>
      <c r="I58" s="147" t="n">
        <v>54</v>
      </c>
      <c r="J58" s="148"/>
      <c r="K58" s="148" t="n">
        <v>28</v>
      </c>
      <c r="L58" s="148"/>
      <c r="M58" s="148" t="n">
        <v>50</v>
      </c>
      <c r="N58" s="149"/>
      <c r="O58" s="149" t="n">
        <v>28</v>
      </c>
      <c r="P58" s="149"/>
      <c r="Q58" s="149" t="n">
        <v>50</v>
      </c>
      <c r="R58" s="150"/>
      <c r="S58" s="150" t="n">
        <v>30</v>
      </c>
      <c r="T58" s="150"/>
      <c r="U58" s="150" t="n">
        <v>50</v>
      </c>
      <c r="V58" s="151"/>
      <c r="W58" s="151" t="n">
        <v>30</v>
      </c>
      <c r="X58" s="151"/>
      <c r="Y58" s="151" t="n">
        <v>50</v>
      </c>
      <c r="Z58" s="152"/>
      <c r="AA58" s="152" t="n">
        <v>28</v>
      </c>
      <c r="AB58" s="152"/>
      <c r="AC58" s="152" t="n">
        <v>52</v>
      </c>
      <c r="AD58" s="153"/>
      <c r="AE58" s="153" t="n">
        <v>35</v>
      </c>
      <c r="AF58" s="153"/>
      <c r="AG58" s="153"/>
      <c r="AH58" s="154"/>
      <c r="AI58" s="154" t="s">
        <v>1389</v>
      </c>
      <c r="AJ58" s="154"/>
      <c r="AK58" s="154"/>
      <c r="AL58" s="155"/>
      <c r="AM58" s="155" t="n">
        <v>27</v>
      </c>
      <c r="AN58" s="155"/>
      <c r="AO58" s="155" t="n">
        <v>52</v>
      </c>
      <c r="AP58" s="156"/>
      <c r="AQ58" s="156" t="n">
        <v>27</v>
      </c>
      <c r="AR58" s="156"/>
      <c r="AS58" s="156" t="n">
        <v>50</v>
      </c>
      <c r="AT58" s="157"/>
      <c r="AU58" s="157" t="n">
        <v>30</v>
      </c>
      <c r="AV58" s="157"/>
      <c r="AW58" s="157" t="n">
        <v>50</v>
      </c>
      <c r="AX58" s="158"/>
      <c r="AY58" s="159" t="n">
        <v>30</v>
      </c>
      <c r="AZ58" s="158"/>
      <c r="BA58" s="158" t="n">
        <v>50</v>
      </c>
      <c r="BB58" s="160"/>
      <c r="BC58" s="161" t="n">
        <v>30</v>
      </c>
      <c r="BD58" s="160"/>
      <c r="BE58" s="160" t="n">
        <v>50</v>
      </c>
      <c r="BF58" s="162"/>
      <c r="BG58" s="163" t="n">
        <v>32</v>
      </c>
      <c r="BH58" s="162"/>
      <c r="BI58" s="162" t="n">
        <v>50</v>
      </c>
      <c r="BJ58" s="164"/>
      <c r="BK58" s="165" t="n">
        <v>30</v>
      </c>
      <c r="BL58" s="164"/>
      <c r="BM58" s="164" t="n">
        <v>50</v>
      </c>
      <c r="BN58" s="147"/>
      <c r="BO58" s="147" t="n">
        <v>30</v>
      </c>
      <c r="BP58" s="147"/>
      <c r="BQ58" s="147" t="n">
        <v>52</v>
      </c>
      <c r="BR58" s="166"/>
      <c r="BS58" s="166" t="n">
        <v>25</v>
      </c>
      <c r="BT58" s="166"/>
      <c r="BU58" s="166" t="n">
        <v>50</v>
      </c>
      <c r="BV58" s="167"/>
      <c r="BW58" s="167" t="n">
        <v>34</v>
      </c>
      <c r="BX58" s="167"/>
      <c r="BY58" s="167"/>
      <c r="BZ58" s="168"/>
      <c r="CA58" s="168" t="n">
        <v>28</v>
      </c>
      <c r="CB58" s="168"/>
      <c r="CC58" s="169" t="n">
        <v>50</v>
      </c>
      <c r="CD58" s="147"/>
      <c r="CE58" s="147" t="n">
        <v>27</v>
      </c>
      <c r="CF58" s="147"/>
      <c r="CG58" s="147" t="n">
        <v>52</v>
      </c>
      <c r="CH58" s="170"/>
      <c r="CI58" s="170" t="n">
        <v>27</v>
      </c>
      <c r="CJ58" s="170"/>
      <c r="CK58" s="170" t="n">
        <v>52</v>
      </c>
      <c r="CL58" s="171"/>
      <c r="CM58" s="171" t="n">
        <v>27</v>
      </c>
      <c r="CN58" s="171"/>
      <c r="CO58" s="171" t="n">
        <v>52</v>
      </c>
      <c r="CP58" s="167"/>
      <c r="CQ58" s="167" t="n">
        <v>27</v>
      </c>
      <c r="CR58" s="167"/>
      <c r="CS58" s="167" t="n">
        <v>52</v>
      </c>
      <c r="CT58" s="166"/>
      <c r="CU58" s="166" t="n">
        <v>27</v>
      </c>
      <c r="CV58" s="166"/>
      <c r="CW58" s="166" t="n">
        <v>52</v>
      </c>
      <c r="CX58" s="173"/>
      <c r="CY58" s="173" t="n">
        <v>25</v>
      </c>
      <c r="CZ58" s="173"/>
      <c r="DA58" s="173" t="n">
        <v>50</v>
      </c>
      <c r="DB58" s="175"/>
      <c r="DC58" s="175" t="n">
        <v>25</v>
      </c>
      <c r="DD58" s="175"/>
      <c r="DE58" s="175" t="n">
        <v>50</v>
      </c>
    </row>
    <row r="59" s="176" customFormat="true" ht="15" hidden="false" customHeight="false" outlineLevel="0" collapsed="false">
      <c r="A59" s="145" t="s">
        <v>1392</v>
      </c>
      <c r="B59" s="146"/>
      <c r="C59" s="146" t="n">
        <v>0</v>
      </c>
      <c r="D59" s="146"/>
      <c r="E59" s="146"/>
      <c r="F59" s="147"/>
      <c r="G59" s="147" t="n">
        <v>0</v>
      </c>
      <c r="H59" s="147"/>
      <c r="I59" s="147" t="n">
        <v>13</v>
      </c>
      <c r="J59" s="148"/>
      <c r="K59" s="148" t="n">
        <v>0</v>
      </c>
      <c r="L59" s="148"/>
      <c r="M59" s="148" t="n">
        <v>13</v>
      </c>
      <c r="N59" s="149"/>
      <c r="O59" s="149" t="n">
        <v>0</v>
      </c>
      <c r="P59" s="149"/>
      <c r="Q59" s="149" t="n">
        <v>13</v>
      </c>
      <c r="R59" s="150"/>
      <c r="S59" s="150" t="n">
        <v>0</v>
      </c>
      <c r="T59" s="150"/>
      <c r="U59" s="150" t="n">
        <v>13</v>
      </c>
      <c r="V59" s="151"/>
      <c r="W59" s="151" t="n">
        <v>0</v>
      </c>
      <c r="X59" s="151"/>
      <c r="Y59" s="151" t="n">
        <v>12</v>
      </c>
      <c r="Z59" s="152"/>
      <c r="AA59" s="152" t="n">
        <v>0</v>
      </c>
      <c r="AB59" s="152"/>
      <c r="AC59" s="152" t="n">
        <v>12</v>
      </c>
      <c r="AD59" s="153"/>
      <c r="AE59" s="153" t="n">
        <v>0</v>
      </c>
      <c r="AF59" s="153"/>
      <c r="AG59" s="153"/>
      <c r="AH59" s="154"/>
      <c r="AI59" s="154" t="s">
        <v>1389</v>
      </c>
      <c r="AJ59" s="154"/>
      <c r="AK59" s="154"/>
      <c r="AL59" s="155"/>
      <c r="AM59" s="155" t="n">
        <v>0</v>
      </c>
      <c r="AN59" s="155"/>
      <c r="AO59" s="155" t="n">
        <v>13</v>
      </c>
      <c r="AP59" s="156"/>
      <c r="AQ59" s="156" t="n">
        <v>0</v>
      </c>
      <c r="AR59" s="156"/>
      <c r="AS59" s="156" t="n">
        <v>12</v>
      </c>
      <c r="AT59" s="157"/>
      <c r="AU59" s="157" t="n">
        <v>0</v>
      </c>
      <c r="AV59" s="157"/>
      <c r="AW59" s="157" t="n">
        <v>12</v>
      </c>
      <c r="AX59" s="158"/>
      <c r="AY59" s="159" t="n">
        <v>0</v>
      </c>
      <c r="AZ59" s="158"/>
      <c r="BA59" s="158" t="n">
        <v>13</v>
      </c>
      <c r="BB59" s="160"/>
      <c r="BC59" s="161" t="n">
        <v>0</v>
      </c>
      <c r="BD59" s="160"/>
      <c r="BE59" s="160" t="n">
        <v>13</v>
      </c>
      <c r="BF59" s="162"/>
      <c r="BG59" s="163" t="n">
        <v>0</v>
      </c>
      <c r="BH59" s="162"/>
      <c r="BI59" s="162" t="n">
        <v>13</v>
      </c>
      <c r="BJ59" s="164"/>
      <c r="BK59" s="165" t="n">
        <v>0</v>
      </c>
      <c r="BL59" s="164"/>
      <c r="BM59" s="164" t="n">
        <v>12</v>
      </c>
      <c r="BN59" s="147"/>
      <c r="BO59" s="147" t="n">
        <v>0</v>
      </c>
      <c r="BP59" s="147"/>
      <c r="BQ59" s="147" t="n">
        <v>12</v>
      </c>
      <c r="BR59" s="166"/>
      <c r="BS59" s="166" t="n">
        <v>0</v>
      </c>
      <c r="BT59" s="166"/>
      <c r="BU59" s="166" t="n">
        <v>12</v>
      </c>
      <c r="BV59" s="167"/>
      <c r="BW59" s="167" t="n">
        <v>10</v>
      </c>
      <c r="BX59" s="167"/>
      <c r="BY59" s="167"/>
      <c r="BZ59" s="168"/>
      <c r="CA59" s="168" t="n">
        <v>0</v>
      </c>
      <c r="CB59" s="168"/>
      <c r="CC59" s="169" t="n">
        <v>11</v>
      </c>
      <c r="CD59" s="147"/>
      <c r="CE59" s="147" t="n">
        <v>0</v>
      </c>
      <c r="CF59" s="147"/>
      <c r="CG59" s="147" t="n">
        <v>-18</v>
      </c>
      <c r="CH59" s="170"/>
      <c r="CI59" s="170" t="n">
        <v>0</v>
      </c>
      <c r="CJ59" s="170"/>
      <c r="CK59" s="170" t="n">
        <v>12</v>
      </c>
      <c r="CL59" s="171"/>
      <c r="CM59" s="171" t="n">
        <v>0</v>
      </c>
      <c r="CN59" s="171"/>
      <c r="CO59" s="171" t="n">
        <v>12</v>
      </c>
      <c r="CP59" s="167"/>
      <c r="CQ59" s="167" t="n">
        <v>0</v>
      </c>
      <c r="CR59" s="167"/>
      <c r="CS59" s="167" t="n">
        <v>12</v>
      </c>
      <c r="CT59" s="166"/>
      <c r="CU59" s="166" t="n">
        <v>0</v>
      </c>
      <c r="CV59" s="166"/>
      <c r="CW59" s="166" t="n">
        <v>12</v>
      </c>
      <c r="CX59" s="173"/>
      <c r="CY59" s="173" t="n">
        <v>0</v>
      </c>
      <c r="CZ59" s="173"/>
      <c r="DA59" s="173" t="n">
        <v>12</v>
      </c>
      <c r="DB59" s="175"/>
      <c r="DC59" s="175" t="n">
        <v>0</v>
      </c>
      <c r="DD59" s="175"/>
      <c r="DE59" s="175" t="n">
        <v>12</v>
      </c>
    </row>
    <row r="60" s="176" customFormat="true" ht="15" hidden="false" customHeight="false" outlineLevel="0" collapsed="false">
      <c r="A60" s="145" t="s">
        <v>1393</v>
      </c>
      <c r="B60" s="146"/>
      <c r="C60" s="146" t="n">
        <v>35</v>
      </c>
      <c r="D60" s="146"/>
      <c r="E60" s="146"/>
      <c r="F60" s="147"/>
      <c r="G60" s="147" t="n">
        <v>29</v>
      </c>
      <c r="H60" s="147"/>
      <c r="I60" s="147" t="n">
        <v>54</v>
      </c>
      <c r="J60" s="148"/>
      <c r="K60" s="148" t="n">
        <v>28</v>
      </c>
      <c r="L60" s="148"/>
      <c r="M60" s="148" t="n">
        <v>50</v>
      </c>
      <c r="N60" s="149"/>
      <c r="O60" s="149" t="n">
        <v>28</v>
      </c>
      <c r="P60" s="149"/>
      <c r="Q60" s="149" t="n">
        <v>53</v>
      </c>
      <c r="R60" s="150"/>
      <c r="S60" s="150" t="n">
        <v>30</v>
      </c>
      <c r="T60" s="150"/>
      <c r="U60" s="150" t="n">
        <v>50</v>
      </c>
      <c r="V60" s="151"/>
      <c r="W60" s="151" t="n">
        <v>26</v>
      </c>
      <c r="X60" s="151"/>
      <c r="Y60" s="151" t="n">
        <v>48</v>
      </c>
      <c r="Z60" s="152"/>
      <c r="AA60" s="152" t="n">
        <v>28</v>
      </c>
      <c r="AB60" s="152"/>
      <c r="AC60" s="152" t="n">
        <v>52</v>
      </c>
      <c r="AD60" s="153"/>
      <c r="AE60" s="153" t="n">
        <v>35</v>
      </c>
      <c r="AF60" s="153"/>
      <c r="AG60" s="153"/>
      <c r="AH60" s="154"/>
      <c r="AI60" s="154" t="n">
        <v>35</v>
      </c>
      <c r="AJ60" s="154"/>
      <c r="AK60" s="154"/>
      <c r="AL60" s="155"/>
      <c r="AM60" s="155" t="n">
        <v>42</v>
      </c>
      <c r="AN60" s="155"/>
      <c r="AO60" s="155" t="n">
        <v>52</v>
      </c>
      <c r="AP60" s="156"/>
      <c r="AQ60" s="156" t="n">
        <v>27</v>
      </c>
      <c r="AR60" s="156"/>
      <c r="AS60" s="156" t="n">
        <v>50</v>
      </c>
      <c r="AT60" s="157"/>
      <c r="AU60" s="157" t="n">
        <v>30</v>
      </c>
      <c r="AV60" s="157"/>
      <c r="AW60" s="157" t="n">
        <v>50</v>
      </c>
      <c r="AX60" s="158"/>
      <c r="AY60" s="159" t="n">
        <v>30</v>
      </c>
      <c r="AZ60" s="158"/>
      <c r="BA60" s="158" t="n">
        <v>50</v>
      </c>
      <c r="BB60" s="160"/>
      <c r="BC60" s="161" t="n">
        <v>30</v>
      </c>
      <c r="BD60" s="160"/>
      <c r="BE60" s="160" t="n">
        <v>50</v>
      </c>
      <c r="BF60" s="162"/>
      <c r="BG60" s="163" t="n">
        <v>32</v>
      </c>
      <c r="BH60" s="162"/>
      <c r="BI60" s="162" t="n">
        <v>50</v>
      </c>
      <c r="BJ60" s="164"/>
      <c r="BK60" s="165" t="n">
        <v>30</v>
      </c>
      <c r="BL60" s="164"/>
      <c r="BM60" s="164" t="n">
        <v>50</v>
      </c>
      <c r="BN60" s="147"/>
      <c r="BO60" s="147" t="n">
        <v>30</v>
      </c>
      <c r="BP60" s="147"/>
      <c r="BQ60" s="147" t="n">
        <v>52</v>
      </c>
      <c r="BR60" s="166"/>
      <c r="BS60" s="166" t="n">
        <v>25</v>
      </c>
      <c r="BT60" s="166"/>
      <c r="BU60" s="166" t="n">
        <v>48</v>
      </c>
      <c r="BV60" s="167"/>
      <c r="BW60" s="167" t="n">
        <v>34</v>
      </c>
      <c r="BX60" s="167"/>
      <c r="BY60" s="167"/>
      <c r="BZ60" s="168"/>
      <c r="CA60" s="168" t="n">
        <v>28</v>
      </c>
      <c r="CB60" s="168"/>
      <c r="CC60" s="169" t="n">
        <v>50</v>
      </c>
      <c r="CD60" s="147"/>
      <c r="CE60" s="147" t="n">
        <v>29</v>
      </c>
      <c r="CF60" s="147"/>
      <c r="CG60" s="147" t="n">
        <v>54</v>
      </c>
      <c r="CH60" s="170"/>
      <c r="CI60" s="170" t="n">
        <v>29</v>
      </c>
      <c r="CJ60" s="170"/>
      <c r="CK60" s="170" t="n">
        <v>52</v>
      </c>
      <c r="CL60" s="171"/>
      <c r="CM60" s="171" t="n">
        <v>29</v>
      </c>
      <c r="CN60" s="171"/>
      <c r="CO60" s="171" t="n">
        <v>52</v>
      </c>
      <c r="CP60" s="167"/>
      <c r="CQ60" s="167" t="n">
        <v>29</v>
      </c>
      <c r="CR60" s="167"/>
      <c r="CS60" s="167" t="n">
        <v>52</v>
      </c>
      <c r="CT60" s="166"/>
      <c r="CU60" s="166" t="n">
        <v>29</v>
      </c>
      <c r="CV60" s="166"/>
      <c r="CW60" s="166" t="n">
        <v>52</v>
      </c>
      <c r="CX60" s="173"/>
      <c r="CY60" s="173" t="n">
        <v>25</v>
      </c>
      <c r="CZ60" s="173"/>
      <c r="DA60" s="173" t="n">
        <v>48</v>
      </c>
      <c r="DB60" s="175"/>
      <c r="DC60" s="175" t="n">
        <v>25</v>
      </c>
      <c r="DD60" s="175"/>
      <c r="DE60" s="175" t="n">
        <v>48</v>
      </c>
    </row>
    <row r="61" s="176" customFormat="true" ht="15" hidden="false" customHeight="false" outlineLevel="0" collapsed="false">
      <c r="A61" s="145" t="s">
        <v>1394</v>
      </c>
      <c r="B61" s="146"/>
      <c r="C61" s="146" t="n">
        <v>0</v>
      </c>
      <c r="D61" s="146"/>
      <c r="E61" s="146"/>
      <c r="F61" s="147"/>
      <c r="G61" s="147" t="n">
        <v>0</v>
      </c>
      <c r="H61" s="147"/>
      <c r="I61" s="147" t="n">
        <v>13</v>
      </c>
      <c r="J61" s="148"/>
      <c r="K61" s="148" t="n">
        <v>0</v>
      </c>
      <c r="L61" s="148"/>
      <c r="M61" s="148" t="n">
        <v>13</v>
      </c>
      <c r="N61" s="149"/>
      <c r="O61" s="149" t="n">
        <v>0</v>
      </c>
      <c r="P61" s="149"/>
      <c r="Q61" s="149" t="n">
        <v>13</v>
      </c>
      <c r="R61" s="150"/>
      <c r="S61" s="150" t="n">
        <v>0</v>
      </c>
      <c r="T61" s="150"/>
      <c r="U61" s="150" t="n">
        <v>13</v>
      </c>
      <c r="V61" s="151"/>
      <c r="W61" s="151" t="n">
        <v>0</v>
      </c>
      <c r="X61" s="151"/>
      <c r="Y61" s="151" t="n">
        <v>12</v>
      </c>
      <c r="Z61" s="152"/>
      <c r="AA61" s="152" t="n">
        <v>0</v>
      </c>
      <c r="AB61" s="152"/>
      <c r="AC61" s="152" t="n">
        <v>12</v>
      </c>
      <c r="AD61" s="153"/>
      <c r="AE61" s="153" t="n">
        <v>0</v>
      </c>
      <c r="AF61" s="153"/>
      <c r="AG61" s="153"/>
      <c r="AH61" s="154"/>
      <c r="AI61" s="154" t="n">
        <v>0</v>
      </c>
      <c r="AJ61" s="154"/>
      <c r="AK61" s="154"/>
      <c r="AL61" s="155"/>
      <c r="AM61" s="155" t="n">
        <v>0</v>
      </c>
      <c r="AN61" s="155"/>
      <c r="AO61" s="155" t="n">
        <v>13</v>
      </c>
      <c r="AP61" s="156"/>
      <c r="AQ61" s="156" t="n">
        <v>0</v>
      </c>
      <c r="AR61" s="156"/>
      <c r="AS61" s="156" t="n">
        <v>12</v>
      </c>
      <c r="AT61" s="157"/>
      <c r="AU61" s="157" t="n">
        <v>0</v>
      </c>
      <c r="AV61" s="157"/>
      <c r="AW61" s="157" t="n">
        <v>12</v>
      </c>
      <c r="AX61" s="158"/>
      <c r="AY61" s="159" t="n">
        <v>0</v>
      </c>
      <c r="AZ61" s="158"/>
      <c r="BA61" s="158" t="n">
        <v>13</v>
      </c>
      <c r="BB61" s="160"/>
      <c r="BC61" s="161" t="n">
        <v>0</v>
      </c>
      <c r="BD61" s="160"/>
      <c r="BE61" s="160" t="n">
        <v>13</v>
      </c>
      <c r="BF61" s="162"/>
      <c r="BG61" s="163" t="n">
        <v>0</v>
      </c>
      <c r="BH61" s="162"/>
      <c r="BI61" s="162" t="n">
        <v>13</v>
      </c>
      <c r="BJ61" s="164"/>
      <c r="BK61" s="165" t="n">
        <v>0</v>
      </c>
      <c r="BL61" s="164"/>
      <c r="BM61" s="164" t="n">
        <v>12</v>
      </c>
      <c r="BN61" s="147"/>
      <c r="BO61" s="147" t="n">
        <v>0</v>
      </c>
      <c r="BP61" s="147"/>
      <c r="BQ61" s="147" t="n">
        <v>12</v>
      </c>
      <c r="BR61" s="166"/>
      <c r="BS61" s="166" t="n">
        <v>0</v>
      </c>
      <c r="BT61" s="166"/>
      <c r="BU61" s="166" t="n">
        <v>12</v>
      </c>
      <c r="BV61" s="167"/>
      <c r="BW61" s="167" t="n">
        <v>10</v>
      </c>
      <c r="BX61" s="167"/>
      <c r="BY61" s="167"/>
      <c r="BZ61" s="168"/>
      <c r="CA61" s="168" t="n">
        <v>0</v>
      </c>
      <c r="CB61" s="168"/>
      <c r="CC61" s="169" t="n">
        <v>11</v>
      </c>
      <c r="CD61" s="147"/>
      <c r="CE61" s="147" t="n">
        <v>0</v>
      </c>
      <c r="CF61" s="147"/>
      <c r="CG61" s="147" t="n">
        <v>0</v>
      </c>
      <c r="CH61" s="170"/>
      <c r="CI61" s="170" t="n">
        <v>0</v>
      </c>
      <c r="CJ61" s="170"/>
      <c r="CK61" s="170" t="n">
        <v>12</v>
      </c>
      <c r="CL61" s="171"/>
      <c r="CM61" s="171" t="n">
        <v>0</v>
      </c>
      <c r="CN61" s="171"/>
      <c r="CO61" s="171" t="n">
        <v>12</v>
      </c>
      <c r="CP61" s="167"/>
      <c r="CQ61" s="167" t="n">
        <v>0</v>
      </c>
      <c r="CR61" s="167"/>
      <c r="CS61" s="167" t="n">
        <v>12</v>
      </c>
      <c r="CT61" s="166"/>
      <c r="CU61" s="166" t="n">
        <v>0</v>
      </c>
      <c r="CV61" s="166"/>
      <c r="CW61" s="166" t="n">
        <v>12</v>
      </c>
      <c r="CX61" s="173"/>
      <c r="CY61" s="173" t="n">
        <v>0</v>
      </c>
      <c r="CZ61" s="173"/>
      <c r="DA61" s="173" t="n">
        <v>12</v>
      </c>
      <c r="DB61" s="175"/>
      <c r="DC61" s="175" t="n">
        <v>0</v>
      </c>
      <c r="DD61" s="175"/>
      <c r="DE61" s="175" t="n">
        <v>12</v>
      </c>
    </row>
    <row r="62" customFormat="false" ht="15" hidden="false" customHeight="false" outlineLevel="0" collapsed="false">
      <c r="A62" s="177"/>
      <c r="B62" s="177" t="s">
        <v>1395</v>
      </c>
      <c r="C62" s="177" t="s">
        <v>1396</v>
      </c>
      <c r="D62" s="177" t="s">
        <v>1397</v>
      </c>
      <c r="E62" s="177" t="s">
        <v>1398</v>
      </c>
      <c r="F62" s="177" t="s">
        <v>1395</v>
      </c>
      <c r="G62" s="177" t="s">
        <v>1396</v>
      </c>
      <c r="H62" s="177" t="s">
        <v>1397</v>
      </c>
      <c r="I62" s="177" t="s">
        <v>1398</v>
      </c>
      <c r="J62" s="177" t="s">
        <v>1395</v>
      </c>
      <c r="K62" s="177" t="s">
        <v>1396</v>
      </c>
      <c r="L62" s="177" t="s">
        <v>1397</v>
      </c>
      <c r="M62" s="177" t="s">
        <v>1398</v>
      </c>
      <c r="N62" s="177" t="s">
        <v>1395</v>
      </c>
      <c r="O62" s="177" t="s">
        <v>1396</v>
      </c>
      <c r="P62" s="177" t="s">
        <v>1397</v>
      </c>
      <c r="Q62" s="177" t="s">
        <v>1398</v>
      </c>
      <c r="R62" s="177" t="s">
        <v>1395</v>
      </c>
      <c r="S62" s="177" t="s">
        <v>1396</v>
      </c>
      <c r="T62" s="177" t="s">
        <v>1397</v>
      </c>
      <c r="U62" s="177" t="s">
        <v>1398</v>
      </c>
      <c r="V62" s="177" t="s">
        <v>1395</v>
      </c>
      <c r="W62" s="177" t="s">
        <v>1396</v>
      </c>
      <c r="X62" s="177" t="s">
        <v>1397</v>
      </c>
      <c r="Y62" s="177" t="s">
        <v>1398</v>
      </c>
      <c r="Z62" s="177" t="s">
        <v>1395</v>
      </c>
      <c r="AA62" s="177" t="s">
        <v>1396</v>
      </c>
      <c r="AB62" s="177" t="s">
        <v>1397</v>
      </c>
      <c r="AC62" s="177" t="s">
        <v>1398</v>
      </c>
      <c r="AD62" s="177" t="s">
        <v>1395</v>
      </c>
      <c r="AE62" s="177" t="s">
        <v>1396</v>
      </c>
      <c r="AF62" s="177" t="s">
        <v>1397</v>
      </c>
      <c r="AG62" s="177" t="s">
        <v>1398</v>
      </c>
      <c r="AH62" s="177" t="s">
        <v>1395</v>
      </c>
      <c r="AI62" s="177" t="s">
        <v>1396</v>
      </c>
      <c r="AJ62" s="177" t="s">
        <v>1397</v>
      </c>
      <c r="AK62" s="177" t="s">
        <v>1398</v>
      </c>
      <c r="AL62" s="177" t="s">
        <v>1395</v>
      </c>
      <c r="AM62" s="177" t="s">
        <v>1396</v>
      </c>
      <c r="AN62" s="177" t="s">
        <v>1397</v>
      </c>
      <c r="AO62" s="177" t="s">
        <v>1398</v>
      </c>
      <c r="AP62" s="177" t="s">
        <v>1395</v>
      </c>
      <c r="AQ62" s="177" t="s">
        <v>1396</v>
      </c>
      <c r="AR62" s="177" t="s">
        <v>1397</v>
      </c>
      <c r="AS62" s="177" t="s">
        <v>1398</v>
      </c>
      <c r="AT62" s="177" t="s">
        <v>1395</v>
      </c>
      <c r="AU62" s="177" t="s">
        <v>1396</v>
      </c>
      <c r="AV62" s="177" t="s">
        <v>1397</v>
      </c>
      <c r="AW62" s="177" t="s">
        <v>1398</v>
      </c>
      <c r="AX62" s="177" t="s">
        <v>1395</v>
      </c>
      <c r="AY62" s="177" t="s">
        <v>1396</v>
      </c>
      <c r="AZ62" s="177" t="s">
        <v>1397</v>
      </c>
      <c r="BA62" s="177" t="s">
        <v>1398</v>
      </c>
      <c r="BB62" s="177" t="s">
        <v>1395</v>
      </c>
      <c r="BC62" s="177" t="s">
        <v>1396</v>
      </c>
      <c r="BD62" s="177" t="s">
        <v>1397</v>
      </c>
      <c r="BE62" s="177" t="s">
        <v>1398</v>
      </c>
      <c r="BF62" s="177" t="s">
        <v>1395</v>
      </c>
      <c r="BG62" s="177" t="s">
        <v>1396</v>
      </c>
      <c r="BH62" s="177" t="s">
        <v>1397</v>
      </c>
      <c r="BI62" s="177" t="s">
        <v>1398</v>
      </c>
      <c r="BJ62" s="177" t="s">
        <v>1395</v>
      </c>
      <c r="BK62" s="177" t="s">
        <v>1396</v>
      </c>
      <c r="BL62" s="177" t="s">
        <v>1397</v>
      </c>
      <c r="BM62" s="177" t="s">
        <v>1398</v>
      </c>
      <c r="BN62" s="177" t="s">
        <v>1395</v>
      </c>
      <c r="BO62" s="177" t="s">
        <v>1396</v>
      </c>
      <c r="BP62" s="177" t="s">
        <v>1397</v>
      </c>
      <c r="BQ62" s="177" t="s">
        <v>1398</v>
      </c>
      <c r="BR62" s="177" t="s">
        <v>1395</v>
      </c>
      <c r="BS62" s="177" t="s">
        <v>1396</v>
      </c>
      <c r="BT62" s="177" t="s">
        <v>1397</v>
      </c>
      <c r="BU62" s="177" t="s">
        <v>1398</v>
      </c>
      <c r="BV62" s="177" t="s">
        <v>1395</v>
      </c>
      <c r="BW62" s="177" t="s">
        <v>1396</v>
      </c>
      <c r="BX62" s="177" t="s">
        <v>1397</v>
      </c>
      <c r="BY62" s="177"/>
      <c r="BZ62" s="177" t="s">
        <v>1395</v>
      </c>
      <c r="CA62" s="177" t="s">
        <v>1396</v>
      </c>
      <c r="CB62" s="177" t="s">
        <v>1397</v>
      </c>
      <c r="CC62" s="177"/>
      <c r="CD62" s="177" t="s">
        <v>1395</v>
      </c>
      <c r="CE62" s="177" t="s">
        <v>1396</v>
      </c>
      <c r="CF62" s="177" t="s">
        <v>1397</v>
      </c>
      <c r="CG62" s="177" t="s">
        <v>1398</v>
      </c>
      <c r="CH62" s="177" t="s">
        <v>1395</v>
      </c>
      <c r="CI62" s="177" t="s">
        <v>1396</v>
      </c>
      <c r="CJ62" s="177" t="s">
        <v>1397</v>
      </c>
      <c r="CK62" s="177" t="s">
        <v>1398</v>
      </c>
      <c r="CL62" s="177" t="s">
        <v>1395</v>
      </c>
      <c r="CM62" s="177" t="s">
        <v>1396</v>
      </c>
      <c r="CN62" s="177" t="s">
        <v>1397</v>
      </c>
      <c r="CO62" s="177" t="s">
        <v>1398</v>
      </c>
      <c r="CP62" s="177" t="s">
        <v>1395</v>
      </c>
      <c r="CQ62" s="177" t="s">
        <v>1396</v>
      </c>
      <c r="CR62" s="177" t="s">
        <v>1397</v>
      </c>
      <c r="CS62" s="177" t="s">
        <v>1398</v>
      </c>
      <c r="CT62" s="177" t="s">
        <v>1395</v>
      </c>
      <c r="CU62" s="177" t="s">
        <v>1396</v>
      </c>
      <c r="CV62" s="177" t="s">
        <v>1397</v>
      </c>
      <c r="CW62" s="177" t="s">
        <v>1398</v>
      </c>
      <c r="CX62" s="177" t="s">
        <v>1395</v>
      </c>
      <c r="CY62" s="177" t="s">
        <v>1396</v>
      </c>
      <c r="CZ62" s="177" t="s">
        <v>1397</v>
      </c>
      <c r="DA62" s="177" t="s">
        <v>1398</v>
      </c>
      <c r="DB62" s="177" t="s">
        <v>1395</v>
      </c>
      <c r="DC62" s="177" t="s">
        <v>1396</v>
      </c>
      <c r="DD62" s="177" t="s">
        <v>1397</v>
      </c>
      <c r="DE62" s="177" t="s">
        <v>1398</v>
      </c>
    </row>
    <row r="63" customFormat="false" ht="34.8" hidden="false" customHeight="true" outlineLevel="0" collapsed="false">
      <c r="A63" s="177"/>
      <c r="B63" s="177"/>
      <c r="C63" s="177"/>
      <c r="D63" s="178" t="s">
        <v>1399</v>
      </c>
      <c r="E63" s="178"/>
      <c r="F63" s="177"/>
      <c r="G63" s="177"/>
      <c r="H63" s="178" t="s">
        <v>1399</v>
      </c>
      <c r="I63" s="178"/>
      <c r="J63" s="177"/>
      <c r="K63" s="177"/>
      <c r="L63" s="178" t="s">
        <v>1399</v>
      </c>
      <c r="M63" s="178"/>
      <c r="N63" s="177"/>
      <c r="O63" s="177"/>
      <c r="P63" s="178" t="s">
        <v>1399</v>
      </c>
      <c r="Q63" s="178"/>
      <c r="R63" s="177"/>
      <c r="S63" s="177"/>
      <c r="T63" s="178" t="s">
        <v>1399</v>
      </c>
      <c r="U63" s="178"/>
      <c r="V63" s="177"/>
      <c r="W63" s="177"/>
      <c r="X63" s="178" t="s">
        <v>1399</v>
      </c>
      <c r="Y63" s="178"/>
      <c r="Z63" s="177"/>
      <c r="AA63" s="177"/>
      <c r="AB63" s="178" t="s">
        <v>1399</v>
      </c>
      <c r="AC63" s="178"/>
      <c r="AD63" s="177"/>
      <c r="AE63" s="177"/>
      <c r="AF63" s="178" t="s">
        <v>1399</v>
      </c>
      <c r="AG63" s="178"/>
      <c r="AH63" s="177"/>
      <c r="AI63" s="177"/>
      <c r="AJ63" s="178" t="s">
        <v>1399</v>
      </c>
      <c r="AK63" s="178"/>
      <c r="AL63" s="177"/>
      <c r="AM63" s="177"/>
      <c r="AN63" s="178" t="s">
        <v>1399</v>
      </c>
      <c r="AO63" s="178"/>
      <c r="AP63" s="177"/>
      <c r="AQ63" s="177"/>
      <c r="AR63" s="178" t="s">
        <v>1399</v>
      </c>
      <c r="AS63" s="178"/>
      <c r="AT63" s="177"/>
      <c r="AU63" s="177"/>
      <c r="AV63" s="178" t="s">
        <v>1399</v>
      </c>
      <c r="AW63" s="178"/>
      <c r="AX63" s="177"/>
      <c r="AY63" s="177"/>
      <c r="AZ63" s="178" t="s">
        <v>1399</v>
      </c>
      <c r="BA63" s="178"/>
      <c r="BB63" s="177"/>
      <c r="BC63" s="177"/>
      <c r="BD63" s="178" t="s">
        <v>1399</v>
      </c>
      <c r="BE63" s="178"/>
      <c r="BF63" s="177"/>
      <c r="BG63" s="177"/>
      <c r="BH63" s="178" t="s">
        <v>1399</v>
      </c>
      <c r="BI63" s="178"/>
      <c r="BJ63" s="177"/>
      <c r="BK63" s="177"/>
      <c r="BL63" s="178" t="s">
        <v>1399</v>
      </c>
      <c r="BM63" s="178"/>
      <c r="BN63" s="177"/>
      <c r="BO63" s="177"/>
      <c r="BP63" s="178" t="s">
        <v>1399</v>
      </c>
      <c r="BQ63" s="178"/>
      <c r="BR63" s="177"/>
      <c r="BS63" s="177"/>
      <c r="BT63" s="178" t="s">
        <v>1399</v>
      </c>
      <c r="BU63" s="178"/>
      <c r="BV63" s="177"/>
      <c r="BW63" s="177"/>
      <c r="BX63" s="178" t="s">
        <v>1399</v>
      </c>
      <c r="BY63" s="178"/>
      <c r="BZ63" s="177"/>
      <c r="CA63" s="177"/>
      <c r="CB63" s="178" t="s">
        <v>1399</v>
      </c>
      <c r="CC63" s="178"/>
      <c r="CD63" s="177"/>
      <c r="CE63" s="177"/>
      <c r="CF63" s="178" t="s">
        <v>1399</v>
      </c>
      <c r="CG63" s="178"/>
      <c r="CH63" s="177"/>
      <c r="CI63" s="177"/>
      <c r="CJ63" s="178" t="s">
        <v>1399</v>
      </c>
      <c r="CK63" s="178"/>
      <c r="CL63" s="177"/>
      <c r="CM63" s="177"/>
      <c r="CN63" s="178" t="s">
        <v>1399</v>
      </c>
      <c r="CO63" s="178"/>
      <c r="CP63" s="177"/>
      <c r="CQ63" s="177"/>
      <c r="CR63" s="178" t="s">
        <v>1399</v>
      </c>
      <c r="CS63" s="178"/>
      <c r="CT63" s="177"/>
      <c r="CU63" s="177"/>
      <c r="CV63" s="178" t="s">
        <v>1399</v>
      </c>
      <c r="CW63" s="178"/>
      <c r="CX63" s="177"/>
      <c r="CY63" s="177"/>
      <c r="CZ63" s="178" t="s">
        <v>1399</v>
      </c>
      <c r="DA63" s="178"/>
      <c r="DB63" s="177"/>
      <c r="DC63" s="177"/>
      <c r="DD63" s="178" t="s">
        <v>1399</v>
      </c>
      <c r="DE63" s="178"/>
    </row>
    <row r="64" customFormat="false" ht="15" hidden="false" customHeight="false" outlineLevel="0" collapsed="false">
      <c r="A64" s="177"/>
      <c r="B64" s="177"/>
      <c r="C64" s="177"/>
      <c r="D64" s="177"/>
      <c r="E64" s="177"/>
      <c r="F64" s="177"/>
      <c r="G64" s="177"/>
      <c r="H64" s="177"/>
      <c r="I64" s="177"/>
      <c r="J64" s="177"/>
      <c r="K64" s="177"/>
      <c r="L64" s="177"/>
      <c r="M64" s="177"/>
      <c r="N64" s="177"/>
      <c r="O64" s="177"/>
      <c r="P64" s="177"/>
      <c r="Q64" s="177"/>
      <c r="R64" s="177"/>
      <c r="S64" s="177"/>
      <c r="T64" s="177"/>
      <c r="U64" s="177"/>
      <c r="V64" s="177"/>
      <c r="W64" s="177"/>
      <c r="X64" s="177"/>
      <c r="Y64" s="177"/>
      <c r="Z64" s="177"/>
      <c r="AA64" s="177"/>
      <c r="AB64" s="177"/>
      <c r="AC64" s="177"/>
      <c r="AD64" s="177"/>
      <c r="AE64" s="177"/>
      <c r="AF64" s="177"/>
      <c r="AG64" s="177"/>
      <c r="AH64" s="177"/>
      <c r="AI64" s="177"/>
      <c r="AJ64" s="177"/>
      <c r="AK64" s="177"/>
      <c r="AL64" s="177"/>
      <c r="AM64" s="177"/>
      <c r="AN64" s="177"/>
      <c r="AO64" s="177"/>
      <c r="AP64" s="177"/>
      <c r="AQ64" s="177"/>
      <c r="AR64" s="177"/>
      <c r="AS64" s="177"/>
      <c r="AT64" s="177"/>
      <c r="AU64" s="177"/>
      <c r="AV64" s="177"/>
      <c r="AW64" s="177"/>
      <c r="AX64" s="177"/>
      <c r="AY64" s="177"/>
      <c r="AZ64" s="177"/>
      <c r="BA64" s="177"/>
      <c r="BB64" s="177"/>
      <c r="BC64" s="177"/>
      <c r="BD64" s="177"/>
      <c r="BE64" s="177"/>
      <c r="BF64" s="177"/>
      <c r="BG64" s="177"/>
      <c r="BH64" s="177"/>
      <c r="BI64" s="177"/>
      <c r="BJ64" s="177"/>
      <c r="BK64" s="177"/>
      <c r="BL64" s="177"/>
      <c r="BM64" s="177"/>
      <c r="BN64" s="177"/>
      <c r="BO64" s="177"/>
      <c r="BP64" s="177"/>
      <c r="BQ64" s="177"/>
      <c r="BR64" s="177"/>
      <c r="BS64" s="177"/>
      <c r="BT64" s="177"/>
      <c r="BU64" s="177"/>
      <c r="BV64" s="177"/>
      <c r="BW64" s="177"/>
      <c r="BX64" s="177"/>
      <c r="BY64" s="177"/>
      <c r="BZ64" s="177"/>
      <c r="CA64" s="177"/>
      <c r="CB64" s="177"/>
      <c r="CC64" s="177"/>
      <c r="CD64" s="177"/>
      <c r="CE64" s="177"/>
      <c r="CF64" s="177"/>
      <c r="CG64" s="177"/>
      <c r="CH64" s="177"/>
      <c r="CI64" s="177"/>
      <c r="CJ64" s="177"/>
      <c r="CK64" s="177"/>
      <c r="CL64" s="177"/>
      <c r="CM64" s="177"/>
      <c r="CN64" s="177"/>
      <c r="CO64" s="177"/>
      <c r="CP64" s="177"/>
      <c r="CQ64" s="177"/>
      <c r="CR64" s="177"/>
      <c r="CS64" s="177"/>
      <c r="CT64" s="177"/>
      <c r="CU64" s="177"/>
      <c r="CV64" s="177"/>
      <c r="CW64" s="177"/>
      <c r="CX64" s="177"/>
      <c r="CY64" s="177"/>
      <c r="CZ64" s="177"/>
      <c r="DA64" s="177"/>
      <c r="DB64" s="177"/>
      <c r="DC64" s="177"/>
      <c r="DD64" s="177"/>
      <c r="DE64" s="177"/>
    </row>
    <row r="65" customFormat="false" ht="15" hidden="false" customHeight="false" outlineLevel="0" collapsed="false">
      <c r="A65" s="177"/>
      <c r="B65" s="179" t="s">
        <v>1400</v>
      </c>
      <c r="C65" s="179"/>
      <c r="D65" s="179"/>
      <c r="E65" s="179"/>
      <c r="F65" s="179" t="s">
        <v>1401</v>
      </c>
      <c r="G65" s="179"/>
      <c r="H65" s="179"/>
      <c r="I65" s="179"/>
      <c r="J65" s="179" t="s">
        <v>1402</v>
      </c>
      <c r="K65" s="179"/>
      <c r="L65" s="179"/>
      <c r="M65" s="179"/>
      <c r="N65" s="179" t="s">
        <v>1403</v>
      </c>
      <c r="O65" s="179"/>
      <c r="P65" s="179"/>
      <c r="Q65" s="179"/>
      <c r="R65" s="179" t="s">
        <v>1404</v>
      </c>
      <c r="S65" s="179"/>
      <c r="T65" s="179"/>
      <c r="U65" s="179"/>
      <c r="V65" s="179" t="s">
        <v>1405</v>
      </c>
      <c r="W65" s="179"/>
      <c r="X65" s="179"/>
      <c r="Y65" s="179"/>
      <c r="Z65" s="179" t="s">
        <v>1406</v>
      </c>
      <c r="AA65" s="179"/>
      <c r="AB65" s="179"/>
      <c r="AC65" s="179"/>
      <c r="AD65" s="179" t="s">
        <v>1407</v>
      </c>
      <c r="AE65" s="179"/>
      <c r="AF65" s="179"/>
      <c r="AG65" s="179"/>
      <c r="AH65" s="179" t="s">
        <v>1408</v>
      </c>
      <c r="AI65" s="179"/>
      <c r="AJ65" s="179"/>
      <c r="AK65" s="179"/>
      <c r="AL65" s="179" t="s">
        <v>1409</v>
      </c>
      <c r="AM65" s="179"/>
      <c r="AN65" s="179"/>
      <c r="AO65" s="179"/>
      <c r="AP65" s="179" t="s">
        <v>1410</v>
      </c>
      <c r="AQ65" s="179"/>
      <c r="AR65" s="179"/>
      <c r="AS65" s="179"/>
      <c r="AT65" s="179" t="s">
        <v>1411</v>
      </c>
      <c r="AU65" s="179"/>
      <c r="AV65" s="179"/>
      <c r="AW65" s="179"/>
      <c r="AX65" s="179" t="s">
        <v>1412</v>
      </c>
      <c r="AY65" s="179"/>
      <c r="AZ65" s="179"/>
      <c r="BA65" s="179"/>
      <c r="BB65" s="179" t="s">
        <v>1413</v>
      </c>
      <c r="BC65" s="179"/>
      <c r="BD65" s="179"/>
      <c r="BE65" s="179"/>
      <c r="BF65" s="179" t="s">
        <v>1414</v>
      </c>
      <c r="BG65" s="179"/>
      <c r="BH65" s="179"/>
      <c r="BI65" s="179"/>
      <c r="BJ65" s="179" t="s">
        <v>1415</v>
      </c>
      <c r="BK65" s="179"/>
      <c r="BL65" s="179"/>
      <c r="BM65" s="179"/>
      <c r="BN65" s="179" t="s">
        <v>1416</v>
      </c>
      <c r="BO65" s="179"/>
      <c r="BP65" s="179"/>
      <c r="BQ65" s="179"/>
      <c r="BR65" s="179" t="s">
        <v>1417</v>
      </c>
      <c r="BS65" s="179"/>
      <c r="BT65" s="179"/>
      <c r="BU65" s="179"/>
      <c r="BV65" s="179" t="s">
        <v>1418</v>
      </c>
      <c r="BW65" s="179"/>
      <c r="BX65" s="179"/>
      <c r="BY65" s="179"/>
      <c r="BZ65" s="179" t="s">
        <v>1419</v>
      </c>
      <c r="CA65" s="179"/>
      <c r="CB65" s="179"/>
      <c r="CC65" s="179"/>
      <c r="CD65" s="179" t="s">
        <v>1420</v>
      </c>
      <c r="CE65" s="179"/>
      <c r="CF65" s="179"/>
      <c r="CG65" s="179"/>
      <c r="CH65" s="179" t="s">
        <v>1421</v>
      </c>
      <c r="CI65" s="179"/>
      <c r="CJ65" s="179"/>
      <c r="CK65" s="179"/>
      <c r="CL65" s="179" t="s">
        <v>1422</v>
      </c>
      <c r="CM65" s="179"/>
      <c r="CN65" s="179"/>
      <c r="CO65" s="179"/>
      <c r="CP65" s="179" t="s">
        <v>1423</v>
      </c>
      <c r="CQ65" s="179"/>
      <c r="CR65" s="179"/>
      <c r="CS65" s="179"/>
      <c r="CT65" s="179" t="s">
        <v>1423</v>
      </c>
      <c r="CU65" s="179"/>
      <c r="CV65" s="179"/>
      <c r="CW65" s="179"/>
      <c r="CX65" s="179" t="s">
        <v>1424</v>
      </c>
      <c r="CY65" s="179"/>
      <c r="CZ65" s="179"/>
      <c r="DA65" s="179"/>
      <c r="DB65" s="179" t="s">
        <v>1417</v>
      </c>
      <c r="DC65" s="179"/>
      <c r="DD65" s="179"/>
      <c r="DE65" s="179"/>
    </row>
    <row r="66" customFormat="false" ht="15" hidden="false" customHeight="false" outlineLevel="0" collapsed="false">
      <c r="A66" s="177"/>
      <c r="B66" s="177"/>
      <c r="C66" s="177"/>
      <c r="D66" s="177"/>
      <c r="E66" s="177"/>
      <c r="F66" s="177"/>
      <c r="G66" s="177"/>
      <c r="H66" s="177"/>
      <c r="I66" s="177"/>
      <c r="J66" s="177"/>
      <c r="K66" s="177"/>
      <c r="L66" s="177"/>
      <c r="M66" s="177"/>
      <c r="N66" s="177"/>
      <c r="O66" s="177"/>
      <c r="P66" s="177"/>
      <c r="Q66" s="177"/>
      <c r="R66" s="177"/>
      <c r="S66" s="177"/>
      <c r="T66" s="177"/>
      <c r="U66" s="177"/>
      <c r="V66" s="177"/>
      <c r="W66" s="177"/>
      <c r="X66" s="177"/>
      <c r="Y66" s="177"/>
      <c r="Z66" s="177"/>
      <c r="AA66" s="177"/>
      <c r="AB66" s="177"/>
      <c r="AC66" s="177"/>
      <c r="AD66" s="177"/>
      <c r="AE66" s="177"/>
      <c r="AF66" s="177"/>
      <c r="AG66" s="177"/>
      <c r="AH66" s="177"/>
      <c r="AI66" s="177"/>
      <c r="AJ66" s="177"/>
      <c r="AK66" s="177"/>
      <c r="AL66" s="177"/>
      <c r="AM66" s="177"/>
      <c r="AN66" s="177"/>
      <c r="AO66" s="177"/>
      <c r="AP66" s="177"/>
      <c r="AQ66" s="177"/>
      <c r="AR66" s="177"/>
      <c r="AS66" s="177"/>
      <c r="AT66" s="177"/>
      <c r="AU66" s="177"/>
      <c r="AV66" s="177"/>
      <c r="AW66" s="177"/>
      <c r="AX66" s="177"/>
      <c r="AY66" s="177"/>
      <c r="AZ66" s="177"/>
      <c r="BA66" s="177"/>
      <c r="BB66" s="177"/>
      <c r="BC66" s="177"/>
      <c r="BD66" s="177"/>
      <c r="BE66" s="177"/>
      <c r="BF66" s="177"/>
      <c r="BG66" s="177"/>
      <c r="BH66" s="177"/>
      <c r="BI66" s="177"/>
      <c r="BJ66" s="177"/>
      <c r="BK66" s="177"/>
      <c r="BL66" s="177"/>
      <c r="BM66" s="177"/>
      <c r="BN66" s="177"/>
      <c r="BO66" s="177"/>
      <c r="BP66" s="177"/>
      <c r="BQ66" s="177"/>
      <c r="BR66" s="177"/>
      <c r="BS66" s="177"/>
      <c r="BT66" s="177"/>
      <c r="BU66" s="177"/>
      <c r="BV66" s="177"/>
      <c r="BW66" s="177" t="s">
        <v>1425</v>
      </c>
      <c r="BX66" s="177"/>
      <c r="BY66" s="177"/>
      <c r="BZ66" s="177"/>
      <c r="CA66" s="177"/>
      <c r="CB66" s="177"/>
      <c r="CC66" s="177"/>
      <c r="CD66" s="177"/>
      <c r="CE66" s="177"/>
      <c r="CF66" s="177"/>
      <c r="CG66" s="177"/>
      <c r="CH66" s="177"/>
      <c r="CI66" s="177"/>
      <c r="CJ66" s="177"/>
      <c r="CK66" s="177"/>
      <c r="CL66" s="177"/>
      <c r="CM66" s="177"/>
      <c r="CN66" s="177"/>
      <c r="CO66" s="177"/>
      <c r="CP66" s="177"/>
      <c r="CQ66" s="177"/>
      <c r="CR66" s="177"/>
      <c r="CS66" s="177"/>
      <c r="CT66" s="177"/>
      <c r="CU66" s="177"/>
      <c r="CV66" s="177"/>
      <c r="CW66" s="177"/>
      <c r="CX66" s="177"/>
      <c r="CY66" s="177"/>
      <c r="CZ66" s="177"/>
      <c r="DA66" s="177"/>
      <c r="DB66" s="177"/>
      <c r="DC66" s="177"/>
      <c r="DD66" s="177"/>
      <c r="DE66" s="177"/>
    </row>
    <row r="67" customFormat="false" ht="15" hidden="false" customHeight="false" outlineLevel="0" collapsed="false">
      <c r="A67" s="177"/>
      <c r="B67" s="177"/>
      <c r="C67" s="177"/>
      <c r="D67" s="177"/>
      <c r="E67" s="177"/>
      <c r="F67" s="177"/>
      <c r="G67" s="177"/>
      <c r="H67" s="177"/>
      <c r="I67" s="177"/>
      <c r="J67" s="177"/>
      <c r="K67" s="177"/>
      <c r="L67" s="177"/>
      <c r="M67" s="177"/>
      <c r="N67" s="177"/>
      <c r="O67" s="177"/>
      <c r="P67" s="177"/>
      <c r="Q67" s="177"/>
      <c r="R67" s="177"/>
      <c r="S67" s="177"/>
      <c r="T67" s="177"/>
      <c r="U67" s="177"/>
      <c r="V67" s="177"/>
      <c r="W67" s="177"/>
      <c r="X67" s="177"/>
      <c r="Y67" s="177"/>
      <c r="Z67" s="177"/>
      <c r="AA67" s="177"/>
      <c r="AB67" s="177"/>
      <c r="AC67" s="177"/>
      <c r="AD67" s="177"/>
      <c r="AE67" s="177"/>
      <c r="AF67" s="177"/>
      <c r="AG67" s="177"/>
      <c r="AH67" s="177"/>
      <c r="AI67" s="177"/>
      <c r="AJ67" s="177"/>
      <c r="AK67" s="177"/>
      <c r="AL67" s="177"/>
      <c r="AM67" s="177"/>
      <c r="AN67" s="177"/>
      <c r="AO67" s="177"/>
      <c r="AP67" s="177"/>
      <c r="AQ67" s="177"/>
      <c r="AR67" s="177"/>
      <c r="AS67" s="177"/>
      <c r="AT67" s="177"/>
      <c r="AU67" s="177"/>
      <c r="AV67" s="177"/>
      <c r="AW67" s="177"/>
      <c r="AX67" s="177"/>
      <c r="AY67" s="177"/>
      <c r="AZ67" s="177"/>
      <c r="BA67" s="177"/>
      <c r="BB67" s="177"/>
      <c r="BC67" s="177"/>
      <c r="BD67" s="177"/>
      <c r="BE67" s="177"/>
      <c r="BF67" s="177"/>
      <c r="BG67" s="177"/>
      <c r="BH67" s="177"/>
      <c r="BI67" s="177"/>
      <c r="BJ67" s="177"/>
      <c r="BK67" s="177"/>
      <c r="BL67" s="177"/>
      <c r="BM67" s="177"/>
      <c r="BN67" s="177"/>
      <c r="BO67" s="177"/>
      <c r="BP67" s="177"/>
      <c r="BQ67" s="177"/>
      <c r="BR67" s="177"/>
      <c r="BS67" s="177"/>
      <c r="BT67" s="177"/>
      <c r="BU67" s="177"/>
      <c r="BV67" s="177"/>
      <c r="BW67" s="177"/>
      <c r="BX67" s="177"/>
      <c r="BY67" s="177"/>
      <c r="BZ67" s="177"/>
      <c r="CA67" s="177"/>
      <c r="CB67" s="177"/>
      <c r="CC67" s="177"/>
      <c r="CD67" s="177"/>
      <c r="CE67" s="177"/>
      <c r="CF67" s="177"/>
      <c r="CG67" s="177"/>
      <c r="CH67" s="177"/>
      <c r="CI67" s="177"/>
      <c r="CJ67" s="177"/>
      <c r="CK67" s="177"/>
      <c r="CL67" s="177"/>
      <c r="CM67" s="177"/>
      <c r="CN67" s="177"/>
      <c r="CO67" s="177"/>
      <c r="CP67" s="177"/>
      <c r="CQ67" s="177"/>
      <c r="CR67" s="177"/>
      <c r="CS67" s="177"/>
      <c r="CT67" s="177"/>
      <c r="CU67" s="177"/>
      <c r="CV67" s="177"/>
      <c r="CW67" s="177"/>
      <c r="CX67" s="177"/>
      <c r="CY67" s="177"/>
      <c r="CZ67" s="177"/>
      <c r="DA67" s="177"/>
      <c r="DB67" s="177"/>
      <c r="DC67" s="177"/>
      <c r="DD67" s="177"/>
      <c r="DE67" s="177"/>
    </row>
    <row r="68" customFormat="false" ht="15" hidden="false" customHeight="false" outlineLevel="0" collapsed="false">
      <c r="A68" s="177"/>
      <c r="B68" s="177"/>
      <c r="C68" s="177"/>
      <c r="D68" s="177"/>
      <c r="E68" s="177"/>
      <c r="F68" s="177"/>
      <c r="G68" s="177"/>
      <c r="H68" s="177"/>
      <c r="I68" s="177"/>
      <c r="J68" s="177"/>
      <c r="K68" s="177"/>
      <c r="L68" s="177"/>
      <c r="M68" s="177"/>
      <c r="N68" s="177"/>
      <c r="O68" s="177"/>
      <c r="P68" s="177"/>
      <c r="Q68" s="177"/>
      <c r="R68" s="177"/>
      <c r="S68" s="177"/>
      <c r="T68" s="177"/>
      <c r="U68" s="177"/>
      <c r="V68" s="177"/>
      <c r="W68" s="177"/>
      <c r="X68" s="177"/>
      <c r="Y68" s="177"/>
      <c r="Z68" s="177"/>
      <c r="AA68" s="177"/>
      <c r="AB68" s="177"/>
      <c r="AC68" s="177"/>
      <c r="AD68" s="177"/>
      <c r="AE68" s="177"/>
      <c r="AF68" s="177"/>
      <c r="AG68" s="177"/>
      <c r="AH68" s="177"/>
      <c r="AI68" s="177"/>
      <c r="AJ68" s="177"/>
      <c r="AK68" s="177"/>
      <c r="AL68" s="177"/>
      <c r="AM68" s="177"/>
      <c r="AN68" s="177"/>
      <c r="AO68" s="177"/>
      <c r="AP68" s="177"/>
      <c r="AQ68" s="177"/>
      <c r="AR68" s="177"/>
      <c r="AS68" s="177"/>
      <c r="AT68" s="177"/>
      <c r="AU68" s="177"/>
      <c r="AV68" s="177"/>
      <c r="AW68" s="177"/>
      <c r="AX68" s="177"/>
      <c r="AY68" s="177"/>
      <c r="AZ68" s="177"/>
      <c r="BA68" s="177"/>
      <c r="BB68" s="177"/>
      <c r="BC68" s="177"/>
      <c r="BD68" s="177"/>
      <c r="BE68" s="177"/>
      <c r="BF68" s="177"/>
      <c r="BG68" s="177"/>
      <c r="BH68" s="177"/>
      <c r="BI68" s="177"/>
      <c r="BJ68" s="177"/>
      <c r="BK68" s="177"/>
      <c r="BL68" s="177"/>
      <c r="BM68" s="177"/>
      <c r="BN68" s="177"/>
      <c r="BO68" s="177"/>
      <c r="BP68" s="177"/>
      <c r="BQ68" s="177"/>
      <c r="BR68" s="177"/>
      <c r="BS68" s="177"/>
      <c r="BT68" s="177"/>
      <c r="BU68" s="177"/>
      <c r="BV68" s="177"/>
      <c r="BW68" s="177"/>
      <c r="BX68" s="177"/>
      <c r="BY68" s="177"/>
      <c r="BZ68" s="177"/>
      <c r="CA68" s="177"/>
      <c r="CB68" s="177"/>
      <c r="CC68" s="177"/>
      <c r="CD68" s="177"/>
      <c r="CE68" s="177"/>
      <c r="CF68" s="177"/>
      <c r="CG68" s="177"/>
      <c r="CH68" s="177"/>
      <c r="CI68" s="177"/>
      <c r="CJ68" s="177"/>
      <c r="CK68" s="177"/>
      <c r="CL68" s="177"/>
      <c r="CM68" s="177"/>
      <c r="CN68" s="177"/>
      <c r="CO68" s="177"/>
      <c r="CP68" s="177"/>
      <c r="CQ68" s="177"/>
      <c r="CR68" s="177"/>
      <c r="CS68" s="177"/>
      <c r="CT68" s="177"/>
      <c r="CU68" s="177"/>
      <c r="CV68" s="177"/>
      <c r="CW68" s="177"/>
      <c r="CX68" s="177"/>
      <c r="CY68" s="177"/>
      <c r="CZ68" s="177"/>
      <c r="DA68" s="177"/>
      <c r="DB68" s="177"/>
      <c r="DC68" s="177"/>
      <c r="DD68" s="177"/>
      <c r="DE68" s="177"/>
    </row>
    <row r="69" customFormat="false" ht="15" hidden="false" customHeight="false" outlineLevel="0" collapsed="false">
      <c r="A69" s="177"/>
      <c r="B69" s="177"/>
      <c r="C69" s="177"/>
      <c r="D69" s="177"/>
      <c r="E69" s="177"/>
      <c r="F69" s="177"/>
      <c r="G69" s="177"/>
      <c r="H69" s="177"/>
      <c r="I69" s="177"/>
      <c r="J69" s="177"/>
      <c r="K69" s="177"/>
      <c r="L69" s="177"/>
      <c r="M69" s="177"/>
      <c r="N69" s="177"/>
      <c r="O69" s="177"/>
      <c r="P69" s="177"/>
      <c r="Q69" s="177"/>
      <c r="R69" s="177"/>
      <c r="S69" s="177"/>
      <c r="T69" s="177"/>
      <c r="U69" s="177"/>
      <c r="V69" s="177"/>
      <c r="W69" s="177"/>
      <c r="X69" s="177"/>
      <c r="Y69" s="177"/>
      <c r="Z69" s="177"/>
      <c r="AA69" s="177"/>
      <c r="AB69" s="177"/>
      <c r="AC69" s="177"/>
      <c r="AD69" s="177"/>
      <c r="AE69" s="177"/>
      <c r="AF69" s="177"/>
      <c r="AG69" s="177"/>
      <c r="AH69" s="177"/>
      <c r="AI69" s="177"/>
      <c r="AJ69" s="177"/>
      <c r="AK69" s="177"/>
      <c r="AL69" s="177"/>
      <c r="AM69" s="177"/>
      <c r="AN69" s="177"/>
      <c r="AO69" s="177"/>
      <c r="AP69" s="177"/>
      <c r="AQ69" s="177"/>
      <c r="AR69" s="177"/>
      <c r="AS69" s="177"/>
      <c r="AT69" s="177"/>
      <c r="AU69" s="177"/>
      <c r="AV69" s="177"/>
      <c r="AW69" s="177"/>
      <c r="AX69" s="177"/>
      <c r="AY69" s="177"/>
      <c r="AZ69" s="177"/>
      <c r="BA69" s="177"/>
      <c r="BB69" s="177"/>
      <c r="BC69" s="177"/>
      <c r="BD69" s="177"/>
      <c r="BE69" s="177"/>
      <c r="BF69" s="177"/>
      <c r="BG69" s="177"/>
      <c r="BH69" s="177"/>
      <c r="BI69" s="177"/>
      <c r="BJ69" s="177"/>
      <c r="BK69" s="177"/>
      <c r="BL69" s="177"/>
      <c r="BM69" s="177"/>
      <c r="BN69" s="177"/>
      <c r="BO69" s="177"/>
      <c r="BP69" s="177"/>
      <c r="BQ69" s="177"/>
      <c r="BR69" s="177"/>
      <c r="BS69" s="177"/>
      <c r="BT69" s="177"/>
      <c r="BU69" s="177"/>
      <c r="BV69" s="177"/>
      <c r="BW69" s="177"/>
      <c r="BX69" s="177"/>
      <c r="BY69" s="177"/>
      <c r="BZ69" s="177"/>
      <c r="CA69" s="177"/>
      <c r="CB69" s="177"/>
      <c r="CC69" s="177"/>
      <c r="CD69" s="177"/>
      <c r="CE69" s="177"/>
      <c r="CF69" s="177"/>
      <c r="CG69" s="177"/>
      <c r="CH69" s="177"/>
      <c r="CI69" s="177"/>
      <c r="CJ69" s="177"/>
      <c r="CK69" s="177"/>
      <c r="CL69" s="177"/>
      <c r="CM69" s="177"/>
      <c r="CN69" s="177"/>
      <c r="CO69" s="177"/>
      <c r="CP69" s="177"/>
      <c r="CQ69" s="177"/>
      <c r="CR69" s="177"/>
      <c r="CS69" s="177"/>
      <c r="CT69" s="177"/>
      <c r="CU69" s="177"/>
      <c r="CV69" s="177"/>
      <c r="CW69" s="177"/>
      <c r="CX69" s="177"/>
      <c r="CY69" s="177"/>
      <c r="CZ69" s="177"/>
      <c r="DA69" s="177"/>
      <c r="DB69" s="177"/>
      <c r="DC69" s="177"/>
      <c r="DD69" s="177"/>
      <c r="DE69" s="177"/>
    </row>
    <row r="72" customFormat="false" ht="15" hidden="false" customHeight="false" outlineLevel="0" collapsed="false">
      <c r="A72" s="21" t="s">
        <v>1426</v>
      </c>
      <c r="B72" s="22" t="s">
        <v>1427</v>
      </c>
      <c r="C72" s="22" t="s">
        <v>1428</v>
      </c>
    </row>
    <row r="73" customFormat="false" ht="15" hidden="false" customHeight="false" outlineLevel="0" collapsed="false">
      <c r="B73" s="22" t="s">
        <v>1429</v>
      </c>
      <c r="C73" s="22" t="s">
        <v>1430</v>
      </c>
    </row>
    <row r="74" customFormat="false" ht="15" hidden="false" customHeight="false" outlineLevel="0" collapsed="false">
      <c r="B74" s="22" t="s">
        <v>1431</v>
      </c>
      <c r="C74" s="22" t="s">
        <v>1432</v>
      </c>
    </row>
    <row r="75" customFormat="false" ht="15" hidden="false" customHeight="false" outlineLevel="0" collapsed="false">
      <c r="B75" s="22" t="s">
        <v>1433</v>
      </c>
      <c r="C75" s="22" t="s">
        <v>1434</v>
      </c>
    </row>
    <row r="76" customFormat="false" ht="15" hidden="false" customHeight="false" outlineLevel="0" collapsed="false">
      <c r="B76" s="22" t="s">
        <v>1435</v>
      </c>
      <c r="C76" s="22" t="s">
        <v>1436</v>
      </c>
    </row>
    <row r="77" customFormat="false" ht="15" hidden="false" customHeight="false" outlineLevel="0" collapsed="false">
      <c r="B77" s="22" t="s">
        <v>1437</v>
      </c>
      <c r="C77" s="22" t="s">
        <v>1438</v>
      </c>
    </row>
    <row r="78" customFormat="false" ht="15" hidden="false" customHeight="false" outlineLevel="0" collapsed="false">
      <c r="B78" s="22" t="s">
        <v>1439</v>
      </c>
      <c r="C78" s="22" t="s">
        <v>1440</v>
      </c>
    </row>
    <row r="79" customFormat="false" ht="15" hidden="false" customHeight="false" outlineLevel="0" collapsed="false">
      <c r="B79" s="22" t="s">
        <v>1441</v>
      </c>
      <c r="C79" s="22" t="s">
        <v>1442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false" showOutlineSymbols="true" defaultGridColor="true" view="normal" topLeftCell="A34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80" width="11.52"/>
  </cols>
  <sheetData>
    <row r="1" customFormat="false" ht="12.8" hidden="false" customHeight="false" outlineLevel="0" collapsed="false">
      <c r="A1" s="180" t="s">
        <v>1166</v>
      </c>
      <c r="B1" s="181" t="s">
        <v>1443</v>
      </c>
      <c r="C1" s="181" t="s">
        <v>1444</v>
      </c>
      <c r="D1" s="181" t="s">
        <v>1445</v>
      </c>
      <c r="E1" s="181" t="s">
        <v>1446</v>
      </c>
      <c r="F1" s="181" t="s">
        <v>1447</v>
      </c>
      <c r="G1" s="181" t="s">
        <v>1448</v>
      </c>
      <c r="H1" s="181" t="s">
        <v>1449</v>
      </c>
      <c r="I1" s="181" t="s">
        <v>1450</v>
      </c>
      <c r="J1" s="181" t="s">
        <v>1451</v>
      </c>
      <c r="K1" s="181" t="s">
        <v>1452</v>
      </c>
      <c r="N1" s="1" t="s">
        <v>1453</v>
      </c>
      <c r="O1" s="1" t="s">
        <v>1454</v>
      </c>
    </row>
    <row r="2" customFormat="false" ht="12.8" hidden="false" customHeight="false" outlineLevel="0" collapsed="false">
      <c r="B2" s="181" t="str">
        <f aca="false">DEC2HEX(_xlfn.UNICODE(B1))</f>
        <v>C0</v>
      </c>
      <c r="C2" s="181" t="str">
        <f aca="false">DEC2HEX(_xlfn.UNICODE(C1))</f>
        <v>C1</v>
      </c>
      <c r="D2" s="181" t="str">
        <f aca="false">DEC2HEX(_xlfn.UNICODE(D1))</f>
        <v>C2</v>
      </c>
      <c r="E2" s="181" t="str">
        <f aca="false">DEC2HEX(_xlfn.UNICODE(E1))</f>
        <v>C3</v>
      </c>
      <c r="F2" s="181" t="str">
        <f aca="false">DEC2HEX(_xlfn.UNICODE(F1))</f>
        <v>C4</v>
      </c>
      <c r="G2" s="181" t="str">
        <f aca="false">DEC2HEX(_xlfn.UNICODE(G1))</f>
        <v>C5</v>
      </c>
      <c r="H2" s="181" t="str">
        <f aca="false">DEC2HEX(_xlfn.UNICODE(H1))</f>
        <v>C6</v>
      </c>
      <c r="I2" s="181" t="str">
        <f aca="false">DEC2HEX(_xlfn.UNICODE(I1))</f>
        <v>100</v>
      </c>
      <c r="J2" s="181" t="str">
        <f aca="false">DEC2HEX(_xlfn.UNICODE(J1))</f>
        <v>102</v>
      </c>
      <c r="K2" s="181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80" t="s">
        <v>1165</v>
      </c>
      <c r="B3" s="181" t="s">
        <v>1455</v>
      </c>
      <c r="C3" s="181" t="s">
        <v>1456</v>
      </c>
      <c r="D3" s="181" t="s">
        <v>1457</v>
      </c>
      <c r="E3" s="181" t="s">
        <v>1458</v>
      </c>
      <c r="F3" s="181" t="s">
        <v>1459</v>
      </c>
      <c r="G3" s="181" t="s">
        <v>1460</v>
      </c>
      <c r="H3" s="181" t="s">
        <v>1461</v>
      </c>
      <c r="I3" s="181" t="s">
        <v>1462</v>
      </c>
      <c r="J3" s="181" t="s">
        <v>1463</v>
      </c>
      <c r="K3" s="181" t="s">
        <v>1464</v>
      </c>
    </row>
    <row r="4" customFormat="false" ht="12.8" hidden="false" customHeight="false" outlineLevel="0" collapsed="false">
      <c r="B4" s="181" t="str">
        <f aca="false">DEC2HEX(_xlfn.UNICODE(B3))</f>
        <v>E0</v>
      </c>
      <c r="C4" s="181" t="str">
        <f aca="false">DEC2HEX(_xlfn.UNICODE(C3))</f>
        <v>E1</v>
      </c>
      <c r="D4" s="181" t="str">
        <f aca="false">DEC2HEX(_xlfn.UNICODE(D3))</f>
        <v>E2</v>
      </c>
      <c r="E4" s="181" t="str">
        <f aca="false">DEC2HEX(_xlfn.UNICODE(E3))</f>
        <v>E3</v>
      </c>
      <c r="F4" s="181" t="str">
        <f aca="false">DEC2HEX(_xlfn.UNICODE(F3))</f>
        <v>E4</v>
      </c>
      <c r="G4" s="181" t="str">
        <f aca="false">DEC2HEX(_xlfn.UNICODE(G3))</f>
        <v>E5</v>
      </c>
      <c r="H4" s="181" t="str">
        <f aca="false">DEC2HEX(_xlfn.UNICODE(H3))</f>
        <v>E6</v>
      </c>
      <c r="I4" s="181" t="str">
        <f aca="false">DEC2HEX(_xlfn.UNICODE(I3))</f>
        <v>101</v>
      </c>
      <c r="J4" s="181" t="str">
        <f aca="false">DEC2HEX(_xlfn.UNICODE(J3))</f>
        <v>103</v>
      </c>
      <c r="K4" s="181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80" t="s">
        <v>1175</v>
      </c>
      <c r="B5" s="181" t="s">
        <v>1465</v>
      </c>
      <c r="C5" s="181" t="s">
        <v>1466</v>
      </c>
      <c r="D5" s="181" t="s">
        <v>1467</v>
      </c>
      <c r="E5" s="181" t="s">
        <v>1468</v>
      </c>
      <c r="F5" s="181" t="s">
        <v>1469</v>
      </c>
      <c r="J5" s="181"/>
    </row>
    <row r="6" customFormat="false" ht="12.8" hidden="false" customHeight="false" outlineLevel="0" collapsed="false">
      <c r="B6" s="181" t="str">
        <f aca="false">DEC2HEX(_xlfn.UNICODE(B5))</f>
        <v>C7</v>
      </c>
      <c r="C6" s="181" t="str">
        <f aca="false">DEC2HEX(_xlfn.UNICODE(C5))</f>
        <v>106</v>
      </c>
      <c r="D6" s="181" t="str">
        <f aca="false">DEC2HEX(_xlfn.UNICODE(D5))</f>
        <v>108</v>
      </c>
      <c r="E6" s="181" t="str">
        <f aca="false">DEC2HEX(_xlfn.UNICODE(E5))</f>
        <v>10A</v>
      </c>
      <c r="F6" s="181" t="str">
        <f aca="false">DEC2HEX(_xlfn.UNICODE(F5))</f>
        <v>10C</v>
      </c>
      <c r="J6" s="181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80" t="s">
        <v>1174</v>
      </c>
      <c r="B7" s="181" t="s">
        <v>1470</v>
      </c>
      <c r="C7" s="181" t="s">
        <v>1471</v>
      </c>
      <c r="D7" s="181" t="s">
        <v>1472</v>
      </c>
      <c r="E7" s="181" t="s">
        <v>1473</v>
      </c>
      <c r="F7" s="181" t="s">
        <v>1474</v>
      </c>
    </row>
    <row r="8" customFormat="false" ht="12.8" hidden="false" customHeight="false" outlineLevel="0" collapsed="false">
      <c r="B8" s="181" t="str">
        <f aca="false">DEC2HEX(_xlfn.UNICODE(B7))</f>
        <v>E7</v>
      </c>
      <c r="C8" s="181" t="str">
        <f aca="false">DEC2HEX(_xlfn.UNICODE(C7))</f>
        <v>107</v>
      </c>
      <c r="D8" s="181" t="str">
        <f aca="false">DEC2HEX(_xlfn.UNICODE(D7))</f>
        <v>109</v>
      </c>
      <c r="E8" s="181" t="str">
        <f aca="false">DEC2HEX(_xlfn.UNICODE(E7))</f>
        <v>10B</v>
      </c>
      <c r="F8" s="181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80" t="s">
        <v>1179</v>
      </c>
      <c r="B9" s="181" t="s">
        <v>1475</v>
      </c>
      <c r="C9" s="181" t="s">
        <v>1476</v>
      </c>
      <c r="D9" s="181" t="s">
        <v>1477</v>
      </c>
      <c r="J9" s="181"/>
    </row>
    <row r="10" customFormat="false" ht="12.8" hidden="false" customHeight="false" outlineLevel="0" collapsed="false">
      <c r="B10" s="181" t="str">
        <f aca="false">DEC2HEX(_xlfn.UNICODE(B9))</f>
        <v>D0</v>
      </c>
      <c r="C10" s="181" t="str">
        <f aca="false">DEC2HEX(_xlfn.UNICODE(C9))</f>
        <v>10E</v>
      </c>
      <c r="D10" s="181" t="str">
        <f aca="false">DEC2HEX(_xlfn.UNICODE(D9))</f>
        <v>110</v>
      </c>
      <c r="J10" s="181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80" t="s">
        <v>1178</v>
      </c>
      <c r="B11" s="181" t="s">
        <v>1478</v>
      </c>
      <c r="C11" s="181" t="s">
        <v>1479</v>
      </c>
      <c r="D11" s="181" t="s">
        <v>1480</v>
      </c>
      <c r="E11" s="181"/>
      <c r="G11" s="181"/>
      <c r="S11" s="12"/>
      <c r="T11" s="12"/>
    </row>
    <row r="12" customFormat="false" ht="12.8" hidden="false" customHeight="false" outlineLevel="0" collapsed="false">
      <c r="B12" s="181" t="str">
        <f aca="false">DEC2HEX(_xlfn.UNICODE(B11))</f>
        <v>F0</v>
      </c>
      <c r="C12" s="181" t="str">
        <f aca="false">DEC2HEX(_xlfn.UNICODE(C11))</f>
        <v>10F</v>
      </c>
      <c r="D12" s="181" t="str">
        <f aca="false">DEC2HEX(_xlfn.UNICODE(D11))</f>
        <v>111</v>
      </c>
      <c r="E12" s="181"/>
      <c r="G12" s="181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80" t="s">
        <v>1184</v>
      </c>
      <c r="B13" s="181" t="s">
        <v>1481</v>
      </c>
      <c r="C13" s="181" t="s">
        <v>1482</v>
      </c>
      <c r="D13" s="181" t="s">
        <v>1483</v>
      </c>
      <c r="E13" s="181" t="s">
        <v>1484</v>
      </c>
      <c r="F13" s="181" t="s">
        <v>1485</v>
      </c>
      <c r="G13" s="181" t="s">
        <v>1486</v>
      </c>
      <c r="H13" s="181" t="s">
        <v>1487</v>
      </c>
      <c r="I13" s="181" t="s">
        <v>1488</v>
      </c>
      <c r="J13" s="181" t="s">
        <v>1489</v>
      </c>
    </row>
    <row r="14" customFormat="false" ht="12.8" hidden="false" customHeight="false" outlineLevel="0" collapsed="false">
      <c r="B14" s="181" t="str">
        <f aca="false">DEC2HEX(_xlfn.UNICODE(B13))</f>
        <v>C8</v>
      </c>
      <c r="C14" s="181" t="str">
        <f aca="false">DEC2HEX(_xlfn.UNICODE(C13))</f>
        <v>C9</v>
      </c>
      <c r="D14" s="181" t="str">
        <f aca="false">DEC2HEX(_xlfn.UNICODE(D13))</f>
        <v>CA</v>
      </c>
      <c r="E14" s="181" t="str">
        <f aca="false">DEC2HEX(_xlfn.UNICODE(E13))</f>
        <v>CB</v>
      </c>
      <c r="F14" s="181" t="str">
        <f aca="false">DEC2HEX(_xlfn.UNICODE(F13))</f>
        <v>112</v>
      </c>
      <c r="G14" s="181" t="str">
        <f aca="false">DEC2HEX(_xlfn.UNICODE(G13))</f>
        <v>114</v>
      </c>
      <c r="H14" s="181" t="str">
        <f aca="false">DEC2HEX(_xlfn.UNICODE(H13))</f>
        <v>116</v>
      </c>
      <c r="I14" s="181" t="str">
        <f aca="false">DEC2HEX(_xlfn.UNICODE(I13))</f>
        <v>118</v>
      </c>
      <c r="J14" s="181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80" t="s">
        <v>1183</v>
      </c>
      <c r="B15" s="181" t="s">
        <v>1490</v>
      </c>
      <c r="C15" s="181" t="s">
        <v>1491</v>
      </c>
      <c r="D15" s="181" t="s">
        <v>1492</v>
      </c>
      <c r="E15" s="181" t="s">
        <v>1493</v>
      </c>
      <c r="F15" s="181" t="s">
        <v>1494</v>
      </c>
      <c r="G15" s="181" t="s">
        <v>1495</v>
      </c>
      <c r="H15" s="181" t="s">
        <v>1496</v>
      </c>
      <c r="I15" s="181" t="s">
        <v>1497</v>
      </c>
      <c r="J15" s="181" t="s">
        <v>1498</v>
      </c>
    </row>
    <row r="16" customFormat="false" ht="12.8" hidden="false" customHeight="false" outlineLevel="0" collapsed="false">
      <c r="B16" s="181" t="str">
        <f aca="false">DEC2HEX(_xlfn.UNICODE(B15))</f>
        <v>E8</v>
      </c>
      <c r="C16" s="181" t="str">
        <f aca="false">DEC2HEX(_xlfn.UNICODE(C15))</f>
        <v>E9</v>
      </c>
      <c r="D16" s="181" t="str">
        <f aca="false">DEC2HEX(_xlfn.UNICODE(D15))</f>
        <v>EA</v>
      </c>
      <c r="E16" s="181" t="str">
        <f aca="false">DEC2HEX(_xlfn.UNICODE(E15))</f>
        <v>EB</v>
      </c>
      <c r="F16" s="181" t="str">
        <f aca="false">DEC2HEX(_xlfn.UNICODE(F15))</f>
        <v>113</v>
      </c>
      <c r="G16" s="181" t="str">
        <f aca="false">DEC2HEX(_xlfn.UNICODE(G15))</f>
        <v>115</v>
      </c>
      <c r="H16" s="181" t="str">
        <f aca="false">DEC2HEX(_xlfn.UNICODE(H15))</f>
        <v>117</v>
      </c>
      <c r="I16" s="181" t="str">
        <f aca="false">DEC2HEX(_xlfn.UNICODE(I15))</f>
        <v>119</v>
      </c>
      <c r="J16" s="181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80" t="s">
        <v>1192</v>
      </c>
      <c r="B17" s="181" t="s">
        <v>1499</v>
      </c>
      <c r="C17" s="181" t="s">
        <v>1500</v>
      </c>
      <c r="D17" s="181" t="s">
        <v>1501</v>
      </c>
      <c r="E17" s="181" t="s">
        <v>1502</v>
      </c>
    </row>
    <row r="18" customFormat="false" ht="12.8" hidden="false" customHeight="false" outlineLevel="0" collapsed="false">
      <c r="B18" s="181" t="str">
        <f aca="false">DEC2HEX(_xlfn.UNICODE(B17))</f>
        <v>11C</v>
      </c>
      <c r="C18" s="181" t="str">
        <f aca="false">DEC2HEX(_xlfn.UNICODE(C17))</f>
        <v>11E</v>
      </c>
      <c r="D18" s="181" t="str">
        <f aca="false">DEC2HEX(_xlfn.UNICODE(D17))</f>
        <v>120</v>
      </c>
      <c r="E18" s="181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80" t="s">
        <v>1191</v>
      </c>
      <c r="B19" s="181" t="s">
        <v>1503</v>
      </c>
      <c r="C19" s="181" t="s">
        <v>1504</v>
      </c>
      <c r="D19" s="181" t="s">
        <v>1505</v>
      </c>
      <c r="E19" s="181" t="s">
        <v>1506</v>
      </c>
    </row>
    <row r="20" customFormat="false" ht="12.8" hidden="false" customHeight="false" outlineLevel="0" collapsed="false">
      <c r="B20" s="181" t="str">
        <f aca="false">DEC2HEX(_xlfn.UNICODE(B19))</f>
        <v>11D</v>
      </c>
      <c r="C20" s="181" t="str">
        <f aca="false">DEC2HEX(_xlfn.UNICODE(C19))</f>
        <v>11F</v>
      </c>
      <c r="D20" s="181" t="str">
        <f aca="false">DEC2HEX(_xlfn.UNICODE(D19))</f>
        <v>121</v>
      </c>
      <c r="E20" s="181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80" t="s">
        <v>1195</v>
      </c>
      <c r="B21" s="181" t="s">
        <v>1507</v>
      </c>
      <c r="C21" s="181" t="s">
        <v>1508</v>
      </c>
      <c r="R21" s="181"/>
    </row>
    <row r="22" customFormat="false" ht="12.8" hidden="false" customHeight="false" outlineLevel="0" collapsed="false">
      <c r="B22" s="181" t="str">
        <f aca="false">DEC2HEX(_xlfn.UNICODE(B21))</f>
        <v>124</v>
      </c>
      <c r="C22" s="181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81"/>
    </row>
    <row r="23" customFormat="false" ht="12.8" hidden="false" customHeight="false" outlineLevel="0" collapsed="false">
      <c r="A23" s="180" t="s">
        <v>1194</v>
      </c>
      <c r="B23" s="181" t="s">
        <v>1509</v>
      </c>
      <c r="C23" s="181" t="s">
        <v>1510</v>
      </c>
    </row>
    <row r="24" customFormat="false" ht="12.8" hidden="false" customHeight="false" outlineLevel="0" collapsed="false">
      <c r="B24" s="181" t="str">
        <f aca="false">DEC2HEX(_xlfn.UNICODE(B23))</f>
        <v>125</v>
      </c>
      <c r="C24" s="181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80" t="s">
        <v>1198</v>
      </c>
      <c r="B25" s="181" t="s">
        <v>1511</v>
      </c>
      <c r="C25" s="181" t="s">
        <v>1512</v>
      </c>
      <c r="D25" s="181" t="s">
        <v>1513</v>
      </c>
      <c r="E25" s="181" t="s">
        <v>1514</v>
      </c>
      <c r="F25" s="181" t="s">
        <v>1515</v>
      </c>
      <c r="G25" s="181" t="s">
        <v>1516</v>
      </c>
      <c r="H25" s="181" t="s">
        <v>1517</v>
      </c>
      <c r="I25" s="181" t="s">
        <v>1518</v>
      </c>
      <c r="J25" s="181" t="s">
        <v>1519</v>
      </c>
      <c r="K25" s="181" t="s">
        <v>1520</v>
      </c>
    </row>
    <row r="26" customFormat="false" ht="12.8" hidden="false" customHeight="false" outlineLevel="0" collapsed="false">
      <c r="B26" s="181" t="str">
        <f aca="false">DEC2HEX(_xlfn.UNICODE(B25))</f>
        <v>CC</v>
      </c>
      <c r="C26" s="181" t="str">
        <f aca="false">DEC2HEX(_xlfn.UNICODE(C25))</f>
        <v>CD</v>
      </c>
      <c r="D26" s="181" t="str">
        <f aca="false">DEC2HEX(_xlfn.UNICODE(D25))</f>
        <v>CE</v>
      </c>
      <c r="E26" s="181" t="str">
        <f aca="false">DEC2HEX(_xlfn.UNICODE(E25))</f>
        <v>CF</v>
      </c>
      <c r="F26" s="181" t="str">
        <f aca="false">DEC2HEX(_xlfn.UNICODE(F25))</f>
        <v>128</v>
      </c>
      <c r="G26" s="181" t="str">
        <f aca="false">DEC2HEX(_xlfn.UNICODE(G25))</f>
        <v>12A</v>
      </c>
      <c r="H26" s="181" t="str">
        <f aca="false">DEC2HEX(_xlfn.UNICODE(H25))</f>
        <v>12C</v>
      </c>
      <c r="I26" s="181" t="str">
        <f aca="false">DEC2HEX(_xlfn.UNICODE(I25))</f>
        <v>12E</v>
      </c>
      <c r="J26" s="181" t="str">
        <f aca="false">DEC2HEX(_xlfn.UNICODE(J25))</f>
        <v>130</v>
      </c>
      <c r="K26" s="181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80" t="s">
        <v>1198</v>
      </c>
      <c r="B27" s="181" t="s">
        <v>1521</v>
      </c>
      <c r="C27" s="181" t="s">
        <v>1522</v>
      </c>
      <c r="D27" s="181" t="s">
        <v>1523</v>
      </c>
      <c r="E27" s="181" t="s">
        <v>1524</v>
      </c>
      <c r="F27" s="181" t="s">
        <v>1525</v>
      </c>
      <c r="G27" s="181" t="s">
        <v>1526</v>
      </c>
      <c r="H27" s="181" t="s">
        <v>1527</v>
      </c>
      <c r="I27" s="181" t="s">
        <v>1528</v>
      </c>
      <c r="J27" s="181" t="s">
        <v>1529</v>
      </c>
      <c r="K27" s="181" t="s">
        <v>1530</v>
      </c>
    </row>
    <row r="28" customFormat="false" ht="12.8" hidden="false" customHeight="false" outlineLevel="0" collapsed="false">
      <c r="B28" s="181" t="str">
        <f aca="false">DEC2HEX(_xlfn.UNICODE(B27))</f>
        <v>EC</v>
      </c>
      <c r="C28" s="181" t="str">
        <f aca="false">DEC2HEX(_xlfn.UNICODE(C27))</f>
        <v>ED</v>
      </c>
      <c r="D28" s="181" t="str">
        <f aca="false">DEC2HEX(_xlfn.UNICODE(D27))</f>
        <v>EE</v>
      </c>
      <c r="E28" s="181" t="str">
        <f aca="false">DEC2HEX(_xlfn.UNICODE(E27))</f>
        <v>EF</v>
      </c>
      <c r="F28" s="181" t="str">
        <f aca="false">DEC2HEX(_xlfn.UNICODE(F27))</f>
        <v>129</v>
      </c>
      <c r="G28" s="181" t="str">
        <f aca="false">DEC2HEX(_xlfn.UNICODE(G27))</f>
        <v>12B</v>
      </c>
      <c r="H28" s="181" t="str">
        <f aca="false">DEC2HEX(_xlfn.UNICODE(H27))</f>
        <v>12D</v>
      </c>
      <c r="I28" s="181" t="str">
        <f aca="false">DEC2HEX(_xlfn.UNICODE(I27))</f>
        <v>12F</v>
      </c>
      <c r="J28" s="181" t="str">
        <f aca="false">DEC2HEX(_xlfn.UNICODE(J27))</f>
        <v>131</v>
      </c>
      <c r="K28" s="181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80" t="s">
        <v>1201</v>
      </c>
      <c r="B29" s="181" t="s">
        <v>1531</v>
      </c>
    </row>
    <row r="30" customFormat="false" ht="12.8" hidden="false" customHeight="false" outlineLevel="0" collapsed="false">
      <c r="B30" s="181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80" t="s">
        <v>1200</v>
      </c>
      <c r="B31" s="181" t="s">
        <v>1532</v>
      </c>
    </row>
    <row r="32" customFormat="false" ht="12.8" hidden="false" customHeight="false" outlineLevel="0" collapsed="false">
      <c r="B32" s="181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80" t="s">
        <v>1204</v>
      </c>
      <c r="B33" s="181" t="s">
        <v>1533</v>
      </c>
    </row>
    <row r="34" customFormat="false" ht="12.8" hidden="false" customHeight="false" outlineLevel="0" collapsed="false">
      <c r="B34" s="181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80" t="s">
        <v>1203</v>
      </c>
      <c r="B35" s="181" t="s">
        <v>1534</v>
      </c>
      <c r="C35" s="181" t="s">
        <v>1535</v>
      </c>
    </row>
    <row r="36" customFormat="false" ht="12.8" hidden="false" customHeight="false" outlineLevel="0" collapsed="false">
      <c r="B36" s="181" t="str">
        <f aca="false">DEC2HEX(_xlfn.UNICODE(B35))</f>
        <v>137</v>
      </c>
      <c r="C36" s="181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80" t="s">
        <v>1129</v>
      </c>
      <c r="B37" s="181" t="s">
        <v>1536</v>
      </c>
      <c r="C37" s="181" t="s">
        <v>1537</v>
      </c>
      <c r="D37" s="181" t="s">
        <v>1538</v>
      </c>
      <c r="E37" s="181" t="s">
        <v>1539</v>
      </c>
      <c r="F37" s="181" t="s">
        <v>1540</v>
      </c>
    </row>
    <row r="38" customFormat="false" ht="12.8" hidden="false" customHeight="false" outlineLevel="0" collapsed="false">
      <c r="B38" s="181" t="str">
        <f aca="false">DEC2HEX(_xlfn.UNICODE(B37))</f>
        <v>139</v>
      </c>
      <c r="C38" s="181" t="str">
        <f aca="false">DEC2HEX(_xlfn.UNICODE(C37))</f>
        <v>13B</v>
      </c>
      <c r="D38" s="181" t="str">
        <f aca="false">DEC2HEX(_xlfn.UNICODE(D37))</f>
        <v>13D</v>
      </c>
      <c r="E38" s="181" t="str">
        <f aca="false">DEC2HEX(_xlfn.UNICODE(E37))</f>
        <v>13F</v>
      </c>
      <c r="F38" s="181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80" t="s">
        <v>1207</v>
      </c>
      <c r="B39" s="181" t="s">
        <v>1541</v>
      </c>
      <c r="C39" s="181" t="s">
        <v>1542</v>
      </c>
      <c r="D39" s="181" t="s">
        <v>1543</v>
      </c>
      <c r="E39" s="181" t="s">
        <v>1544</v>
      </c>
      <c r="F39" s="181" t="s">
        <v>1545</v>
      </c>
    </row>
    <row r="40" customFormat="false" ht="12.8" hidden="false" customHeight="false" outlineLevel="0" collapsed="false">
      <c r="B40" s="181" t="str">
        <f aca="false">DEC2HEX(_xlfn.UNICODE(B39))</f>
        <v>13A</v>
      </c>
      <c r="C40" s="181" t="str">
        <f aca="false">DEC2HEX(_xlfn.UNICODE(C39))</f>
        <v>13C</v>
      </c>
      <c r="D40" s="181" t="str">
        <f aca="false">DEC2HEX(_xlfn.UNICODE(D39))</f>
        <v>13E</v>
      </c>
      <c r="E40" s="181" t="str">
        <f aca="false">DEC2HEX(_xlfn.UNICODE(E39))</f>
        <v>140</v>
      </c>
      <c r="F40" s="181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80" t="s">
        <v>1219</v>
      </c>
      <c r="B41" s="181" t="s">
        <v>1546</v>
      </c>
      <c r="C41" s="181" t="s">
        <v>1547</v>
      </c>
      <c r="D41" s="181" t="s">
        <v>1548</v>
      </c>
      <c r="E41" s="181" t="s">
        <v>1549</v>
      </c>
      <c r="F41" s="181" t="s">
        <v>1550</v>
      </c>
    </row>
    <row r="42" customFormat="false" ht="12.8" hidden="false" customHeight="false" outlineLevel="0" collapsed="false">
      <c r="B42" s="181" t="str">
        <f aca="false">DEC2HEX(_xlfn.UNICODE(B41))</f>
        <v>D1</v>
      </c>
      <c r="C42" s="181" t="str">
        <f aca="false">DEC2HEX(_xlfn.UNICODE(C41))</f>
        <v>143</v>
      </c>
      <c r="D42" s="181" t="str">
        <f aca="false">DEC2HEX(_xlfn.UNICODE(D41))</f>
        <v>145</v>
      </c>
      <c r="E42" s="181" t="str">
        <f aca="false">DEC2HEX(_xlfn.UNICODE(E41))</f>
        <v>147</v>
      </c>
      <c r="F42" s="181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80" t="s">
        <v>1218</v>
      </c>
      <c r="B43" s="181" t="s">
        <v>1551</v>
      </c>
      <c r="C43" s="181" t="s">
        <v>1552</v>
      </c>
      <c r="D43" s="181" t="s">
        <v>1553</v>
      </c>
      <c r="E43" s="181" t="s">
        <v>1554</v>
      </c>
      <c r="F43" s="181" t="s">
        <v>1555</v>
      </c>
      <c r="G43" s="181" t="s">
        <v>1556</v>
      </c>
    </row>
    <row r="44" customFormat="false" ht="12.8" hidden="false" customHeight="false" outlineLevel="0" collapsed="false">
      <c r="B44" s="181" t="str">
        <f aca="false">DEC2HEX(_xlfn.UNICODE(B43))</f>
        <v>F1</v>
      </c>
      <c r="C44" s="181" t="str">
        <f aca="false">DEC2HEX(_xlfn.UNICODE(C43))</f>
        <v>144</v>
      </c>
      <c r="D44" s="181" t="str">
        <f aca="false">DEC2HEX(_xlfn.UNICODE(D43))</f>
        <v>146</v>
      </c>
      <c r="E44" s="181" t="str">
        <f aca="false">DEC2HEX(_xlfn.UNICODE(E43))</f>
        <v>148</v>
      </c>
      <c r="F44" s="181" t="str">
        <f aca="false">DEC2HEX(_xlfn.UNICODE(F43))</f>
        <v>14B</v>
      </c>
      <c r="G44" s="181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80" t="s">
        <v>1223</v>
      </c>
      <c r="B45" s="181" t="s">
        <v>1557</v>
      </c>
      <c r="C45" s="181" t="s">
        <v>1558</v>
      </c>
      <c r="D45" s="181" t="s">
        <v>1559</v>
      </c>
      <c r="E45" s="181" t="s">
        <v>1560</v>
      </c>
      <c r="F45" s="181" t="s">
        <v>1561</v>
      </c>
      <c r="G45" s="181" t="s">
        <v>1562</v>
      </c>
      <c r="H45" s="181" t="s">
        <v>1563</v>
      </c>
      <c r="I45" s="181" t="s">
        <v>1564</v>
      </c>
      <c r="J45" s="181" t="s">
        <v>1565</v>
      </c>
      <c r="K45" s="181" t="s">
        <v>1566</v>
      </c>
    </row>
    <row r="46" customFormat="false" ht="12.8" hidden="false" customHeight="false" outlineLevel="0" collapsed="false">
      <c r="B46" s="181" t="str">
        <f aca="false">DEC2HEX(_xlfn.UNICODE(B45))</f>
        <v>D2</v>
      </c>
      <c r="C46" s="181" t="str">
        <f aca="false">DEC2HEX(_xlfn.UNICODE(C45))</f>
        <v>D3</v>
      </c>
      <c r="D46" s="181" t="str">
        <f aca="false">DEC2HEX(_xlfn.UNICODE(D45))</f>
        <v>D4</v>
      </c>
      <c r="E46" s="181" t="str">
        <f aca="false">DEC2HEX(_xlfn.UNICODE(E45))</f>
        <v>D5</v>
      </c>
      <c r="F46" s="181" t="str">
        <f aca="false">DEC2HEX(_xlfn.UNICODE(F45))</f>
        <v>D6</v>
      </c>
      <c r="G46" s="181" t="str">
        <f aca="false">DEC2HEX(_xlfn.UNICODE(G45))</f>
        <v>14C</v>
      </c>
      <c r="H46" s="181" t="str">
        <f aca="false">DEC2HEX(_xlfn.UNICODE(H45))</f>
        <v>14E</v>
      </c>
      <c r="I46" s="181" t="str">
        <f aca="false">DEC2HEX(_xlfn.UNICODE(I45))</f>
        <v>150</v>
      </c>
      <c r="J46" s="181" t="str">
        <f aca="false">DEC2HEX(_xlfn.UNICODE(J45))</f>
        <v>152</v>
      </c>
      <c r="K46" s="181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80" t="s">
        <v>1222</v>
      </c>
      <c r="B47" s="181" t="s">
        <v>1567</v>
      </c>
      <c r="C47" s="181" t="s">
        <v>1568</v>
      </c>
      <c r="D47" s="181" t="s">
        <v>1569</v>
      </c>
      <c r="E47" s="181" t="s">
        <v>1570</v>
      </c>
      <c r="F47" s="181" t="s">
        <v>1571</v>
      </c>
      <c r="G47" s="181" t="s">
        <v>1572</v>
      </c>
      <c r="H47" s="181" t="s">
        <v>1573</v>
      </c>
      <c r="I47" s="181" t="s">
        <v>1574</v>
      </c>
      <c r="J47" s="181" t="s">
        <v>1575</v>
      </c>
      <c r="K47" s="181" t="s">
        <v>1576</v>
      </c>
    </row>
    <row r="48" customFormat="false" ht="12.8" hidden="false" customHeight="false" outlineLevel="0" collapsed="false">
      <c r="B48" s="181" t="str">
        <f aca="false">DEC2HEX(_xlfn.UNICODE(B47))</f>
        <v>F2</v>
      </c>
      <c r="C48" s="181" t="str">
        <f aca="false">DEC2HEX(_xlfn.UNICODE(C47))</f>
        <v>F3</v>
      </c>
      <c r="D48" s="181" t="str">
        <f aca="false">DEC2HEX(_xlfn.UNICODE(D47))</f>
        <v>F4</v>
      </c>
      <c r="E48" s="181" t="str">
        <f aca="false">DEC2HEX(_xlfn.UNICODE(E47))</f>
        <v>F5</v>
      </c>
      <c r="F48" s="181" t="str">
        <f aca="false">DEC2HEX(_xlfn.UNICODE(F47))</f>
        <v>F6</v>
      </c>
      <c r="G48" s="181" t="str">
        <f aca="false">DEC2HEX(_xlfn.UNICODE(G47))</f>
        <v>14D</v>
      </c>
      <c r="H48" s="181" t="str">
        <f aca="false">DEC2HEX(_xlfn.UNICODE(H47))</f>
        <v>14F</v>
      </c>
      <c r="I48" s="181" t="str">
        <f aca="false">DEC2HEX(_xlfn.UNICODE(I47))</f>
        <v>151</v>
      </c>
      <c r="J48" s="181" t="str">
        <f aca="false">DEC2HEX(_xlfn.UNICODE(J47))</f>
        <v>153</v>
      </c>
      <c r="K48" s="181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80" t="s">
        <v>1237</v>
      </c>
      <c r="B49" s="181" t="s">
        <v>1577</v>
      </c>
      <c r="C49" s="181" t="s">
        <v>1578</v>
      </c>
      <c r="D49" s="181" t="s">
        <v>1579</v>
      </c>
    </row>
    <row r="50" customFormat="false" ht="12.8" hidden="false" customHeight="false" outlineLevel="0" collapsed="false">
      <c r="B50" s="181" t="str">
        <f aca="false">DEC2HEX(_xlfn.UNICODE(B49))</f>
        <v>154</v>
      </c>
      <c r="C50" s="181" t="str">
        <f aca="false">DEC2HEX(_xlfn.UNICODE(C49))</f>
        <v>156</v>
      </c>
      <c r="D50" s="181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80" t="s">
        <v>1236</v>
      </c>
      <c r="B51" s="181" t="s">
        <v>1580</v>
      </c>
      <c r="C51" s="181" t="s">
        <v>1581</v>
      </c>
      <c r="D51" s="181" t="s">
        <v>1582</v>
      </c>
    </row>
    <row r="52" customFormat="false" ht="12.8" hidden="false" customHeight="false" outlineLevel="0" collapsed="false">
      <c r="B52" s="181" t="str">
        <f aca="false">DEC2HEX(_xlfn.UNICODE(B51))</f>
        <v>155</v>
      </c>
      <c r="C52" s="181" t="str">
        <f aca="false">DEC2HEX(_xlfn.UNICODE(C51))</f>
        <v>157</v>
      </c>
      <c r="D52" s="181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80" t="s">
        <v>1241</v>
      </c>
      <c r="B53" s="181" t="s">
        <v>1583</v>
      </c>
      <c r="C53" s="181" t="s">
        <v>1584</v>
      </c>
      <c r="D53" s="181" t="s">
        <v>1585</v>
      </c>
      <c r="E53" s="181" t="s">
        <v>1586</v>
      </c>
      <c r="F53" s="181" t="s">
        <v>1587</v>
      </c>
    </row>
    <row r="54" customFormat="false" ht="12.8" hidden="false" customHeight="false" outlineLevel="0" collapsed="false">
      <c r="B54" s="182" t="str">
        <f aca="false">DEC2HEX(_xlfn.UNICODE(B53))</f>
        <v>1E9E</v>
      </c>
      <c r="C54" s="181" t="str">
        <f aca="false">DEC2HEX(_xlfn.UNICODE(C53))</f>
        <v>15A</v>
      </c>
      <c r="D54" s="181" t="str">
        <f aca="false">DEC2HEX(_xlfn.UNICODE(D53))</f>
        <v>15C</v>
      </c>
      <c r="E54" s="181" t="str">
        <f aca="false">DEC2HEX(_xlfn.UNICODE(E53))</f>
        <v>15E</v>
      </c>
      <c r="F54" s="181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80" t="s">
        <v>1240</v>
      </c>
      <c r="B55" s="181" t="s">
        <v>1588</v>
      </c>
      <c r="C55" s="181" t="s">
        <v>1589</v>
      </c>
      <c r="D55" s="181" t="s">
        <v>1590</v>
      </c>
      <c r="E55" s="181" t="s">
        <v>1591</v>
      </c>
      <c r="F55" s="181" t="s">
        <v>1592</v>
      </c>
    </row>
    <row r="56" customFormat="false" ht="12.8" hidden="false" customHeight="false" outlineLevel="0" collapsed="false">
      <c r="B56" s="181" t="str">
        <f aca="false">DEC2HEX(_xlfn.UNICODE(B55))</f>
        <v>DF</v>
      </c>
      <c r="C56" s="181" t="str">
        <f aca="false">DEC2HEX(_xlfn.UNICODE(C55))</f>
        <v>15B</v>
      </c>
      <c r="D56" s="181" t="str">
        <f aca="false">DEC2HEX(_xlfn.UNICODE(D55))</f>
        <v>15D</v>
      </c>
      <c r="E56" s="181" t="str">
        <f aca="false">DEC2HEX(_xlfn.UNICODE(E55))</f>
        <v>15F</v>
      </c>
      <c r="F56" s="181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80" t="s">
        <v>1132</v>
      </c>
      <c r="B57" s="181" t="s">
        <v>1593</v>
      </c>
      <c r="C57" s="181" t="s">
        <v>1594</v>
      </c>
      <c r="D57" s="181" t="s">
        <v>1595</v>
      </c>
      <c r="E57" s="181" t="s">
        <v>1596</v>
      </c>
    </row>
    <row r="58" customFormat="false" ht="12.8" hidden="false" customHeight="false" outlineLevel="0" collapsed="false">
      <c r="B58" s="181" t="str">
        <f aca="false">DEC2HEX(_xlfn.UNICODE(B57))</f>
        <v>DE</v>
      </c>
      <c r="C58" s="181" t="str">
        <f aca="false">DEC2HEX(_xlfn.UNICODE(C57))</f>
        <v>162</v>
      </c>
      <c r="D58" s="181" t="str">
        <f aca="false">DEC2HEX(_xlfn.UNICODE(D57))</f>
        <v>164</v>
      </c>
      <c r="E58" s="181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80" t="s">
        <v>1244</v>
      </c>
      <c r="B59" s="181" t="s">
        <v>1597</v>
      </c>
      <c r="C59" s="181" t="s">
        <v>1598</v>
      </c>
      <c r="D59" s="181" t="s">
        <v>1599</v>
      </c>
      <c r="E59" s="181" t="s">
        <v>1600</v>
      </c>
    </row>
    <row r="60" customFormat="false" ht="12.8" hidden="false" customHeight="false" outlineLevel="0" collapsed="false">
      <c r="B60" s="181" t="str">
        <f aca="false">DEC2HEX(_xlfn.UNICODE(B59))</f>
        <v>FE</v>
      </c>
      <c r="C60" s="181" t="str">
        <f aca="false">DEC2HEX(_xlfn.UNICODE(C59))</f>
        <v>163</v>
      </c>
      <c r="D60" s="181" t="str">
        <f aca="false">DEC2HEX(_xlfn.UNICODE(D59))</f>
        <v>165</v>
      </c>
      <c r="E60" s="181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80" t="s">
        <v>1247</v>
      </c>
      <c r="B61" s="181" t="s">
        <v>1601</v>
      </c>
      <c r="C61" s="181" t="s">
        <v>1602</v>
      </c>
      <c r="D61" s="181" t="s">
        <v>1603</v>
      </c>
      <c r="E61" s="181" t="s">
        <v>1604</v>
      </c>
      <c r="F61" s="181" t="s">
        <v>1605</v>
      </c>
      <c r="G61" s="181" t="s">
        <v>1606</v>
      </c>
      <c r="H61" s="181" t="s">
        <v>1607</v>
      </c>
      <c r="I61" s="181" t="s">
        <v>1608</v>
      </c>
      <c r="J61" s="181" t="s">
        <v>1609</v>
      </c>
      <c r="K61" s="181" t="s">
        <v>1610</v>
      </c>
    </row>
    <row r="62" customFormat="false" ht="12.8" hidden="false" customHeight="false" outlineLevel="0" collapsed="false">
      <c r="B62" s="181" t="str">
        <f aca="false">DEC2HEX(_xlfn.UNICODE(B61))</f>
        <v>D9</v>
      </c>
      <c r="C62" s="181" t="str">
        <f aca="false">DEC2HEX(_xlfn.UNICODE(C61))</f>
        <v>DA</v>
      </c>
      <c r="D62" s="181" t="str">
        <f aca="false">DEC2HEX(_xlfn.UNICODE(D61))</f>
        <v>DB</v>
      </c>
      <c r="E62" s="181" t="str">
        <f aca="false">DEC2HEX(_xlfn.UNICODE(E61))</f>
        <v>DC</v>
      </c>
      <c r="F62" s="181" t="str">
        <f aca="false">DEC2HEX(_xlfn.UNICODE(F61))</f>
        <v>168</v>
      </c>
      <c r="G62" s="181" t="str">
        <f aca="false">DEC2HEX(_xlfn.UNICODE(G61))</f>
        <v>16A</v>
      </c>
      <c r="H62" s="181" t="str">
        <f aca="false">DEC2HEX(_xlfn.UNICODE(H61))</f>
        <v>16C</v>
      </c>
      <c r="I62" s="181" t="str">
        <f aca="false">DEC2HEX(_xlfn.UNICODE(I61))</f>
        <v>16E</v>
      </c>
      <c r="J62" s="181" t="str">
        <f aca="false">DEC2HEX(_xlfn.UNICODE(J61))</f>
        <v>170</v>
      </c>
      <c r="K62" s="181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80" t="s">
        <v>1246</v>
      </c>
      <c r="B63" s="181" t="s">
        <v>1611</v>
      </c>
      <c r="C63" s="181" t="s">
        <v>1612</v>
      </c>
      <c r="D63" s="181" t="s">
        <v>1613</v>
      </c>
      <c r="E63" s="181" t="s">
        <v>1614</v>
      </c>
      <c r="F63" s="181" t="s">
        <v>1615</v>
      </c>
      <c r="G63" s="181" t="s">
        <v>1616</v>
      </c>
      <c r="H63" s="181" t="s">
        <v>1617</v>
      </c>
      <c r="I63" s="181" t="s">
        <v>1618</v>
      </c>
      <c r="J63" s="181" t="s">
        <v>1619</v>
      </c>
      <c r="K63" s="181" t="s">
        <v>1620</v>
      </c>
    </row>
    <row r="64" customFormat="false" ht="12.8" hidden="false" customHeight="false" outlineLevel="0" collapsed="false">
      <c r="B64" s="181" t="str">
        <f aca="false">DEC2HEX(_xlfn.UNICODE(B63))</f>
        <v>F9</v>
      </c>
      <c r="C64" s="181" t="str">
        <f aca="false">DEC2HEX(_xlfn.UNICODE(C63))</f>
        <v>FA</v>
      </c>
      <c r="D64" s="181" t="str">
        <f aca="false">DEC2HEX(_xlfn.UNICODE(D63))</f>
        <v>FB</v>
      </c>
      <c r="E64" s="181" t="str">
        <f aca="false">DEC2HEX(_xlfn.UNICODE(E63))</f>
        <v>FC</v>
      </c>
      <c r="F64" s="181" t="str">
        <f aca="false">DEC2HEX(_xlfn.UNICODE(F63))</f>
        <v>169</v>
      </c>
      <c r="G64" s="181" t="str">
        <f aca="false">DEC2HEX(_xlfn.UNICODE(G63))</f>
        <v>16B</v>
      </c>
      <c r="H64" s="181" t="str">
        <f aca="false">DEC2HEX(_xlfn.UNICODE(H63))</f>
        <v>16D</v>
      </c>
      <c r="I64" s="181" t="str">
        <f aca="false">DEC2HEX(_xlfn.UNICODE(I63))</f>
        <v>16F</v>
      </c>
      <c r="J64" s="181" t="str">
        <f aca="false">DEC2HEX(_xlfn.UNICODE(J63))</f>
        <v>171</v>
      </c>
      <c r="K64" s="181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80" t="s">
        <v>1253</v>
      </c>
      <c r="B65" s="181" t="s">
        <v>1621</v>
      </c>
    </row>
    <row r="66" customFormat="false" ht="12.8" hidden="false" customHeight="false" outlineLevel="0" collapsed="false">
      <c r="B66" s="181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80" t="s">
        <v>1252</v>
      </c>
      <c r="B67" s="181" t="s">
        <v>1622</v>
      </c>
    </row>
    <row r="68" customFormat="false" ht="12.8" hidden="false" customHeight="false" outlineLevel="0" collapsed="false">
      <c r="B68" s="181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80" t="s">
        <v>1266</v>
      </c>
      <c r="B69" s="181" t="s">
        <v>1623</v>
      </c>
      <c r="C69" s="181" t="s">
        <v>1624</v>
      </c>
      <c r="D69" s="181" t="s">
        <v>1625</v>
      </c>
    </row>
    <row r="70" customFormat="false" ht="12.8" hidden="false" customHeight="false" outlineLevel="0" collapsed="false">
      <c r="B70" s="181" t="str">
        <f aca="false">DEC2HEX(_xlfn.UNICODE(B69))</f>
        <v>DD</v>
      </c>
      <c r="C70" s="181" t="str">
        <f aca="false">DEC2HEX(_xlfn.UNICODE(C69))</f>
        <v>176</v>
      </c>
      <c r="D70" s="181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80" t="s">
        <v>1265</v>
      </c>
      <c r="B71" s="181" t="s">
        <v>1626</v>
      </c>
      <c r="C71" s="181" t="s">
        <v>1627</v>
      </c>
      <c r="D71" s="181" t="s">
        <v>1628</v>
      </c>
    </row>
    <row r="72" customFormat="false" ht="12.8" hidden="false" customHeight="false" outlineLevel="0" collapsed="false">
      <c r="B72" s="181" t="str">
        <f aca="false">DEC2HEX(_xlfn.UNICODE(B71))</f>
        <v>FD</v>
      </c>
      <c r="C72" s="181" t="str">
        <f aca="false">DEC2HEX(_xlfn.UNICODE(C71))</f>
        <v>177</v>
      </c>
      <c r="D72" s="181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80" t="s">
        <v>1255</v>
      </c>
      <c r="B73" s="181" t="s">
        <v>1629</v>
      </c>
      <c r="C73" s="181" t="s">
        <v>1630</v>
      </c>
      <c r="D73" s="181" t="s">
        <v>1631</v>
      </c>
    </row>
    <row r="74" customFormat="false" ht="12.8" hidden="false" customHeight="false" outlineLevel="0" collapsed="false">
      <c r="B74" s="181" t="str">
        <f aca="false">DEC2HEX(_xlfn.UNICODE(B73))</f>
        <v>179</v>
      </c>
      <c r="C74" s="181" t="str">
        <f aca="false">DEC2HEX(_xlfn.UNICODE(C73))</f>
        <v>17B</v>
      </c>
      <c r="D74" s="181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80" t="s">
        <v>1254</v>
      </c>
      <c r="B75" s="181" t="s">
        <v>1632</v>
      </c>
      <c r="C75" s="181" t="s">
        <v>1633</v>
      </c>
      <c r="D75" s="181" t="s">
        <v>1634</v>
      </c>
    </row>
    <row r="76" customFormat="false" ht="12.8" hidden="false" customHeight="false" outlineLevel="0" collapsed="false">
      <c r="B76" s="181" t="str">
        <f aca="false">DEC2HEX(_xlfn.UNICODE(B75))</f>
        <v>17A</v>
      </c>
      <c r="C76" s="181" t="str">
        <f aca="false">DEC2HEX(_xlfn.UNICODE(C75))</f>
        <v>17C</v>
      </c>
      <c r="D76" s="181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82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7546</TotalTime>
  <Application>LibreOffice/25.8.4.2$Linux_X86_64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2026-02-02T21:59:50Z</dcterms:modified>
  <cp:revision>281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