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<sst xmlns="http://schemas.openxmlformats.org/spreadsheetml/2006/main" count="3795" uniqueCount="1600">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</sst>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7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33</v>
      </c>
      <c r="B18" s="8" t="s">
        <v>34</v>
      </c>
      <c r="C18" s="7" t="n">
        <f aca="false">HEX2DEC(B18)</f>
        <v>140</v>
      </c>
      <c r="D18" s="9" t="str">
        <f aca="false">DEC2HEX(C18,8)</f>
        <v>0000008C</v>
      </c>
      <c r="E18" s="10" t="str">
        <f aca="false">_xlfn.UNICHAR(C18)</f>
        <v></v>
      </c>
      <c r="F18" s="7" t="n">
        <f aca="false">C18-C17</f>
        <v>4</v>
      </c>
    </row>
    <row r="19" customFormat="false" ht="15" hidden="false" customHeight="false" outlineLevel="0" collapsed="false">
      <c r="A19" s="7" t="s">
        <v>35</v>
      </c>
      <c r="B19" s="8" t="s">
        <v>36</v>
      </c>
      <c r="C19" s="7" t="n">
        <f aca="false">HEX2DEC(B19)</f>
        <v>141</v>
      </c>
      <c r="D19" s="9" t="str">
        <f aca="false">DEC2HEX(C19,8)</f>
        <v>0000008D</v>
      </c>
      <c r="E19" s="10" t="str">
        <f aca="false">_xlfn.UNICHAR(C19)</f>
        <v></v>
      </c>
      <c r="F19" s="7" t="n">
        <f aca="false">C19-C18</f>
        <v>1</v>
      </c>
    </row>
    <row r="20" customFormat="false" ht="15" hidden="false" customHeight="false" outlineLevel="0" collapsed="false">
      <c r="A20" s="7" t="s">
        <v>37</v>
      </c>
      <c r="B20" s="8" t="s">
        <v>38</v>
      </c>
      <c r="C20" s="7" t="n">
        <f aca="false">HEX2DEC(B20)</f>
        <v>142</v>
      </c>
      <c r="D20" s="9" t="str">
        <f aca="false">DEC2HEX(C20,8)</f>
        <v>0000008E</v>
      </c>
      <c r="E20" s="10" t="str">
        <f aca="false">_xlfn.UNICHAR(C20)</f>
        <v></v>
      </c>
      <c r="F20" s="7" t="n">
        <f aca="false">C20-C19</f>
        <v>1</v>
      </c>
    </row>
    <row r="21" customFormat="false" ht="15" hidden="false" customHeight="false" outlineLevel="0" collapsed="false">
      <c r="A21" s="7" t="s">
        <v>39</v>
      </c>
      <c r="B21" s="8" t="s">
        <v>40</v>
      </c>
      <c r="C21" s="7" t="n">
        <f aca="false">HEX2DEC(B21)</f>
        <v>143</v>
      </c>
      <c r="D21" s="9" t="str">
        <f aca="false">DEC2HEX(C21,8)</f>
        <v>0000008F</v>
      </c>
      <c r="E21" s="10" t="str">
        <f aca="false">_xlfn.UNICHAR(C21)</f>
        <v></v>
      </c>
      <c r="F21" s="7" t="n">
        <f aca="false">C21-C20</f>
        <v>1</v>
      </c>
    </row>
    <row r="22" customFormat="false" ht="15" hidden="false" customHeight="false" outlineLevel="0" collapsed="false">
      <c r="A22" s="7" t="s">
        <v>41</v>
      </c>
      <c r="B22" s="8" t="n">
        <v>90</v>
      </c>
      <c r="C22" s="7" t="n">
        <f aca="false">HEX2DEC(B22)</f>
        <v>144</v>
      </c>
      <c r="D22" s="9" t="str">
        <f aca="false">DEC2HEX(C22,8)</f>
        <v>00000090</v>
      </c>
      <c r="E22" s="10" t="str">
        <f aca="false">_xlfn.UNICHAR(C22)</f>
        <v></v>
      </c>
      <c r="F22" s="7" t="n">
        <f aca="false">C22-C21</f>
        <v>1</v>
      </c>
    </row>
    <row r="23" customFormat="false" ht="15" hidden="false" customHeight="false" outlineLevel="0" collapsed="false">
      <c r="A23" s="7" t="s">
        <v>42</v>
      </c>
      <c r="B23" s="8" t="n">
        <v>91</v>
      </c>
      <c r="C23" s="7" t="n">
        <f aca="false">HEX2DEC(B23)</f>
        <v>145</v>
      </c>
      <c r="D23" s="9" t="str">
        <f aca="false">DEC2HEX(C23,8)</f>
        <v>00000091</v>
      </c>
      <c r="E23" s="10" t="str">
        <f aca="false">_xlfn.UNICHAR(C23)</f>
        <v></v>
      </c>
      <c r="F23" s="7" t="n">
        <f aca="false">C23-C22</f>
        <v>1</v>
      </c>
    </row>
    <row r="24" customFormat="false" ht="15" hidden="false" customHeight="false" outlineLevel="0" collapsed="false">
      <c r="A24" s="7" t="s">
        <v>43</v>
      </c>
      <c r="B24" s="8" t="n">
        <v>92</v>
      </c>
      <c r="C24" s="7" t="n">
        <f aca="false">HEX2DEC(B24)</f>
        <v>146</v>
      </c>
      <c r="D24" s="9" t="str">
        <f aca="false">DEC2HEX(C24,8)</f>
        <v>00000092</v>
      </c>
      <c r="E24" s="10" t="str">
        <f aca="false">_xlfn.UNICHAR(C24)</f>
        <v></v>
      </c>
      <c r="F24" s="7" t="n">
        <f aca="false">C24-C23</f>
        <v>1</v>
      </c>
    </row>
    <row r="25" customFormat="false" ht="15" hidden="false" customHeight="false" outlineLevel="0" collapsed="false">
      <c r="A25" s="7" t="inlineStr">
        <is>
          <t>ICON_OS_WINDOWS</t>
        </is>
      </c>
      <c r="B25" s="8" t="n">
        <v>94</v>
      </c>
      <c r="C25" s="7" t="n">
        <f aca="false">HEX2DEC(B25)</f>
        <v>148</v>
      </c>
      <c r="D25" s="9" t="str">
        <f aca="false">DEC2HEX(C25,8)</f>
        <v>00000094</v>
      </c>
      <c r="E25" s="10" t="str">
        <f aca="false">_xlfn.UNICHAR(C25)</f>
        <v/>
      </c>
      <c r="F25" s="7" t="n">
        <f aca="false">C25-C24</f>
        <v>2</v>
      </c>
    </row>
    <row r="26" customFormat="false" ht="15" hidden="false" customHeight="false" outlineLevel="0" collapsed="false">
      <c r="A26" s="7" t="inlineStr">
        <is>
          <t>ICON_OS_LINUX</t>
        </is>
      </c>
      <c r="B26" s="8" t="n">
        <v>95</v>
      </c>
      <c r="C26" s="7" t="n">
        <f aca="false">HEX2DEC(B26)</f>
        <v>149</v>
      </c>
      <c r="D26" s="9" t="str">
        <f aca="false">DEC2HEX(C26,8)</f>
        <v>00000095</v>
      </c>
      <c r="E26" s="10" t="str">
        <f aca="false">_xlfn.UNICHAR(C26)</f>
        <v/>
      </c>
      <c r="F26" s="7" t="n">
        <f aca="false">C26-C25</f>
        <v>1</v>
      </c>
    </row>
    <row r="27" customFormat="false" ht="15" hidden="false" customHeight="false" outlineLevel="0" collapsed="false">
      <c r="A27" s="7" t="inlineStr">
        <is>
          <t>ICON_OS_ANDROID</t>
        </is>
      </c>
      <c r="B27" s="8" t="n">
        <v>96</v>
      </c>
      <c r="C27" s="7" t="n">
        <f aca="false">HEX2DEC(B27)</f>
        <v>150</v>
      </c>
      <c r="D27" s="9" t="str">
        <f aca="false">DEC2HEX(C27,8)</f>
        <v>00000096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ICON_MAC_CONTROL</t>
        </is>
      </c>
      <c r="B28" s="8" t="n">
        <v>97</v>
      </c>
      <c r="C28" s="7" t="n">
        <f aca="false">HEX2DEC(B28)</f>
        <v>151</v>
      </c>
      <c r="D28" s="9" t="str">
        <f aca="false">DEC2HEX(C28,8)</f>
        <v>00000097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10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C31-C30</f>
        <v>1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,"LATIN_",DEC2HEX(C102,4))</f>
        <v>LATIN_00C0</v>
      </c>
      <c r="B103" s="11" t="str">
        <f aca="false">DEC2HEX(C102)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/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,"LATIN_",DEC2HEX(C103,4))</f>
        <v>LATIN_00C1</v>
      </c>
      <c r="B104" s="11" t="str">
        <f aca="false">DEC2HEX(C103)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/>
      </c>
      <c r="G104" s="13"/>
    </row>
    <row r="105" customFormat="false" ht="15" hidden="false" customHeight="false" outlineLevel="0" collapsed="false">
      <c r="A105" s="1" t="str">
        <f aca="false">_xlfn.TEXTJOIN( , ,"LATIN_",DEC2HEX(C104,4))</f>
        <v>LATIN_00C2</v>
      </c>
      <c r="B105" s="11" t="str">
        <f aca="false">DEC2HEX(C104)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LATIN_00C3</v>
      </c>
      <c r="B106" s="11" t="str">
        <f aca="false">DEC2HEX(C105)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LATIN_00C4</v>
      </c>
      <c r="B107" s="11" t="str">
        <f aca="false">DEC2HEX(C106)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LATIN_00C5</v>
      </c>
      <c r="B108" s="11" t="str">
        <f aca="false">DEC2HEX(C107)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LATIN_00C6</v>
      </c>
      <c r="B109" s="11" t="str">
        <f aca="false">DEC2HEX(C108)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LATIN_00C7</v>
      </c>
      <c r="B110" s="11" t="str">
        <f aca="false">DEC2HEX(C109)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LATIN_00C8</v>
      </c>
      <c r="B111" s="11" t="str">
        <f aca="false">DEC2HEX(C110)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LATIN_00C9</v>
      </c>
      <c r="B112" s="11" t="str">
        <f aca="false">DEC2HEX(C111)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LATIN_00CA</v>
      </c>
      <c r="B113" s="11" t="str">
        <f aca="false">DEC2HEX(C112)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LATIN_00CB</v>
      </c>
      <c r="B114" s="11" t="str">
        <f aca="false">DEC2HEX(C113)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LATIN_00CC</v>
      </c>
      <c r="B115" s="11" t="str">
        <f aca="false">DEC2HEX(C114)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LATIN_00CD</v>
      </c>
      <c r="B116" s="11" t="str">
        <f aca="false">DEC2HEX(C115)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LATIN_00CE</v>
      </c>
      <c r="B117" s="11" t="str">
        <f aca="false">DEC2HEX(C116)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LATIN_00CF</v>
      </c>
      <c r="B118" s="11" t="str">
        <f aca="false">DEC2HEX(C117)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LATIN_00D0</v>
      </c>
      <c r="B119" s="11" t="str">
        <f aca="false">DEC2HEX(C118)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LATIN_00D1</v>
      </c>
      <c r="B120" s="11" t="str">
        <f aca="false">DEC2HEX(C119)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LATIN_00D2</v>
      </c>
      <c r="B121" s="11" t="str">
        <f aca="false">DEC2HEX(C120)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LATIN_00D3</v>
      </c>
      <c r="B122" s="11" t="str">
        <f aca="false">DEC2HEX(C121)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LATIN_00D4</v>
      </c>
      <c r="B123" s="11" t="str">
        <f aca="false">DEC2HEX(C122)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LATIN_00D5</v>
      </c>
      <c r="B124" s="11" t="str">
        <f aca="false">DEC2HEX(C123)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LATIN_00D6</v>
      </c>
      <c r="B125" s="11" t="str">
        <f aca="false">DEC2HEX(C124)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LATIN_00D7</v>
      </c>
      <c r="B126" s="11" t="str">
        <f aca="false">DEC2HEX(C125)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LATIN_00D8</v>
      </c>
      <c r="B127" s="11" t="str">
        <f aca="false">DEC2HEX(C126)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LATIN_00D9</v>
      </c>
      <c r="B128" s="11" t="str">
        <f aca="false">DEC2HEX(C127)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LATIN_00DA</v>
      </c>
      <c r="B129" s="11" t="str">
        <f aca="false">DEC2HEX(C128)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LATIN_00DB</v>
      </c>
      <c r="B130" s="11" t="str">
        <f aca="false">DEC2HEX(C129)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LATIN_00DC</v>
      </c>
      <c r="B131" s="11" t="str">
        <f aca="false">DEC2HEX(C130)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LATIN_00DD</v>
      </c>
      <c r="B132" s="11" t="str">
        <f aca="false">DEC2HEX(C131)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LATIN_00DE</v>
      </c>
      <c r="B133" s="11" t="str">
        <f aca="false">DEC2HEX(C132)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LATIN_00DF</v>
      </c>
      <c r="B134" s="11" t="str">
        <f aca="false">DEC2HEX(C133)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LATIN_00E0</v>
      </c>
      <c r="B135" s="11" t="str">
        <f aca="false">DEC2HEX(C134)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LATIN_00E1</v>
      </c>
      <c r="B136" s="11" t="str">
        <f aca="false">DEC2HEX(C135)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LATIN_00E2</v>
      </c>
      <c r="B137" s="11" t="str">
        <f aca="false">DEC2HEX(C136)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LATIN_00E3</v>
      </c>
      <c r="B138" s="11" t="str">
        <f aca="false">DEC2HEX(C137)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LATIN_00E4</v>
      </c>
      <c r="B139" s="11" t="str">
        <f aca="false">DEC2HEX(C138)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LATIN_00E5</v>
      </c>
      <c r="B140" s="11" t="str">
        <f aca="false">DEC2HEX(C139)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LATIN_00E6</v>
      </c>
      <c r="B141" s="11" t="str">
        <f aca="false">DEC2HEX(C140)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LATIN_00E7</v>
      </c>
      <c r="B142" s="11" t="str">
        <f aca="false">DEC2HEX(C141)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LATIN_00E8</v>
      </c>
      <c r="B143" s="11" t="str">
        <f aca="false">DEC2HEX(C142)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LATIN_00E9</v>
      </c>
      <c r="B144" s="11" t="str">
        <f aca="false">DEC2HEX(C143)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LATIN_00EA</v>
      </c>
      <c r="B145" s="11" t="str">
        <f aca="false">DEC2HEX(C144)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LATIN_00EB</v>
      </c>
      <c r="B146" s="11" t="str">
        <f aca="false">DEC2HEX(C145)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LATIN_00EC</v>
      </c>
      <c r="B147" s="11" t="str">
        <f aca="false">DEC2HEX(C146)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LATIN_00ED</v>
      </c>
      <c r="B148" s="11" t="str">
        <f aca="false">DEC2HEX(C147)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LATIN_00EE</v>
      </c>
      <c r="B149" s="11" t="str">
        <f aca="false">DEC2HEX(C148)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LATIN_00EF</v>
      </c>
      <c r="B150" s="11" t="str">
        <f aca="false">DEC2HEX(C149)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LATIN_00F0</v>
      </c>
      <c r="B151" s="11" t="str">
        <f aca="false">DEC2HEX(C150)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LATIN_00F1</v>
      </c>
      <c r="B152" s="11" t="str">
        <f aca="false">DEC2HEX(C151)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LATIN_00F2</v>
      </c>
      <c r="B153" s="11" t="str">
        <f aca="false">DEC2HEX(C152)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LATIN_00F3</v>
      </c>
      <c r="B154" s="11" t="str">
        <f aca="false">DEC2HEX(C153)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LATIN_00F4</v>
      </c>
      <c r="B155" s="11" t="str">
        <f aca="false">DEC2HEX(C154)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LATIN_00F5</v>
      </c>
      <c r="B156" s="11" t="str">
        <f aca="false">DEC2HEX(C155)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LATIN_00F6</v>
      </c>
      <c r="B157" s="11" t="str">
        <f aca="false">DEC2HEX(C156)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LATIN_00F7</v>
      </c>
      <c r="B158" s="11" t="str">
        <f aca="false">DEC2HEX(C157)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LATIN_00F8</v>
      </c>
      <c r="B159" s="11" t="str">
        <f aca="false">DEC2HEX(C158)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LATIN_00F9</v>
      </c>
      <c r="B160" s="11" t="str">
        <f aca="false">DEC2HEX(C159)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LATIN_00FA</v>
      </c>
      <c r="B161" s="11" t="str">
        <f aca="false">DEC2HEX(C160)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LATIN_00FB</v>
      </c>
      <c r="B162" s="11" t="str">
        <f aca="false">DEC2HEX(C161)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LATIN_00FC</v>
      </c>
      <c r="B163" s="11" t="str">
        <f aca="false">DEC2HEX(C162)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LATIN_00FD</v>
      </c>
      <c r="B164" s="11" t="str">
        <f aca="false">DEC2HEX(C163)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LATIN_00FE</v>
      </c>
      <c r="B165" s="11" t="str">
        <f aca="false">DEC2HEX(C164)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LATIN_00FF</v>
      </c>
      <c r="B166" s="11" t="str">
        <f aca="false">DEC2HEX(C165)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LATIN_0100</v>
      </c>
      <c r="B167" s="11" t="str">
        <f aca="false">DEC2HEX(C166)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LATIN_0101</v>
      </c>
      <c r="B168" s="11" t="str">
        <f aca="false">DEC2HEX(C167)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LATIN_0102</v>
      </c>
      <c r="B169" s="11" t="str">
        <f aca="false">DEC2HEX(C168)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LATIN_0103</v>
      </c>
      <c r="B170" s="11" t="str">
        <f aca="false">DEC2HEX(C169)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LATIN_0104</v>
      </c>
      <c r="B171" s="11" t="str">
        <f aca="false">DEC2HEX(C170)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LATIN_0105</v>
      </c>
      <c r="B172" s="11" t="str">
        <f aca="false">DEC2HEX(C171)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LATIN_0106</v>
      </c>
      <c r="B173" s="11" t="str">
        <f aca="false">DEC2HEX(C172)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LATIN_0107</v>
      </c>
      <c r="B174" s="11" t="str">
        <f aca="false">DEC2HEX(C173)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LATIN_0108</v>
      </c>
      <c r="B175" s="11" t="str">
        <f aca="false">DEC2HEX(C174)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LATIN_0109</v>
      </c>
      <c r="B176" s="11" t="str">
        <f aca="false">DEC2HEX(C175)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LATIN_010A</v>
      </c>
      <c r="B177" s="11" t="str">
        <f aca="false">DEC2HEX(C176)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LATIN_010B</v>
      </c>
      <c r="B178" s="11" t="str">
        <f aca="false">DEC2HEX(C177)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LATIN_010C</v>
      </c>
      <c r="B179" s="11" t="str">
        <f aca="false">DEC2HEX(C178)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LATIN_010D</v>
      </c>
      <c r="B180" s="11" t="str">
        <f aca="false">DEC2HEX(C179)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LATIN_010E</v>
      </c>
      <c r="B181" s="11" t="str">
        <f aca="false">DEC2HEX(C180)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LATIN_010F</v>
      </c>
      <c r="B182" s="11" t="str">
        <f aca="false">DEC2HEX(C181)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LATIN_0110</v>
      </c>
      <c r="B183" s="11" t="str">
        <f aca="false">DEC2HEX(C182)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LATIN_0111</v>
      </c>
      <c r="B184" s="11" t="str">
        <f aca="false">DEC2HEX(C183)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LATIN_0112</v>
      </c>
      <c r="B185" s="11" t="str">
        <f aca="false">DEC2HEX(C184)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LATIN_0113</v>
      </c>
      <c r="B186" s="11" t="str">
        <f aca="false">DEC2HEX(C185)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LATIN_0114</v>
      </c>
      <c r="B187" s="11" t="str">
        <f aca="false">DEC2HEX(C186)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LATIN_0115</v>
      </c>
      <c r="B188" s="11" t="str">
        <f aca="false">DEC2HEX(C187)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LATIN_0116</v>
      </c>
      <c r="B189" s="11" t="str">
        <f aca="false">DEC2HEX(C188)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LATIN_0117</v>
      </c>
      <c r="B190" s="11" t="str">
        <f aca="false">DEC2HEX(C189)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LATIN_0118</v>
      </c>
      <c r="B191" s="11" t="str">
        <f aca="false">DEC2HEX(C190)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LATIN_0119</v>
      </c>
      <c r="B192" s="11" t="str">
        <f aca="false">DEC2HEX(C191)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LATIN_011A</v>
      </c>
      <c r="B193" s="11" t="str">
        <f aca="false">DEC2HEX(C192)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LATIN_011B</v>
      </c>
      <c r="B194" s="11" t="str">
        <f aca="false">DEC2HEX(C193)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LATIN_011C</v>
      </c>
      <c r="B195" s="11" t="str">
        <f aca="false">DEC2HEX(C194)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LATIN_011D</v>
      </c>
      <c r="B196" s="11" t="str">
        <f aca="false">DEC2HEX(C195)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LATIN_011E</v>
      </c>
      <c r="B197" s="11" t="str">
        <f aca="false">DEC2HEX(C196)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LATIN_011F</v>
      </c>
      <c r="B198" s="11" t="str">
        <f aca="false">DEC2HEX(C197)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LATIN_0120</v>
      </c>
      <c r="B199" s="11" t="str">
        <f aca="false">DEC2HEX(C198)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LATIN_0121</v>
      </c>
      <c r="B200" s="11" t="str">
        <f aca="false">DEC2HEX(C199)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LATIN_0122</v>
      </c>
      <c r="B201" s="11" t="str">
        <f aca="false">DEC2HEX(C200)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LATIN_0123</v>
      </c>
      <c r="B202" s="11" t="str">
        <f aca="false">DEC2HEX(C201)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LATIN_0124</v>
      </c>
      <c r="B203" s="11" t="str">
        <f aca="false">DEC2HEX(C202)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LATIN_0125</v>
      </c>
      <c r="B204" s="11" t="str">
        <f aca="false">DEC2HEX(C203)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LATIN_0126</v>
      </c>
      <c r="B205" s="11" t="str">
        <f aca="false">DEC2HEX(C204)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LATIN_0127</v>
      </c>
      <c r="B206" s="11" t="str">
        <f aca="false">DEC2HEX(C205)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LATIN_0128</v>
      </c>
      <c r="B207" s="11" t="str">
        <f aca="false">DEC2HEX(C206)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LATIN_0129</v>
      </c>
      <c r="B208" s="11" t="str">
        <f aca="false">DEC2HEX(C207)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LATIN_012A</v>
      </c>
      <c r="B209" s="11" t="str">
        <f aca="false">DEC2HEX(C208)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LATIN_012B</v>
      </c>
      <c r="B210" s="11" t="str">
        <f aca="false">DEC2HEX(C209)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LATIN_012C</v>
      </c>
      <c r="B211" s="11" t="str">
        <f aca="false">DEC2HEX(C210)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LATIN_012D</v>
      </c>
      <c r="B212" s="11" t="str">
        <f aca="false">DEC2HEX(C211)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LATIN_012E</v>
      </c>
      <c r="B213" s="11" t="str">
        <f aca="false">DEC2HEX(C212)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LATIN_012F</v>
      </c>
      <c r="B214" s="11" t="str">
        <f aca="false">DEC2HEX(C213)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LATIN_0130</v>
      </c>
      <c r="B215" s="11" t="str">
        <f aca="false">DEC2HEX(C214)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LATIN_0131</v>
      </c>
      <c r="B216" s="11" t="str">
        <f aca="false">DEC2HEX(C215)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LATIN_0132</v>
      </c>
      <c r="B217" s="11" t="str">
        <f aca="false">DEC2HEX(C216)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LATIN_0133</v>
      </c>
      <c r="B218" s="11" t="str">
        <f aca="false">DEC2HEX(C217)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LATIN_0134</v>
      </c>
      <c r="B219" s="11" t="str">
        <f aca="false">DEC2HEX(C218)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LATIN_0135</v>
      </c>
      <c r="B220" s="11" t="str">
        <f aca="false">DEC2HEX(C219)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LATIN_0136</v>
      </c>
      <c r="B221" s="11" t="str">
        <f aca="false">DEC2HEX(C220)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LATIN_0137</v>
      </c>
      <c r="B222" s="11" t="str">
        <f aca="false">DEC2HEX(C221)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LATIN_0138</v>
      </c>
      <c r="B223" s="11" t="str">
        <f aca="false">DEC2HEX(C222)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LATIN_0139</v>
      </c>
      <c r="B224" s="11" t="str">
        <f aca="false">DEC2HEX(C223)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LATIN_013A</v>
      </c>
      <c r="B225" s="11" t="str">
        <f aca="false">DEC2HEX(C224)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LATIN_013B</v>
      </c>
      <c r="B226" s="11" t="str">
        <f aca="false">DEC2HEX(C225)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LATIN_013C</v>
      </c>
      <c r="B227" s="11" t="str">
        <f aca="false">DEC2HEX(C226)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LATIN_013D</v>
      </c>
      <c r="B228" s="11" t="str">
        <f aca="false">DEC2HEX(C227)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LATIN_013E</v>
      </c>
      <c r="B229" s="11" t="str">
        <f aca="false">DEC2HEX(C228)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LATIN_013F</v>
      </c>
      <c r="B230" s="11" t="str">
        <f aca="false">DEC2HEX(C229)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LATIN_0140</v>
      </c>
      <c r="B231" s="11" t="str">
        <f aca="false">DEC2HEX(C230)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LATIN_0141</v>
      </c>
      <c r="B232" s="11" t="str">
        <f aca="false">DEC2HEX(C231)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LATIN_0142</v>
      </c>
      <c r="B233" s="11" t="str">
        <f aca="false">DEC2HEX(C232)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LATIN_0143</v>
      </c>
      <c r="B234" s="11" t="str">
        <f aca="false">DEC2HEX(C233)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LATIN_0144</v>
      </c>
      <c r="B235" s="11" t="str">
        <f aca="false">DEC2HEX(C234)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LATIN_0145</v>
      </c>
      <c r="B236" s="11" t="str">
        <f aca="false">DEC2HEX(C235)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LATIN_0146</v>
      </c>
      <c r="B237" s="11" t="str">
        <f aca="false">DEC2HEX(C236)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LATIN_0147</v>
      </c>
      <c r="B238" s="11" t="str">
        <f aca="false">DEC2HEX(C237)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LATIN_0148</v>
      </c>
      <c r="B239" s="11" t="str">
        <f aca="false">DEC2HEX(C238)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LATIN_0149</v>
      </c>
      <c r="B240" s="11" t="str">
        <f aca="false">DEC2HEX(C239)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LATIN_014A</v>
      </c>
      <c r="B241" s="11" t="str">
        <f aca="false">DEC2HEX(C240)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LATIN_014B</v>
      </c>
      <c r="B242" s="11" t="str">
        <f aca="false">DEC2HEX(C241)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LATIN_014C</v>
      </c>
      <c r="B243" s="11" t="str">
        <f aca="false">DEC2HEX(C242)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LATIN_014D</v>
      </c>
      <c r="B244" s="11" t="str">
        <f aca="false">DEC2HEX(C243)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LATIN_014E</v>
      </c>
      <c r="B245" s="11" t="str">
        <f aca="false">DEC2HEX(C244)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LATIN_014F</v>
      </c>
      <c r="B246" s="11" t="str">
        <f aca="false">DEC2HEX(C245)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LATIN_0150</v>
      </c>
      <c r="B247" s="11" t="str">
        <f aca="false">DEC2HEX(C246)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LATIN_0151</v>
      </c>
      <c r="B248" s="11" t="str">
        <f aca="false">DEC2HEX(C247)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LATIN_0152</v>
      </c>
      <c r="B249" s="11" t="str">
        <f aca="false">DEC2HEX(C248)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LATIN_0153</v>
      </c>
      <c r="B250" s="11" t="str">
        <f aca="false">DEC2HEX(C249)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LATIN_0154</v>
      </c>
      <c r="B251" s="11" t="str">
        <f aca="false">DEC2HEX(C250)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LATIN_0155</v>
      </c>
      <c r="B252" s="11" t="str">
        <f aca="false">DEC2HEX(C251)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LATIN_0156</v>
      </c>
      <c r="B253" s="11" t="str">
        <f aca="false">DEC2HEX(C252)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LATIN_0157</v>
      </c>
      <c r="B254" s="11" t="str">
        <f aca="false">DEC2HEX(C253)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LATIN_0158</v>
      </c>
      <c r="B255" s="11" t="str">
        <f aca="false">DEC2HEX(C254)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LATIN_0159</v>
      </c>
      <c r="B256" s="11" t="str">
        <f aca="false">DEC2HEX(C255)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LATIN_015A</v>
      </c>
      <c r="B257" s="11" t="str">
        <f aca="false">DEC2HEX(C256)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LATIN_015B</v>
      </c>
      <c r="B258" s="11" t="str">
        <f aca="false">DEC2HEX(C257)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LATIN_015C</v>
      </c>
      <c r="B259" s="11" t="str">
        <f aca="false">DEC2HEX(C258)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LATIN_015D</v>
      </c>
      <c r="B260" s="11" t="str">
        <f aca="false">DEC2HEX(C259)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LATIN_015E</v>
      </c>
      <c r="B261" s="11" t="str">
        <f aca="false">DEC2HEX(C260)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LATIN_015F</v>
      </c>
      <c r="B262" s="11" t="str">
        <f aca="false">DEC2HEX(C261)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LATIN_0160</v>
      </c>
      <c r="B263" s="11" t="str">
        <f aca="false">DEC2HEX(C262)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LATIN_0161</v>
      </c>
      <c r="B264" s="11" t="str">
        <f aca="false">DEC2HEX(C263)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LATIN_0162</v>
      </c>
      <c r="B265" s="11" t="str">
        <f aca="false">DEC2HEX(C264)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LATIN_0163</v>
      </c>
      <c r="B266" s="11" t="str">
        <f aca="false">DEC2HEX(C265)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LATIN_0164</v>
      </c>
      <c r="B267" s="11" t="str">
        <f aca="false">DEC2HEX(C266)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LATIN_0165</v>
      </c>
      <c r="B268" s="11" t="str">
        <f aca="false">DEC2HEX(C267)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LATIN_0166</v>
      </c>
      <c r="B269" s="11" t="str">
        <f aca="false">DEC2HEX(C268)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LATIN_0167</v>
      </c>
      <c r="B270" s="11" t="str">
        <f aca="false">DEC2HEX(C269)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LATIN_0168</v>
      </c>
      <c r="B271" s="11" t="str">
        <f aca="false">DEC2HEX(C270)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LATIN_0169</v>
      </c>
      <c r="B272" s="11" t="str">
        <f aca="false">DEC2HEX(C271)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LATIN_016A</v>
      </c>
      <c r="B273" s="11" t="str">
        <f aca="false">DEC2HEX(C272)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LATIN_016B</v>
      </c>
      <c r="B274" s="11" t="str">
        <f aca="false">DEC2HEX(C273)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LATIN_016C</v>
      </c>
      <c r="B275" s="11" t="str">
        <f aca="false">DEC2HEX(C274)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LATIN_016D</v>
      </c>
      <c r="B276" s="11" t="str">
        <f aca="false">DEC2HEX(C275)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LATIN_016E</v>
      </c>
      <c r="B277" s="11" t="str">
        <f aca="false">DEC2HEX(C276)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LATIN_016F</v>
      </c>
      <c r="B278" s="11" t="str">
        <f aca="false">DEC2HEX(C277)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LATIN_0170</v>
      </c>
      <c r="B279" s="11" t="str">
        <f aca="false">DEC2HEX(C278)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LATIN_0171</v>
      </c>
      <c r="B280" s="11" t="str">
        <f aca="false">DEC2HEX(C279)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LATIN_0172</v>
      </c>
      <c r="B281" s="11" t="str">
        <f aca="false">DEC2HEX(C280)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LATIN_0173</v>
      </c>
      <c r="B282" s="11" t="str">
        <f aca="false">DEC2HEX(C281)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LATIN_0174</v>
      </c>
      <c r="B283" s="11" t="str">
        <f aca="false">DEC2HEX(C282)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LATIN_0175</v>
      </c>
      <c r="B284" s="11" t="str">
        <f aca="false">DEC2HEX(C283)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LATIN_0176</v>
      </c>
      <c r="B285" s="11" t="str">
        <f aca="false">DEC2HEX(C284)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LATIN_0177</v>
      </c>
      <c r="B286" s="11" t="str">
        <f aca="false">DEC2HEX(C285)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LATIN_0178</v>
      </c>
      <c r="B287" s="11" t="str">
        <f aca="false">DEC2HEX(C286)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LATIN_0179</v>
      </c>
      <c r="B288" s="11" t="str">
        <f aca="false">DEC2HEX(C287)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LATIN_017A</v>
      </c>
      <c r="B289" s="11" t="str">
        <f aca="false">DEC2HEX(C288)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LATIN_017B</v>
      </c>
      <c r="B290" s="11" t="str">
        <f aca="false">DEC2HEX(C289)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LATIN_017C</v>
      </c>
      <c r="B291" s="11" t="str">
        <f aca="false">DEC2HEX(C290)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LATIN_017D</v>
      </c>
      <c r="B292" s="11" t="str">
        <f aca="false">DEC2HEX(C291)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LATIN_017E</v>
      </c>
      <c r="B293" s="11" t="str">
        <f aca="false">DEC2HEX(C292)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359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DEC2HEX(C449)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/>
      </c>
    </row>
    <row r="451" customFormat="false" ht="15" hidden="false" customHeight="false" outlineLevel="0" collapsed="false">
      <c r="A451" s="12" t="s">
        <v>448</v>
      </c>
      <c r="B451" s="9" t="str">
        <f aca="false">DEC2HEX(C450)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449</v>
      </c>
      <c r="B452" s="9" t="str">
        <f aca="false">DEC2HEX(C451)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450</v>
      </c>
      <c r="B453" s="9" t="str">
        <f aca="false">DEC2HEX(C452)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451</v>
      </c>
      <c r="B454" s="9" t="str">
        <f aca="false">DEC2HEX(C453)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452</v>
      </c>
      <c r="B455" s="9" t="str">
        <f aca="false">DEC2HEX(C454)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453</v>
      </c>
      <c r="B456" s="9" t="str">
        <f aca="false">DEC2HEX(C455)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454</v>
      </c>
      <c r="B457" s="9" t="str">
        <f aca="false">DEC2HEX(C456)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455</v>
      </c>
      <c r="B458" s="9" t="str">
        <f aca="false">DEC2HEX(C457)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456</v>
      </c>
      <c r="B459" s="9" t="str">
        <f aca="false">DEC2HEX(C458)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457</v>
      </c>
      <c r="B460" s="9" t="str">
        <f aca="false">DEC2HEX(C459)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458</v>
      </c>
      <c r="B461" s="9" t="str">
        <f aca="false">DEC2HEX(C460)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459</v>
      </c>
      <c r="B462" s="9" t="str">
        <f aca="false">DEC2HEX(C461)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460</v>
      </c>
      <c r="B463" s="9" t="str">
        <f aca="false">DEC2HEX(C462)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/>
      </c>
    </row>
    <row r="464" customFormat="false" ht="15" hidden="false" customHeight="false" outlineLevel="0" collapsed="false">
      <c r="A464" s="7" t="s">
        <v>461</v>
      </c>
      <c r="B464" s="9" t="str">
        <f aca="false">DEC2HEX(C463)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462</v>
      </c>
      <c r="B465" s="9" t="str">
        <f aca="false">DEC2HEX(C464)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463</v>
      </c>
      <c r="B466" s="9" t="str">
        <f aca="false">DEC2HEX(C465)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464</v>
      </c>
      <c r="B467" s="9" t="str">
        <f aca="false">DEC2HEX(C466)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465</v>
      </c>
      <c r="B468" s="9" t="str">
        <f aca="false">DEC2HEX(C467)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466</v>
      </c>
      <c r="B469" s="9" t="str">
        <f aca="false">DEC2HEX(C468)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467</v>
      </c>
      <c r="B470" s="9" t="str">
        <f aca="false">DEC2HEX(C469)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468</v>
      </c>
      <c r="B471" s="9" t="str">
        <f aca="false">DEC2HEX(C470)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469</v>
      </c>
      <c r="B472" s="9" t="str">
        <f aca="false">DEC2HEX(C471)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470</v>
      </c>
      <c r="B473" s="9" t="str">
        <f aca="false">DEC2HEX(C472)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471</v>
      </c>
      <c r="B474" s="9" t="str">
        <f aca="false">DEC2HEX(C473)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472</v>
      </c>
      <c r="B475" s="9" t="str">
        <f aca="false">DEC2HEX(C474)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473</v>
      </c>
      <c r="B476" s="9" t="str">
        <f aca="false">DEC2HEX(C475)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474</v>
      </c>
      <c r="B477" s="9" t="str">
        <f aca="false">DEC2HEX(C476)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475</v>
      </c>
      <c r="B478" s="9" t="str">
        <f aca="false">DEC2HEX(C477)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476</v>
      </c>
      <c r="B479" s="9" t="str">
        <f aca="false">DEC2HEX(C478)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477</v>
      </c>
      <c r="B480" s="9" t="str">
        <f aca="false">DEC2HEX(C479)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478</v>
      </c>
      <c r="B481" s="9" t="str">
        <f aca="false">DEC2HEX(C480)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479</v>
      </c>
      <c r="B482" s="9" t="str">
        <f aca="false">DEC2HEX(C481)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480</v>
      </c>
      <c r="B483" s="9" t="str">
        <f aca="false">DEC2HEX(C482)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481</v>
      </c>
      <c r="B484" s="9" t="str">
        <f aca="false">DEC2HEX(C483)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482</v>
      </c>
      <c r="B485" s="9" t="str">
        <f aca="false">DEC2HEX(C484)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483</v>
      </c>
      <c r="B486" s="9" t="str">
        <f aca="false">DEC2HEX(C485)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484</v>
      </c>
      <c r="B487" s="9" t="str">
        <f aca="false">DEC2HEX(C486)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485</v>
      </c>
      <c r="B488" s="9" t="str">
        <f aca="false">DEC2HEX(C487)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486</v>
      </c>
      <c r="B489" s="9" t="str">
        <f aca="false">DEC2HEX(C488)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487</v>
      </c>
      <c r="B490" s="9" t="str">
        <f aca="false">DEC2HEX(C489)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488</v>
      </c>
      <c r="B491" s="9" t="str">
        <f aca="false">DEC2HEX(C490)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489</v>
      </c>
      <c r="B492" s="9" t="str">
        <f aca="false">DEC2HEX(C491)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490</v>
      </c>
      <c r="B493" s="9" t="str">
        <f aca="false">DEC2HEX(C492)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491</v>
      </c>
      <c r="B494" s="9" t="str">
        <f aca="false">DEC2HEX(C493)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492</v>
      </c>
      <c r="B495" s="9" t="str">
        <f aca="false">DEC2HEX(C494)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493</v>
      </c>
      <c r="B496" s="9" t="str">
        <f aca="false">DEC2HEX(C495)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494</v>
      </c>
      <c r="B497" s="9" t="str">
        <f aca="false">DEC2HEX(C496)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495</v>
      </c>
      <c r="B498" s="9" t="str">
        <f aca="false">DEC2HEX(C497)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496</v>
      </c>
      <c r="B499" s="9" t="str">
        <f aca="false">DEC2HEX(C498)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497</v>
      </c>
      <c r="B500" s="9" t="str">
        <f aca="false">DEC2HEX(C499)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498</v>
      </c>
      <c r="B501" s="9" t="str">
        <f aca="false">DEC2HEX(C500)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499</v>
      </c>
      <c r="B502" s="9" t="str">
        <f aca="false">DEC2HEX(C501)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/>
      </c>
    </row>
    <row r="503" customFormat="false" ht="15" hidden="false" customHeight="false" outlineLevel="0" collapsed="false">
      <c r="A503" s="7" t="s">
        <v>500</v>
      </c>
      <c r="B503" s="9" t="str">
        <f aca="false">DEC2HEX(C502)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501</v>
      </c>
      <c r="B504" s="9" t="str">
        <f aca="false">DEC2HEX(C503)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502</v>
      </c>
      <c r="B505" s="9" t="str">
        <f aca="false">DEC2HEX(C504)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C550-C549</f>
        <v>352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DEC2HEX(C773+HEX2DEC(10000))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/>
      </c>
    </row>
    <row r="775" customFormat="false" ht="15" hidden="false" customHeight="false" outlineLevel="0" collapsed="false">
      <c r="A775" s="1" t="s">
        <v>948</v>
      </c>
      <c r="B775" s="11" t="str">
        <f aca="false">DEC2HEX(C774+HEX2DEC(10000))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949</v>
      </c>
      <c r="B776" s="11" t="str">
        <f aca="false">DEC2HEX(C775+HEX2DEC(10000))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950</v>
      </c>
      <c r="B777" s="11" t="str">
        <f aca="false">DEC2HEX(C776+HEX2DEC(10000))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951</v>
      </c>
      <c r="B778" s="11" t="str">
        <f aca="false">DEC2HEX(C777+HEX2DEC(10000))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952</v>
      </c>
      <c r="B779" s="11" t="str">
        <f aca="false">DEC2HEX(C778+HEX2DEC(10000))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953</v>
      </c>
      <c r="B780" s="11" t="str">
        <f aca="false">DEC2HEX(C779+HEX2DEC(10000))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954</v>
      </c>
      <c r="B781" s="11" t="str">
        <f aca="false">DEC2HEX(C780+HEX2DEC(10000))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955</v>
      </c>
      <c r="B782" s="11" t="str">
        <f aca="false">DEC2HEX(C781+HEX2DEC(10000))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956</v>
      </c>
      <c r="B783" s="11" t="str">
        <f aca="false">DEC2HEX(C782+HEX2DEC(10000))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957</v>
      </c>
      <c r="B784" s="11" t="str">
        <f aca="false">DEC2HEX(C783+HEX2DEC(10000))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958</v>
      </c>
      <c r="B785" s="11" t="str">
        <f aca="false">DEC2HEX(C784+HEX2DEC(10000))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959</v>
      </c>
      <c r="B786" s="11" t="str">
        <f aca="false">DEC2HEX(C785+HEX2DEC(10000))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960</v>
      </c>
      <c r="B787" s="11" t="str">
        <f aca="false">DEC2HEX(C786+HEX2DEC(10000))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961</v>
      </c>
      <c r="B788" s="11" t="str">
        <f aca="false">DEC2HEX(C787+HEX2DEC(10000))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962</v>
      </c>
      <c r="B789" s="11" t="str">
        <f aca="false">DEC2HEX(C788+HEX2DEC(10000))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963</v>
      </c>
      <c r="B790" s="11" t="str">
        <f aca="false">DEC2HEX(C789+HEX2DEC(10000))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964</v>
      </c>
      <c r="B791" s="11" t="str">
        <f aca="false">DEC2HEX(C790+HEX2DEC(10000))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965</v>
      </c>
      <c r="B792" s="11" t="str">
        <f aca="false">DEC2HEX(C791+HEX2DEC(10000))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966</v>
      </c>
      <c r="B793" s="11" t="str">
        <f aca="false">DEC2HEX(C792+HEX2DEC(10000))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967</v>
      </c>
      <c r="B794" s="11" t="str">
        <f aca="false">DEC2HEX(C793+HEX2DEC(10000))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968</v>
      </c>
      <c r="B795" s="11" t="str">
        <f aca="false">DEC2HEX(C794+HEX2DEC(10000))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969</v>
      </c>
      <c r="B796" s="11" t="str">
        <f aca="false">DEC2HEX(C795+HEX2DEC(10000))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970</v>
      </c>
      <c r="B797" s="11" t="str">
        <f aca="false">DEC2HEX(C796+HEX2DEC(10000))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971</v>
      </c>
      <c r="B798" s="11" t="str">
        <f aca="false">DEC2HEX(C797+HEX2DEC(10000))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972</v>
      </c>
      <c r="B799" s="11" t="str">
        <f aca="false">DEC2HEX(C798+HEX2DEC(10000))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973</v>
      </c>
      <c r="B800" s="11" t="str">
        <f aca="false">DEC2HEX(C799+HEX2DEC(10000))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974</v>
      </c>
      <c r="B801" s="11" t="str">
        <f aca="false">DEC2HEX(C800+HEX2DEC(10000))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975</v>
      </c>
      <c r="B802" s="11" t="str">
        <f aca="false">DEC2HEX(C801+HEX2DEC(10000))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976</v>
      </c>
      <c r="B803" s="11" t="str">
        <f aca="false">DEC2HEX(C802+HEX2DEC(10000))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977</v>
      </c>
      <c r="B804" s="11" t="str">
        <f aca="false">DEC2HEX(C803+HEX2DEC(10000))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978</v>
      </c>
      <c r="B805" s="11" t="str">
        <f aca="false">DEC2HEX(C804+HEX2DEC(10000))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979</v>
      </c>
      <c r="B806" s="11" t="str">
        <f aca="false">DEC2HEX(C805+HEX2DEC(10000))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980</v>
      </c>
      <c r="B807" s="11" t="str">
        <f aca="false">DEC2HEX(C806+HEX2DEC(10000))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981</v>
      </c>
      <c r="B808" s="11" t="str">
        <f aca="false">DEC2HEX(C807+HEX2DEC(10000))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982</v>
      </c>
      <c r="B809" s="11" t="str">
        <f aca="false">DEC2HEX(C808+HEX2DEC(10000))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983</v>
      </c>
      <c r="B810" s="11" t="str">
        <f aca="false">DEC2HEX(C809+HEX2DEC(10000))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984</v>
      </c>
      <c r="B811" s="11" t="str">
        <f aca="false">DEC2HEX(C810+HEX2DEC(10000))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985</v>
      </c>
      <c r="B812" s="11" t="str">
        <f aca="false">DEC2HEX(C811+HEX2DEC(10000))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986</v>
      </c>
      <c r="B813" s="11" t="str">
        <f aca="false">DEC2HEX(C812+HEX2DEC(10000))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987</v>
      </c>
      <c r="B814" s="11" t="str">
        <f aca="false">DEC2HEX(C813+HEX2DEC(10000))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988</v>
      </c>
      <c r="B815" s="11" t="str">
        <f aca="false">DEC2HEX(C814+HEX2DEC(10000))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989</v>
      </c>
      <c r="B816" s="11" t="str">
        <f aca="false">DEC2HEX(C815+HEX2DEC(10000))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990</v>
      </c>
      <c r="B817" s="11" t="str">
        <f aca="false">DEC2HEX(C816+HEX2DEC(10000))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991</v>
      </c>
      <c r="B818" s="11" t="str">
        <f aca="false">DEC2HEX(C817+HEX2DEC(10000))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992</v>
      </c>
      <c r="B819" s="11" t="str">
        <f aca="false">DEC2HEX(C818+HEX2DEC(10000))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993</v>
      </c>
      <c r="B820" s="11" t="str">
        <f aca="false">DEC2HEX(C819+HEX2DEC(10000))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994</v>
      </c>
      <c r="B821" s="11" t="str">
        <f aca="false">DEC2HEX(C820+HEX2DEC(10000))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995</v>
      </c>
      <c r="B822" s="11" t="str">
        <f aca="false">DEC2HEX(C821+HEX2DEC(10000))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996</v>
      </c>
      <c r="B823" s="11" t="str">
        <f aca="false">DEC2HEX(C822+HEX2DEC(10000))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997</v>
      </c>
      <c r="B824" s="11" t="str">
        <f aca="false">DEC2HEX(C823+HEX2DEC(10000))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998</v>
      </c>
      <c r="B825" s="11" t="str">
        <f aca="false">DEC2HEX(C824+HEX2DEC(10000))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999</v>
      </c>
      <c r="B826" s="11" t="str">
        <f aca="false">DEC2HEX(C825+HEX2DEC(10000))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/>
      </c>
    </row>
    <row r="827" customFormat="false" ht="15" hidden="false" customHeight="false" outlineLevel="0" collapsed="false">
      <c r="A827" s="1" t="s">
        <v>1000</v>
      </c>
      <c r="B827" s="11" t="str">
        <f aca="false">DEC2HEX(C826+HEX2DEC(10000))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1001</v>
      </c>
      <c r="B828" s="11" t="str">
        <f aca="false">DEC2HEX(C827+HEX2DEC(10000))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1002</v>
      </c>
      <c r="B829" s="11" t="str">
        <f aca="false">DEC2HEX(C828+HEX2DEC(10000))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1003</v>
      </c>
      <c r="B830" s="11" t="str">
        <f aca="false">DEC2HEX(C829+HEX2DEC(10000))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1004</v>
      </c>
      <c r="B831" s="11" t="str">
        <f aca="false">DEC2HEX(C830+HEX2DEC(10000))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1005</v>
      </c>
      <c r="B832" s="11" t="str">
        <f aca="false">DEC2HEX(C831+HEX2DEC(10000))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1006</v>
      </c>
      <c r="B833" s="11" t="str">
        <f aca="false">DEC2HEX(C832+HEX2DEC(10000))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1007</v>
      </c>
      <c r="B834" s="11" t="str">
        <f aca="false">DEC2HEX(C833+HEX2DEC(10000))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1008</v>
      </c>
      <c r="B835" s="11" t="str">
        <f aca="false">DEC2HEX(C834+HEX2DEC(10000))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1009</v>
      </c>
      <c r="B836" s="11" t="str">
        <f aca="false">DEC2HEX(C835+HEX2DEC(10000))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1010</v>
      </c>
      <c r="B837" s="11" t="str">
        <f aca="false">DEC2HEX(C836+HEX2DEC(10000))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1011</v>
      </c>
      <c r="B838" s="11" t="str">
        <f aca="false">DEC2HEX(C837+HEX2DEC(10000))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1012</v>
      </c>
      <c r="B839" s="11" t="str">
        <f aca="false">DEC2HEX(C838+HEX2DEC(10000))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1013</v>
      </c>
      <c r="B840" s="11" t="str">
        <f aca="false">DEC2HEX(C839+HEX2DEC(10000))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1014</v>
      </c>
      <c r="B841" s="11" t="str">
        <f aca="false">DEC2HEX(C840+HEX2DEC(10000))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1015</v>
      </c>
      <c r="B842" s="11" t="str">
        <f aca="false">DEC2HEX(C841+HEX2DEC(10000))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1016</v>
      </c>
      <c r="B843" s="11" t="str">
        <f aca="false">DEC2HEX(C842+HEX2DEC(10000))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/>
      </c>
    </row>
    <row r="844" customFormat="false" ht="15" hidden="false" customHeight="false" outlineLevel="0" collapsed="false">
      <c r="A844" s="1" t="str">
        <f aca="false">_xlfn.TEXTJOIN( , ,"PRIVATE_EMOJI_",DEC2HEX(C843+64768))</f>
        <v>PRIVATE_EMOJI_1F440</v>
      </c>
      <c r="B844" s="11" t="str">
        <f aca="false">DEC2HEX(C843+HEX2DEC("fd00"))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PRIVATE_EMOJI_1F441</v>
      </c>
      <c r="B845" s="11" t="str">
        <f aca="false">DEC2HEX(C844+HEX2DEC("fd00"))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PRIVATE_EMOJI_1F442</v>
      </c>
      <c r="B846" s="11" t="str">
        <f aca="false">DEC2HEX(C845+HEX2DEC("fd00"))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PRIVATE_EMOJI_1F443</v>
      </c>
      <c r="B847" s="11" t="str">
        <f aca="false">DEC2HEX(C846+HEX2DEC("fd00"))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PRIVATE_EMOJI_1F444</v>
      </c>
      <c r="B848" s="11" t="str">
        <f aca="false">DEC2HEX(C847+HEX2DEC("fd00"))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PRIVATE_EMOJI_1F445</v>
      </c>
      <c r="B849" s="11" t="str">
        <f aca="false">DEC2HEX(C848+HEX2DEC("fd00"))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PRIVATE_EMOJI_1F446</v>
      </c>
      <c r="B850" s="11" t="str">
        <f aca="false">DEC2HEX(C849+HEX2DEC("fd00"))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PRIVATE_EMOJI_1F447</v>
      </c>
      <c r="B851" s="11" t="str">
        <f aca="false">DEC2HEX(C850+HEX2DEC("fd00"))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PRIVATE_EMOJI_1F448</v>
      </c>
      <c r="B852" s="11" t="str">
        <f aca="false">DEC2HEX(C851+HEX2DEC("fd00"))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PRIVATE_EMOJI_1F449</v>
      </c>
      <c r="B853" s="11" t="str">
        <f aca="false">DEC2HEX(C852+HEX2DEC("fd00"))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PRIVATE_EMOJI_1F44A</v>
      </c>
      <c r="B854" s="11" t="str">
        <f aca="false">DEC2HEX(C853+HEX2DEC("fd00"))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PRIVATE_EMOJI_1F44B</v>
      </c>
      <c r="B855" s="11" t="str">
        <f aca="false">DEC2HEX(C854+HEX2DEC("fd00"))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PRIVATE_EMOJI_1F44C</v>
      </c>
      <c r="B856" s="11" t="str">
        <f aca="false">DEC2HEX(C855+HEX2DEC("fd00"))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PRIVATE_EMOJI_1F44D</v>
      </c>
      <c r="B857" s="11" t="str">
        <f aca="false">DEC2HEX(C856+HEX2DEC("fd00"))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PRIVATE_EMOJI_1F44E</v>
      </c>
      <c r="B858" s="11" t="str">
        <f aca="false">DEC2HEX(C857+HEX2DEC("fd00"))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PRIVATE_EMOJI_1F44F</v>
      </c>
      <c r="B859" s="11" t="str">
        <f aca="false">DEC2HEX(C858+HEX2DEC("fd00"))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PRIVATE_EMOJI_1F450</v>
      </c>
      <c r="B860" s="11" t="str">
        <f aca="false">DEC2HEX(C859+HEX2DEC("fd00"))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PRIVATE_EMOJI_1F451</v>
      </c>
      <c r="B861" s="11" t="str">
        <f aca="false">DEC2HEX(C860+HEX2DEC("fd00"))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PRIVATE_EMOJI_1F452</v>
      </c>
      <c r="B862" s="11" t="str">
        <f aca="false">DEC2HEX(C861+HEX2DEC("fd00"))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PRIVATE_EMOJI_1F453</v>
      </c>
      <c r="B863" s="11" t="str">
        <f aca="false">DEC2HEX(C862+HEX2DEC("fd00"))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PRIVATE_EMOJI_1F47B</v>
      </c>
      <c r="B864" s="11" t="str">
        <f aca="false">DEC2HEX(C863+HEX2DEC("fd00"))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24728</v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PRIVATE_EMOJI_1F47C</v>
      </c>
      <c r="B865" s="11" t="str">
        <f aca="false">DEC2HEX(C864+HEX2DEC("fd00"))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/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PRIVATE_EMOJI_1F47D</v>
      </c>
      <c r="B866" s="11" t="str">
        <f aca="false">DEC2HEX(C865+HEX2DEC("fd00"))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PRIVATE_EMOJI_1F47E</v>
      </c>
      <c r="B867" s="11" t="str">
        <f aca="false">DEC2HEX(C866+HEX2DEC("fd00"))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PRIVATE_EMOJI_1F47F</v>
      </c>
      <c r="B868" s="11" t="str">
        <f aca="false">DEC2HEX(C867+HEX2DEC("fd00"))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PRIVATE_EMOJI_1F480</v>
      </c>
      <c r="B869" s="11" t="str">
        <f aca="false">DEC2HEX(C868+HEX2DEC("fd00"))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PRIVATE_EMOJI_1F481</v>
      </c>
      <c r="B870" s="11" t="str">
        <f aca="false">DEC2HEX(C869+HEX2DEC("fd00"))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PRIVATE_EMOJI_1F482</v>
      </c>
      <c r="B871" s="11" t="str">
        <f aca="false">DEC2HEX(C870+HEX2DEC("fd00"))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PRIVATE_EMOJI_1F483</v>
      </c>
      <c r="B872" s="11" t="str">
        <f aca="false">DEC2HEX(C871+HEX2DEC("fd00"))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PRIVATE_EMOJI_1F484</v>
      </c>
      <c r="B873" s="11" t="str">
        <f aca="false">DEC2HEX(C872+HEX2DEC("fd00"))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PRIVATE_EMOJI_1F485</v>
      </c>
      <c r="B874" s="11" t="str">
        <f aca="false">DEC2HEX(C873+HEX2DEC("fd00"))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PRIVATE_EMOJI_1F489</v>
      </c>
      <c r="B875" s="11" t="str">
        <f aca="false">DEC2HEX(C874+HEX2DEC("fd00"))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PRIVATE_EMOJI_1F48A</v>
      </c>
      <c r="B876" s="11" t="str">
        <f aca="false">DEC2HEX(C875+HEX2DEC("fd00"))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PRIVATE_EMOJI_1F48B</v>
      </c>
      <c r="B877" s="11" t="str">
        <f aca="false">DEC2HEX(C876+HEX2DEC("fd00"))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PRIVATE_EMOJI_1F48C</v>
      </c>
      <c r="B878" s="11" t="str">
        <f aca="false">DEC2HEX(C877+HEX2DEC("fd00"))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PRIVATE_EMOJI_1F48D</v>
      </c>
      <c r="B879" s="11" t="str">
        <f aca="false">DEC2HEX(C878+HEX2DEC("fd00"))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PRIVATE_EMOJI_1F48E</v>
      </c>
      <c r="B880" s="11" t="str">
        <f aca="false">DEC2HEX(C879+HEX2DEC("fd00"))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PRIVATE_EMOJI_1F48F</v>
      </c>
      <c r="B881" s="11" t="str">
        <f aca="false">DEC2HEX(C880+HEX2DEC("fd00"))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PRIVATE_EMOJI_1F490</v>
      </c>
      <c r="B882" s="11" t="str">
        <f aca="false">DEC2HEX(C881+HEX2DEC("fd00"))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PRIVATE_EMOJI_1F491</v>
      </c>
      <c r="B883" s="11" t="str">
        <f aca="false">DEC2HEX(C882+HEX2DEC("fd00"))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PRIVATE_EMOJI_1F492</v>
      </c>
      <c r="B884" s="11" t="str">
        <f aca="false">DEC2HEX(C883+HEX2DEC("fd00"))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PRIVATE_EMOJI_1F493</v>
      </c>
      <c r="B885" s="11" t="str">
        <f aca="false">DEC2HEX(C884+HEX2DEC("fd00"))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PRIVATE_EMOJI_1F494</v>
      </c>
      <c r="B886" s="11" t="str">
        <f aca="false">DEC2HEX(C885+HEX2DEC("fd00"))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PRIVATE_EMOJI_1F495</v>
      </c>
      <c r="B887" s="11" t="str">
        <f aca="false">DEC2HEX(C886+HEX2DEC("fd00"))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PRIVATE_EMOJI_1F496</v>
      </c>
      <c r="B888" s="11" t="str">
        <f aca="false">DEC2HEX(C887+HEX2DEC("fd00"))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PRIVATE_EMOJI_1F4A1</v>
      </c>
      <c r="B889" s="11" t="str">
        <f aca="false">DEC2HEX(C888+HEX2DEC("fd00"))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38</v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PRIVATE_EMOJI_1F4A2</v>
      </c>
      <c r="B890" s="11" t="str">
        <f aca="false">DEC2HEX(C889+HEX2DEC("fd00"))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/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PRIVATE_EMOJI_1F4A3</v>
      </c>
      <c r="B891" s="11" t="str">
        <f aca="false">DEC2HEX(C890+HEX2DEC("fd00"))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PRIVATE_EMOJI_1F4A4</v>
      </c>
      <c r="B892" s="11" t="str">
        <f aca="false">DEC2HEX(C891+HEX2DEC("fd00"))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PRIVATE_EMOJI_1F4A5</v>
      </c>
      <c r="B893" s="11" t="str">
        <f aca="false">DEC2HEX(C892+HEX2DEC("fd00"))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PRIVATE_EMOJI_1F4A6</v>
      </c>
      <c r="B894" s="11" t="str">
        <f aca="false">DEC2HEX(C893+HEX2DEC("fd00"))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PRIVATE_EMOJI_1F4A7</v>
      </c>
      <c r="B895" s="11" t="str">
        <f aca="false">DEC2HEX(C894+HEX2DEC("fd00"))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PRIVATE_EMOJI_1F4A8</v>
      </c>
      <c r="B896" s="11" t="str">
        <f aca="false">DEC2HEX(C895+HEX2DEC("fd00"))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PRIVATE_EMOJI_1F4A9</v>
      </c>
      <c r="B897" s="11" t="str">
        <f aca="false">DEC2HEX(C896+HEX2DEC("fd00"))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PRIVATE_EMOJI_1F4AA</v>
      </c>
      <c r="B898" s="11" t="str">
        <f aca="false">DEC2HEX(C897+HEX2DEC("fd00"))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PRIVATE_EMOJI_1F4AB</v>
      </c>
      <c r="B899" s="11" t="str">
        <f aca="false">DEC2HEX(C898+HEX2DEC("fd00"))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PRIVATE_EMOJI_1F4AC</v>
      </c>
      <c r="B900" s="11" t="str">
        <f aca="false">DEC2HEX(C899+HEX2DEC("fd00"))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PRIVATE_EMOJI_1F4AD</v>
      </c>
      <c r="B901" s="11" t="str">
        <f aca="false">DEC2HEX(C900+HEX2DEC("fd00"))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PRIVATE_EMOJI_1F4AE</v>
      </c>
      <c r="B902" s="11" t="str">
        <f aca="false">DEC2HEX(C901+HEX2DEC("fd00"))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PRIVATE_EMOJI_1F4AF</v>
      </c>
      <c r="B903" s="11" t="str">
        <f aca="false">DEC2HEX(C902+HEX2DEC("fd00"))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PRIVATE_EMOJI_1F4B0</v>
      </c>
      <c r="B904" s="11" t="str">
        <f aca="false">DEC2HEX(C903+HEX2DEC("fd00"))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PRIVATE_EMOJI_1F4B1</v>
      </c>
      <c r="B905" s="11" t="str">
        <f aca="false">DEC2HEX(C904+HEX2DEC("fd00"))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,"PRIVATE_EMOJI_",DEC2HEX(C905+HEX2DEC(10100)))</f>
        <v>PRIVATE_EMOJI_1F912</v>
      </c>
      <c r="B906" s="11" t="str">
        <f aca="false">DEC2HEX(C905+HEX2DEC("10100"))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113</v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PRIVATE_EMOJI_1F913</v>
      </c>
      <c r="B907" s="11" t="str">
        <f aca="false">DEC2HEX(C906+HEX2DEC("10100"))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/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PRIVATE_EMOJI_1F914</v>
      </c>
      <c r="B908" s="11" t="str">
        <f aca="false">DEC2HEX(C907+HEX2DEC("10100"))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PRIVATE_EMOJI_1F915</v>
      </c>
      <c r="B909" s="11" t="str">
        <f aca="false">DEC2HEX(C908+HEX2DEC("10100"))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PRIVATE_EMOJI_1F916</v>
      </c>
      <c r="B910" s="11" t="str">
        <f aca="false">DEC2HEX(C909+HEX2DEC("10100"))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PRIVATE_EMOJI_1F917</v>
      </c>
      <c r="B911" s="11" t="str">
        <f aca="false">DEC2HEX(C910+HEX2DEC("10100"))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PRIVATE_EMOJI_1F918</v>
      </c>
      <c r="B912" s="11" t="str">
        <f aca="false">DEC2HEX(C911+HEX2DEC("10100"))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PRIVATE_EMOJI_1F919</v>
      </c>
      <c r="B913" s="11" t="str">
        <f aca="false">DEC2HEX(C912+HEX2DEC("10100"))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/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1763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CHEROKEE_13A0</t>
        </is>
      </c>
      <c r="B1721" t="inlineStr">
        <is>
          <t xml:space="preserve">13A0</t>
        </is>
      </c>
    </row>
    <row r="1722" customFormat="false" ht="12.8" hidden="false" customHeight="false" outlineLevel="0" collapsed="false">
      <c r="A1722" t="inlineStr">
        <is>
          <t xml:space="preserve">CHEROKEE_13A1</t>
        </is>
      </c>
      <c r="B1722" t="inlineStr">
        <is>
          <t xml:space="preserve">13A1</t>
        </is>
      </c>
    </row>
    <row r="1723" customFormat="false" ht="12.8" hidden="false" customHeight="false" outlineLevel="0" collapsed="false">
      <c r="A1723" t="inlineStr">
        <is>
          <t xml:space="preserve">CHEROKEE_13A2</t>
        </is>
      </c>
      <c r="B1723" t="inlineStr">
        <is>
          <t xml:space="preserve">13A2</t>
        </is>
      </c>
    </row>
    <row r="1724" customFormat="false" ht="12.8" hidden="false" customHeight="false" outlineLevel="0" collapsed="false">
      <c r="A1724" t="inlineStr">
        <is>
          <t xml:space="preserve">CHEROKEE_13A3</t>
        </is>
      </c>
      <c r="B1724" t="inlineStr">
        <is>
          <t xml:space="preserve">13A3</t>
        </is>
      </c>
    </row>
    <row r="1725" customFormat="false" ht="12.8" hidden="false" customHeight="false" outlineLevel="0" collapsed="false">
      <c r="A1725" t="inlineStr">
        <is>
          <t xml:space="preserve">CHEROKEE_13A4</t>
        </is>
      </c>
      <c r="B1725" t="inlineStr">
        <is>
          <t xml:space="preserve">13A4</t>
        </is>
      </c>
    </row>
    <row r="1726" customFormat="false" ht="12.8" hidden="false" customHeight="false" outlineLevel="0" collapsed="false">
      <c r="A1726" t="inlineStr">
        <is>
          <t xml:space="preserve">CHEROKEE_13A5</t>
        </is>
      </c>
      <c r="B1726" t="inlineStr">
        <is>
          <t xml:space="preserve">13A5</t>
        </is>
      </c>
    </row>
    <row r="1727" customFormat="false" ht="12.8" hidden="false" customHeight="false" outlineLevel="0" collapsed="false">
      <c r="A1727" t="inlineStr">
        <is>
          <t xml:space="preserve">CHEROKEE_13A6</t>
        </is>
      </c>
      <c r="B1727" t="inlineStr">
        <is>
          <t xml:space="preserve">13A6</t>
        </is>
      </c>
    </row>
    <row r="1728" customFormat="false" ht="12.8" hidden="false" customHeight="false" outlineLevel="0" collapsed="false">
      <c r="A1728" t="inlineStr">
        <is>
          <t xml:space="preserve">CHEROKEE_13A7</t>
        </is>
      </c>
      <c r="B1728" t="inlineStr">
        <is>
          <t xml:space="preserve">13A7</t>
        </is>
      </c>
    </row>
    <row r="1729" customFormat="false" ht="12.8" hidden="false" customHeight="false" outlineLevel="0" collapsed="false">
      <c r="A1729" t="inlineStr">
        <is>
          <t xml:space="preserve">CHEROKEE_13A8</t>
        </is>
      </c>
      <c r="B1729" t="inlineStr">
        <is>
          <t xml:space="preserve">13A8</t>
        </is>
      </c>
    </row>
    <row r="1730" customFormat="false" ht="12.8" hidden="false" customHeight="false" outlineLevel="0" collapsed="false">
      <c r="A1730" t="inlineStr">
        <is>
          <t xml:space="preserve">CHEROKEE_13A9</t>
        </is>
      </c>
      <c r="B1730" t="inlineStr">
        <is>
          <t xml:space="preserve">13A9</t>
        </is>
      </c>
    </row>
    <row r="1731" customFormat="false" ht="12.8" hidden="false" customHeight="false" outlineLevel="0" collapsed="false">
      <c r="A1731" t="inlineStr">
        <is>
          <t xml:space="preserve">CHEROKEE_13AA</t>
        </is>
      </c>
      <c r="B1731" t="inlineStr">
        <is>
          <t xml:space="preserve">13AA</t>
        </is>
      </c>
    </row>
    <row r="1732" customFormat="false" ht="12.8" hidden="false" customHeight="false" outlineLevel="0" collapsed="false">
      <c r="A1732" t="inlineStr">
        <is>
          <t xml:space="preserve">CHEROKEE_13AB</t>
        </is>
      </c>
      <c r="B1732" t="inlineStr">
        <is>
          <t xml:space="preserve">13AB</t>
        </is>
      </c>
    </row>
    <row r="1733" customFormat="false" ht="12.8" hidden="false" customHeight="false" outlineLevel="0" collapsed="false">
      <c r="A1733" t="inlineStr">
        <is>
          <t xml:space="preserve">CHEROKEE_13AC</t>
        </is>
      </c>
      <c r="B1733" t="inlineStr">
        <is>
          <t xml:space="preserve">13AC</t>
        </is>
      </c>
    </row>
    <row r="1734" customFormat="false" ht="12.8" hidden="false" customHeight="false" outlineLevel="0" collapsed="false">
      <c r="A1734" t="inlineStr">
        <is>
          <t xml:space="preserve">CHEROKEE_13AD</t>
        </is>
      </c>
      <c r="B1734" t="inlineStr">
        <is>
          <t xml:space="preserve">13AD</t>
        </is>
      </c>
    </row>
    <row r="1735" customFormat="false" ht="12.8" hidden="false" customHeight="false" outlineLevel="0" collapsed="false">
      <c r="A1735" t="inlineStr">
        <is>
          <t xml:space="preserve">CHEROKEE_13AE</t>
        </is>
      </c>
      <c r="B1735" t="inlineStr">
        <is>
          <t xml:space="preserve">13AE</t>
        </is>
      </c>
    </row>
    <row r="1736" customFormat="false" ht="12.8" hidden="false" customHeight="false" outlineLevel="0" collapsed="false">
      <c r="A1736" t="inlineStr">
        <is>
          <t xml:space="preserve">CHEROKEE_13AF</t>
        </is>
      </c>
      <c r="B1736" t="inlineStr">
        <is>
          <t xml:space="preserve">13AF</t>
        </is>
      </c>
    </row>
    <row r="1737" customFormat="false" ht="12.8" hidden="false" customHeight="false" outlineLevel="0" collapsed="false">
      <c r="A1737" t="inlineStr">
        <is>
          <t xml:space="preserve">CHEROKEE_13B0</t>
        </is>
      </c>
      <c r="B1737" t="inlineStr">
        <is>
          <t xml:space="preserve">13B0</t>
        </is>
      </c>
    </row>
    <row r="1738" customFormat="false" ht="12.8" hidden="false" customHeight="false" outlineLevel="0" collapsed="false">
      <c r="A1738" t="inlineStr">
        <is>
          <t xml:space="preserve">CHEROKEE_13B1</t>
        </is>
      </c>
      <c r="B1738" t="inlineStr">
        <is>
          <t xml:space="preserve">13B1</t>
        </is>
      </c>
    </row>
    <row r="1739" customFormat="false" ht="12.8" hidden="false" customHeight="false" outlineLevel="0" collapsed="false">
      <c r="A1739" t="inlineStr">
        <is>
          <t xml:space="preserve">CHEROKEE_13B2</t>
        </is>
      </c>
      <c r="B1739" t="inlineStr">
        <is>
          <t xml:space="preserve">13B2</t>
        </is>
      </c>
    </row>
    <row r="1740" customFormat="false" ht="12.8" hidden="false" customHeight="false" outlineLevel="0" collapsed="false">
      <c r="A1740" t="inlineStr">
        <is>
          <t xml:space="preserve">CHEROKEE_13B3</t>
        </is>
      </c>
      <c r="B1740" t="inlineStr">
        <is>
          <t xml:space="preserve">13B3</t>
        </is>
      </c>
    </row>
    <row r="1741" customFormat="false" ht="12.8" hidden="false" customHeight="false" outlineLevel="0" collapsed="false">
      <c r="A1741" t="inlineStr">
        <is>
          <t xml:space="preserve">CHEROKEE_13B4</t>
        </is>
      </c>
      <c r="B1741" t="inlineStr">
        <is>
          <t xml:space="preserve">13B4</t>
        </is>
      </c>
    </row>
    <row r="1742" customFormat="false" ht="12.8" hidden="false" customHeight="false" outlineLevel="0" collapsed="false">
      <c r="A1742" t="inlineStr">
        <is>
          <t xml:space="preserve">CHEROKEE_13B5</t>
        </is>
      </c>
      <c r="B1742" t="inlineStr">
        <is>
          <t xml:space="preserve">13B5</t>
        </is>
      </c>
    </row>
    <row r="1743" customFormat="false" ht="12.8" hidden="false" customHeight="false" outlineLevel="0" collapsed="false">
      <c r="A1743" t="inlineStr">
        <is>
          <t xml:space="preserve">CHEROKEE_13B6</t>
        </is>
      </c>
      <c r="B1743" t="inlineStr">
        <is>
          <t xml:space="preserve">13B6</t>
        </is>
      </c>
    </row>
    <row r="1744" customFormat="false" ht="12.8" hidden="false" customHeight="false" outlineLevel="0" collapsed="false">
      <c r="A1744" t="inlineStr">
        <is>
          <t xml:space="preserve">CHEROKEE_13B7</t>
        </is>
      </c>
      <c r="B1744" t="inlineStr">
        <is>
          <t xml:space="preserve">13B7</t>
        </is>
      </c>
    </row>
    <row r="1745" customFormat="false" ht="12.8" hidden="false" customHeight="false" outlineLevel="0" collapsed="false">
      <c r="A1745" t="inlineStr">
        <is>
          <t xml:space="preserve">CHEROKEE_13B8</t>
        </is>
      </c>
      <c r="B1745" t="inlineStr">
        <is>
          <t xml:space="preserve">13B8</t>
        </is>
      </c>
    </row>
    <row r="1746" customFormat="false" ht="12.8" hidden="false" customHeight="false" outlineLevel="0" collapsed="false">
      <c r="A1746" t="inlineStr">
        <is>
          <t xml:space="preserve">CHEROKEE_13B9</t>
        </is>
      </c>
      <c r="B1746" t="inlineStr">
        <is>
          <t xml:space="preserve">13B9</t>
        </is>
      </c>
    </row>
    <row r="1747" customFormat="false" ht="12.8" hidden="false" customHeight="false" outlineLevel="0" collapsed="false">
      <c r="A1747" t="inlineStr">
        <is>
          <t xml:space="preserve">CHEROKEE_13BA</t>
        </is>
      </c>
      <c r="B1747" t="inlineStr">
        <is>
          <t xml:space="preserve">13BA</t>
        </is>
      </c>
    </row>
    <row r="1748" customFormat="false" ht="12.8" hidden="false" customHeight="false" outlineLevel="0" collapsed="false">
      <c r="A1748" t="inlineStr">
        <is>
          <t xml:space="preserve">CHEROKEE_13BB</t>
        </is>
      </c>
      <c r="B1748" t="inlineStr">
        <is>
          <t xml:space="preserve">13BB</t>
        </is>
      </c>
    </row>
    <row r="1749" customFormat="false" ht="12.8" hidden="false" customHeight="false" outlineLevel="0" collapsed="false">
      <c r="A1749" t="inlineStr">
        <is>
          <t xml:space="preserve">CHEROKEE_13BC</t>
        </is>
      </c>
      <c r="B1749" t="inlineStr">
        <is>
          <t xml:space="preserve">13BC</t>
        </is>
      </c>
    </row>
    <row r="1750" customFormat="false" ht="12.8" hidden="false" customHeight="false" outlineLevel="0" collapsed="false">
      <c r="A1750" t="inlineStr">
        <is>
          <t xml:space="preserve">CHEROKEE_13BD</t>
        </is>
      </c>
      <c r="B1750" t="inlineStr">
        <is>
          <t xml:space="preserve">13BD</t>
        </is>
      </c>
    </row>
    <row r="1751" customFormat="false" ht="12.8" hidden="false" customHeight="false" outlineLevel="0" collapsed="false">
      <c r="A1751" t="inlineStr">
        <is>
          <t xml:space="preserve">CHEROKEE_13BE</t>
        </is>
      </c>
      <c r="B1751" t="inlineStr">
        <is>
          <t xml:space="preserve">13BE</t>
        </is>
      </c>
    </row>
    <row r="1752" customFormat="false" ht="12.8" hidden="false" customHeight="false" outlineLevel="0" collapsed="false">
      <c r="A1752" t="inlineStr">
        <is>
          <t xml:space="preserve">CHEROKEE_13BF</t>
        </is>
      </c>
      <c r="B1752" t="inlineStr">
        <is>
          <t xml:space="preserve">13BF</t>
        </is>
      </c>
    </row>
    <row r="1753" customFormat="false" ht="12.8" hidden="false" customHeight="false" outlineLevel="0" collapsed="false">
      <c r="A1753" t="inlineStr">
        <is>
          <t xml:space="preserve">CHEROKEE_13C1</t>
        </is>
      </c>
      <c r="B1753" t="inlineStr">
        <is>
          <t xml:space="preserve">13C1</t>
        </is>
      </c>
    </row>
    <row r="1754" customFormat="false" ht="12.8" hidden="false" customHeight="false" outlineLevel="0" collapsed="false">
      <c r="A1754" t="inlineStr">
        <is>
          <t xml:space="preserve">CHEROKEE_13C2</t>
        </is>
      </c>
      <c r="B1754" t="inlineStr">
        <is>
          <t xml:space="preserve">13C2</t>
        </is>
      </c>
    </row>
    <row r="1755" customFormat="false" ht="12.8" hidden="false" customHeight="false" outlineLevel="0" collapsed="false">
      <c r="A1755" t="inlineStr">
        <is>
          <t xml:space="preserve">CHEROKEE_13C3</t>
        </is>
      </c>
      <c r="B1755" t="inlineStr">
        <is>
          <t xml:space="preserve">13C3</t>
        </is>
      </c>
    </row>
    <row r="1756" customFormat="false" ht="12.8" hidden="false" customHeight="false" outlineLevel="0" collapsed="false">
      <c r="A1756" t="inlineStr">
        <is>
          <t xml:space="preserve">CHEROKEE_13C4</t>
        </is>
      </c>
      <c r="B1756" t="inlineStr">
        <is>
          <t xml:space="preserve">13C4</t>
        </is>
      </c>
    </row>
    <row r="1757" customFormat="false" ht="12.8" hidden="false" customHeight="false" outlineLevel="0" collapsed="false">
      <c r="A1757" t="inlineStr">
        <is>
          <t xml:space="preserve">CHEROKEE_13C5</t>
        </is>
      </c>
      <c r="B1757" t="inlineStr">
        <is>
          <t xml:space="preserve">13C5</t>
        </is>
      </c>
    </row>
    <row r="1758" customFormat="false" ht="12.8" hidden="false" customHeight="false" outlineLevel="0" collapsed="false">
      <c r="A1758" t="inlineStr">
        <is>
          <t xml:space="preserve">CHEROKEE_13C6</t>
        </is>
      </c>
      <c r="B1758" t="inlineStr">
        <is>
          <t xml:space="preserve">13C6</t>
        </is>
      </c>
    </row>
    <row r="1759" customFormat="false" ht="12.8" hidden="false" customHeight="false" outlineLevel="0" collapsed="false">
      <c r="A1759" t="inlineStr">
        <is>
          <t xml:space="preserve">CHEROKEE_13C7</t>
        </is>
      </c>
      <c r="B1759" t="inlineStr">
        <is>
          <t xml:space="preserve">13C7</t>
        </is>
      </c>
    </row>
    <row r="1760" customFormat="false" ht="12.8" hidden="false" customHeight="false" outlineLevel="0" collapsed="false">
      <c r="A1760" t="inlineStr">
        <is>
          <t xml:space="preserve">CHEROKEE_13C8</t>
        </is>
      </c>
      <c r="B1760" t="inlineStr">
        <is>
          <t xml:space="preserve">13C8</t>
        </is>
      </c>
    </row>
    <row r="1761" customFormat="false" ht="12.8" hidden="false" customHeight="false" outlineLevel="0" collapsed="false">
      <c r="A1761" t="inlineStr">
        <is>
          <t xml:space="preserve">CHEROKEE_13C9</t>
        </is>
      </c>
      <c r="B1761" t="inlineStr">
        <is>
          <t xml:space="preserve">13C9</t>
        </is>
      </c>
    </row>
    <row r="1762" customFormat="false" ht="12.8" hidden="false" customHeight="false" outlineLevel="0" collapsed="false">
      <c r="A1762" t="inlineStr">
        <is>
          <t xml:space="preserve">CHEROKEE_13CA</t>
        </is>
      </c>
      <c r="B1762" t="inlineStr">
        <is>
          <t xml:space="preserve">13CA</t>
        </is>
      </c>
    </row>
    <row r="1763" customFormat="false" ht="12.8" hidden="false" customHeight="false" outlineLevel="0" collapsed="false">
      <c r="A1763" t="inlineStr">
        <is>
          <t xml:space="preserve">CHEROKEE_13CB</t>
        </is>
      </c>
      <c r="B1763" t="inlineStr">
        <is>
          <t xml:space="preserve">13CB</t>
        </is>
      </c>
    </row>
    <row r="1764" customFormat="false" ht="12.8" hidden="false" customHeight="false" outlineLevel="0" collapsed="false">
      <c r="A1764" t="inlineStr">
        <is>
          <t xml:space="preserve">CHEROKEE_13CC</t>
        </is>
      </c>
      <c r="B1764" t="inlineStr">
        <is>
          <t xml:space="preserve">13CC</t>
        </is>
      </c>
    </row>
    <row r="1765" customFormat="false" ht="12.8" hidden="false" customHeight="false" outlineLevel="0" collapsed="false">
      <c r="A1765" t="inlineStr">
        <is>
          <t xml:space="preserve">CHEROKEE_13CD</t>
        </is>
      </c>
      <c r="B1765" t="inlineStr">
        <is>
          <t xml:space="preserve">13CD</t>
        </is>
      </c>
    </row>
    <row r="1766" customFormat="false" ht="12.8" hidden="false" customHeight="false" outlineLevel="0" collapsed="false">
      <c r="A1766" t="inlineStr">
        <is>
          <t xml:space="preserve">CHEROKEE_13CE</t>
        </is>
      </c>
      <c r="B1766" t="inlineStr">
        <is>
          <t xml:space="preserve">13CE</t>
        </is>
      </c>
    </row>
    <row r="1767" customFormat="false" ht="12.8" hidden="false" customHeight="false" outlineLevel="0" collapsed="false">
      <c r="A1767" t="inlineStr">
        <is>
          <t xml:space="preserve">CHEROKEE_13CF</t>
        </is>
      </c>
      <c r="B1767" t="inlineStr">
        <is>
          <t xml:space="preserve">13CF</t>
        </is>
      </c>
    </row>
    <row r="1768" customFormat="false" ht="12.8" hidden="false" customHeight="false" outlineLevel="0" collapsed="false">
      <c r="A1768" t="inlineStr">
        <is>
          <t xml:space="preserve">CHEROKEE_13D0</t>
        </is>
      </c>
      <c r="B1768" t="inlineStr">
        <is>
          <t xml:space="preserve">13D0</t>
        </is>
      </c>
    </row>
    <row r="1769" customFormat="false" ht="12.8" hidden="false" customHeight="false" outlineLevel="0" collapsed="false">
      <c r="A1769" t="inlineStr">
        <is>
          <t xml:space="preserve">CHEROKEE_13D1</t>
        </is>
      </c>
      <c r="B1769" t="inlineStr">
        <is>
          <t xml:space="preserve">13D1</t>
        </is>
      </c>
    </row>
    <row r="1770" customFormat="false" ht="12.8" hidden="false" customHeight="false" outlineLevel="0" collapsed="false">
      <c r="A1770" t="inlineStr">
        <is>
          <t xml:space="preserve">CHEROKEE_13D2</t>
        </is>
      </c>
      <c r="B1770" t="inlineStr">
        <is>
          <t xml:space="preserve">13D2</t>
        </is>
      </c>
    </row>
    <row r="1771" customFormat="false" ht="12.8" hidden="false" customHeight="false" outlineLevel="0" collapsed="false">
      <c r="A1771" t="inlineStr">
        <is>
          <t xml:space="preserve">CHEROKEE_13D3</t>
        </is>
      </c>
      <c r="B1771" t="inlineStr">
        <is>
          <t xml:space="preserve">13D3</t>
        </is>
      </c>
    </row>
    <row r="1772" customFormat="false" ht="12.8" hidden="false" customHeight="false" outlineLevel="0" collapsed="false">
      <c r="A1772" t="inlineStr">
        <is>
          <t xml:space="preserve">CHEROKEE_13D4</t>
        </is>
      </c>
      <c r="B1772" t="inlineStr">
        <is>
          <t xml:space="preserve">13D4</t>
        </is>
      </c>
    </row>
    <row r="1773" customFormat="false" ht="12.8" hidden="false" customHeight="false" outlineLevel="0" collapsed="false">
      <c r="A1773" t="inlineStr">
        <is>
          <t xml:space="preserve">CHEROKEE_13D5</t>
        </is>
      </c>
      <c r="B1773" t="inlineStr">
        <is>
          <t xml:space="preserve">13D5</t>
        </is>
      </c>
    </row>
    <row r="1774" customFormat="false" ht="12.8" hidden="false" customHeight="false" outlineLevel="0" collapsed="false">
      <c r="A1774" t="inlineStr">
        <is>
          <t xml:space="preserve">CHEROKEE_13D6</t>
        </is>
      </c>
      <c r="B1774" t="inlineStr">
        <is>
          <t xml:space="preserve">13D6</t>
        </is>
      </c>
    </row>
    <row r="1775" customFormat="false" ht="12.8" hidden="false" customHeight="false" outlineLevel="0" collapsed="false">
      <c r="A1775" t="inlineStr">
        <is>
          <t xml:space="preserve">CHEROKEE_13D7</t>
        </is>
      </c>
      <c r="B1775" t="inlineStr">
        <is>
          <t xml:space="preserve">13D7</t>
        </is>
      </c>
    </row>
    <row r="1776" customFormat="false" ht="12.8" hidden="false" customHeight="false" outlineLevel="0" collapsed="false">
      <c r="A1776" t="inlineStr">
        <is>
          <t xml:space="preserve">CHEROKEE_13D8</t>
        </is>
      </c>
      <c r="B1776" t="inlineStr">
        <is>
          <t xml:space="preserve">13D8</t>
        </is>
      </c>
    </row>
    <row r="1777" customFormat="false" ht="12.8" hidden="false" customHeight="false" outlineLevel="0" collapsed="false">
      <c r="A1777" t="inlineStr">
        <is>
          <t xml:space="preserve">CHEROKEE_13D9</t>
        </is>
      </c>
      <c r="B1777" t="inlineStr">
        <is>
          <t xml:space="preserve">13D9</t>
        </is>
      </c>
    </row>
    <row r="1778" customFormat="false" ht="12.8" hidden="false" customHeight="false" outlineLevel="0" collapsed="false">
      <c r="A1778" t="inlineStr">
        <is>
          <t xml:space="preserve">CHEROKEE_13DA</t>
        </is>
      </c>
      <c r="B1778" t="inlineStr">
        <is>
          <t xml:space="preserve">13DA</t>
        </is>
      </c>
    </row>
    <row r="1779" customFormat="false" ht="12.8" hidden="false" customHeight="false" outlineLevel="0" collapsed="false">
      <c r="A1779" t="inlineStr">
        <is>
          <t xml:space="preserve">CHEROKEE_13DB</t>
        </is>
      </c>
      <c r="B1779" t="inlineStr">
        <is>
          <t xml:space="preserve">13DB</t>
        </is>
      </c>
    </row>
    <row r="1780" customFormat="false" ht="12.8" hidden="false" customHeight="false" outlineLevel="0" collapsed="false">
      <c r="A1780" t="inlineStr">
        <is>
          <t xml:space="preserve">CHEROKEE_13DC</t>
        </is>
      </c>
      <c r="B1780" t="inlineStr">
        <is>
          <t xml:space="preserve">13DC</t>
        </is>
      </c>
    </row>
    <row r="1781" customFormat="false" ht="12.8" hidden="false" customHeight="false" outlineLevel="0" collapsed="false">
      <c r="A1781" t="inlineStr">
        <is>
          <t xml:space="preserve">CHEROKEE_13DD</t>
        </is>
      </c>
      <c r="B1781" t="inlineStr">
        <is>
          <t xml:space="preserve">13DD</t>
        </is>
      </c>
    </row>
    <row r="1782" customFormat="false" ht="12.8" hidden="false" customHeight="false" outlineLevel="0" collapsed="false">
      <c r="A1782" t="inlineStr">
        <is>
          <t xml:space="preserve">CHEROKEE_13DE</t>
        </is>
      </c>
      <c r="B1782" t="inlineStr">
        <is>
          <t xml:space="preserve">13DE</t>
        </is>
      </c>
    </row>
    <row r="1783" customFormat="false" ht="12.8" hidden="false" customHeight="false" outlineLevel="0" collapsed="false">
      <c r="A1783" t="inlineStr">
        <is>
          <t xml:space="preserve">CHEROKEE_13DF</t>
        </is>
      </c>
      <c r="B1783" t="inlineStr">
        <is>
          <t xml:space="preserve">13DF</t>
        </is>
      </c>
    </row>
    <row r="1784" customFormat="false" ht="12.8" hidden="false" customHeight="false" outlineLevel="0" collapsed="false">
      <c r="A1784" t="inlineStr">
        <is>
          <t xml:space="preserve">CHEROKEE_13E0</t>
        </is>
      </c>
      <c r="B1784" t="inlineStr">
        <is>
          <t xml:space="preserve">13E0</t>
        </is>
      </c>
    </row>
    <row r="1785" customFormat="false" ht="12.8" hidden="false" customHeight="false" outlineLevel="0" collapsed="false">
      <c r="A1785" t="inlineStr">
        <is>
          <t xml:space="preserve">CHEROKEE_13E1</t>
        </is>
      </c>
      <c r="B1785" t="inlineStr">
        <is>
          <t xml:space="preserve">13E1</t>
        </is>
      </c>
    </row>
    <row r="1786" customFormat="false" ht="12.8" hidden="false" customHeight="false" outlineLevel="0" collapsed="false">
      <c r="A1786" t="inlineStr">
        <is>
          <t xml:space="preserve">CHEROKEE_13E2</t>
        </is>
      </c>
      <c r="B1786" t="inlineStr">
        <is>
          <t xml:space="preserve">13E2</t>
        </is>
      </c>
    </row>
    <row r="1787" customFormat="false" ht="12.8" hidden="false" customHeight="false" outlineLevel="0" collapsed="false">
      <c r="A1787" t="inlineStr">
        <is>
          <t xml:space="preserve">CHEROKEE_13E3</t>
        </is>
      </c>
      <c r="B1787" t="inlineStr">
        <is>
          <t xml:space="preserve">13E3</t>
        </is>
      </c>
    </row>
    <row r="1788" customFormat="false" ht="12.8" hidden="false" customHeight="false" outlineLevel="0" collapsed="false">
      <c r="A1788" t="inlineStr">
        <is>
          <t xml:space="preserve">CHEROKEE_13E4</t>
        </is>
      </c>
      <c r="B1788" t="inlineStr">
        <is>
          <t xml:space="preserve">13E4</t>
        </is>
      </c>
    </row>
    <row r="1789" customFormat="false" ht="12.8" hidden="false" customHeight="false" outlineLevel="0" collapsed="false">
      <c r="A1789" t="inlineStr">
        <is>
          <t xml:space="preserve">CHEROKEE_13E5</t>
        </is>
      </c>
      <c r="B1789" t="inlineStr">
        <is>
          <t xml:space="preserve">13E5</t>
        </is>
      </c>
    </row>
    <row r="1790" customFormat="false" ht="12.8" hidden="false" customHeight="false" outlineLevel="0" collapsed="false">
      <c r="A1790" t="inlineStr">
        <is>
          <t xml:space="preserve">CHEROKEE_13E6</t>
        </is>
      </c>
      <c r="B1790" t="inlineStr">
        <is>
          <t xml:space="preserve">13E6</t>
        </is>
      </c>
    </row>
    <row r="1791" customFormat="false" ht="12.8" hidden="false" customHeight="false" outlineLevel="0" collapsed="false">
      <c r="A1791" t="inlineStr">
        <is>
          <t xml:space="preserve">CHEROKEE_13E7</t>
        </is>
      </c>
      <c r="B1791" t="inlineStr">
        <is>
          <t xml:space="preserve">13E7</t>
        </is>
      </c>
    </row>
    <row r="1792" customFormat="false" ht="12.8" hidden="false" customHeight="false" outlineLevel="0" collapsed="false">
      <c r="A1792" t="inlineStr">
        <is>
          <t xml:space="preserve">CHEROKEE_13E8</t>
        </is>
      </c>
      <c r="B1792" t="inlineStr">
        <is>
          <t xml:space="preserve">13E8</t>
        </is>
      </c>
    </row>
    <row r="1793" customFormat="false" ht="12.8" hidden="false" customHeight="false" outlineLevel="0" collapsed="false">
      <c r="A1793" t="inlineStr">
        <is>
          <t xml:space="preserve">CHEROKEE_13E9</t>
        </is>
      </c>
      <c r="B1793" t="inlineStr">
        <is>
          <t xml:space="preserve">13E9</t>
        </is>
      </c>
    </row>
    <row r="1794" customFormat="false" ht="12.8" hidden="false" customHeight="false" outlineLevel="0" collapsed="false">
      <c r="A1794" t="inlineStr">
        <is>
          <t xml:space="preserve">CHEROKEE_13EA</t>
        </is>
      </c>
      <c r="B1794" t="inlineStr">
        <is>
          <t xml:space="preserve">13EA</t>
        </is>
      </c>
    </row>
    <row r="1795" customFormat="false" ht="12.8" hidden="false" customHeight="false" outlineLevel="0" collapsed="false">
      <c r="A1795" t="inlineStr">
        <is>
          <t xml:space="preserve">CHEROKEE_13EB</t>
        </is>
      </c>
      <c r="B1795" t="inlineStr">
        <is>
          <t xml:space="preserve">13EB</t>
        </is>
      </c>
    </row>
    <row r="1796" customFormat="false" ht="12.8" hidden="false" customHeight="false" outlineLevel="0" collapsed="false">
      <c r="A1796" t="inlineStr">
        <is>
          <t xml:space="preserve">CHEROKEE_13EC</t>
        </is>
      </c>
      <c r="B1796" t="inlineStr">
        <is>
          <t xml:space="preserve">13EC</t>
        </is>
      </c>
    </row>
    <row r="1797" customFormat="false" ht="12.8" hidden="false" customHeight="false" outlineLevel="0" collapsed="false">
      <c r="A1797" t="inlineStr">
        <is>
          <t xml:space="preserve">CHEROKEE_13ED</t>
        </is>
      </c>
      <c r="B1797" t="inlineStr">
        <is>
          <t xml:space="preserve">13ED</t>
        </is>
      </c>
    </row>
    <row r="1798" customFormat="false" ht="12.8" hidden="false" customHeight="false" outlineLevel="0" collapsed="false">
      <c r="A1798" t="inlineStr">
        <is>
          <t xml:space="preserve">CHEROKEE_13EE</t>
        </is>
      </c>
      <c r="B1798" t="inlineStr">
        <is>
          <t xml:space="preserve">13EE</t>
        </is>
      </c>
    </row>
    <row r="1799" customFormat="false" ht="12.8" hidden="false" customHeight="false" outlineLevel="0" collapsed="false">
      <c r="A1799" t="inlineStr">
        <is>
          <t xml:space="preserve">CHEROKEE_13EF</t>
        </is>
      </c>
      <c r="B1799" t="inlineStr">
        <is>
          <t xml:space="preserve">13EF</t>
        </is>
      </c>
    </row>
    <row r="1800" customFormat="false" ht="12.8" hidden="false" customHeight="false" outlineLevel="0" collapsed="false">
      <c r="A1800" t="inlineStr">
        <is>
          <t xml:space="preserve">CHEROKEE_13F0</t>
        </is>
      </c>
      <c r="B1800" t="inlineStr">
        <is>
          <t xml:space="preserve">13F0</t>
        </is>
      </c>
    </row>
    <row r="1801" customFormat="false" ht="12.8" hidden="false" customHeight="false" outlineLevel="0" collapsed="false">
      <c r="A1801" t="inlineStr">
        <is>
          <t xml:space="preserve">CHEROKEE_13F1</t>
        </is>
      </c>
      <c r="B1801" t="inlineStr">
        <is>
          <t xml:space="preserve">13F1</t>
        </is>
      </c>
    </row>
    <row r="1802" customFormat="false" ht="12.8" hidden="false" customHeight="false" outlineLevel="0" collapsed="false">
      <c r="A1802" t="inlineStr">
        <is>
          <t xml:space="preserve">CHEROKEE_13F2</t>
        </is>
      </c>
      <c r="B1802" t="inlineStr">
        <is>
          <t xml:space="preserve">13F2</t>
        </is>
      </c>
    </row>
    <row r="1803" customFormat="false" ht="12.8" hidden="false" customHeight="false" outlineLevel="0" collapsed="false">
      <c r="A1803" t="inlineStr">
        <is>
          <t xml:space="preserve">CHEROKEE_13F3</t>
        </is>
      </c>
      <c r="B1803" t="inlineStr">
        <is>
          <t xml:space="preserve">13F3</t>
        </is>
      </c>
    </row>
    <row r="1804" customFormat="false" ht="12.8" hidden="false" customHeight="false" outlineLevel="0" collapsed="false">
      <c r="A1804" t="inlineStr">
        <is>
          <t xml:space="preserve">CHEROKEE_13F4</t>
        </is>
      </c>
      <c r="B1804" t="inlineStr">
        <is>
          <t xml:space="preserve">13F4</t>
        </is>
      </c>
    </row>
    <row r="1805" customFormat="false" ht="12.8" hidden="false" customHeight="false" outlineLevel="0" collapsed="false">
      <c r="A1805" t="inlineStr">
        <is>
          <t xml:space="preserve">UCAS_1401</t>
        </is>
      </c>
      <c r="B1805" t="inlineStr">
        <is>
          <t xml:space="preserve">1401</t>
        </is>
      </c>
    </row>
    <row r="1806" customFormat="false" ht="12.8" hidden="false" customHeight="false" outlineLevel="0" collapsed="false">
      <c r="A1806" t="inlineStr">
        <is>
          <t xml:space="preserve">UCAS_1403</t>
        </is>
      </c>
      <c r="B1806" t="inlineStr">
        <is>
          <t xml:space="preserve">1403</t>
        </is>
      </c>
    </row>
    <row r="1807" customFormat="false" ht="12.8" hidden="false" customHeight="false" outlineLevel="0" collapsed="false">
      <c r="A1807" t="inlineStr">
        <is>
          <t xml:space="preserve">UCAS_1405</t>
        </is>
      </c>
      <c r="B1807" t="inlineStr">
        <is>
          <t xml:space="preserve">1405</t>
        </is>
      </c>
    </row>
    <row r="1808" customFormat="false" ht="12.8" hidden="false" customHeight="false" outlineLevel="0" collapsed="false">
      <c r="A1808" t="inlineStr">
        <is>
          <t xml:space="preserve">UCAS_140A</t>
        </is>
      </c>
      <c r="B1808" t="inlineStr">
        <is>
          <t xml:space="preserve">140A</t>
        </is>
      </c>
    </row>
    <row r="1809" customFormat="false" ht="12.8" hidden="false" customHeight="false" outlineLevel="0" collapsed="false">
      <c r="A1809" t="inlineStr">
        <is>
          <t xml:space="preserve">UCAS_1417</t>
        </is>
      </c>
      <c r="B1809" t="inlineStr">
        <is>
          <t xml:space="preserve">1417</t>
        </is>
      </c>
    </row>
    <row r="1810" customFormat="false" ht="12.8" hidden="false" customHeight="false" outlineLevel="0" collapsed="false">
      <c r="A1810" t="inlineStr">
        <is>
          <t xml:space="preserve">UCAS_141E</t>
        </is>
      </c>
      <c r="B1810" t="inlineStr">
        <is>
          <t xml:space="preserve">141E</t>
        </is>
      </c>
    </row>
    <row r="1811" customFormat="false" ht="12.8" hidden="false" customHeight="false" outlineLevel="0" collapsed="false">
      <c r="A1811" t="inlineStr">
        <is>
          <t xml:space="preserve">UCAS_1431</t>
        </is>
      </c>
      <c r="B1811" t="inlineStr">
        <is>
          <t xml:space="preserve">1431</t>
        </is>
      </c>
    </row>
    <row r="1812" customFormat="false" ht="12.8" hidden="false" customHeight="false" outlineLevel="0" collapsed="false">
      <c r="A1812" t="inlineStr">
        <is>
          <t xml:space="preserve">UCAS_1433</t>
        </is>
      </c>
      <c r="B1812" t="inlineStr">
        <is>
          <t xml:space="preserve">1433</t>
        </is>
      </c>
    </row>
    <row r="1813" customFormat="false" ht="12.8" hidden="false" customHeight="false" outlineLevel="0" collapsed="false">
      <c r="A1813" t="inlineStr">
        <is>
          <t xml:space="preserve">UCAS_1438</t>
        </is>
      </c>
      <c r="B1813" t="inlineStr">
        <is>
          <t xml:space="preserve">1438</t>
        </is>
      </c>
    </row>
    <row r="1814" customFormat="false" ht="12.8" hidden="false" customHeight="false" outlineLevel="0" collapsed="false">
      <c r="A1814" t="inlineStr">
        <is>
          <t xml:space="preserve">UCAS_1449</t>
        </is>
      </c>
      <c r="B1814" t="inlineStr">
        <is>
          <t xml:space="preserve">1449</t>
        </is>
      </c>
    </row>
    <row r="1815" customFormat="false" ht="12.8" hidden="false" customHeight="false" outlineLevel="0" collapsed="false">
      <c r="A1815" t="inlineStr">
        <is>
          <t xml:space="preserve">UCAS_144E</t>
        </is>
      </c>
      <c r="B1815" t="inlineStr">
        <is>
          <t xml:space="preserve">144E</t>
        </is>
      </c>
    </row>
    <row r="1816" customFormat="false" ht="12.8" hidden="false" customHeight="false" outlineLevel="0" collapsed="false">
      <c r="A1816" t="inlineStr">
        <is>
          <t xml:space="preserve">UCAS_1450</t>
        </is>
      </c>
      <c r="B1816" t="inlineStr">
        <is>
          <t xml:space="preserve">1450</t>
        </is>
      </c>
    </row>
    <row r="1817" customFormat="false" ht="12.8" hidden="false" customHeight="false" outlineLevel="0" collapsed="false">
      <c r="A1817" t="inlineStr">
        <is>
          <t xml:space="preserve">UCAS_1455</t>
        </is>
      </c>
      <c r="B1817" t="inlineStr">
        <is>
          <t xml:space="preserve">1455</t>
        </is>
      </c>
    </row>
    <row r="1818" customFormat="false" ht="12.8" hidden="false" customHeight="false" outlineLevel="0" collapsed="false">
      <c r="A1818" t="inlineStr">
        <is>
          <t xml:space="preserve">UCAS_1466</t>
        </is>
      </c>
      <c r="B1818" t="inlineStr">
        <is>
          <t xml:space="preserve">1466</t>
        </is>
      </c>
    </row>
    <row r="1819" customFormat="false" ht="12.8" hidden="false" customHeight="false" outlineLevel="0" collapsed="false">
      <c r="A1819" t="inlineStr">
        <is>
          <t xml:space="preserve">UCAS_146D</t>
        </is>
      </c>
      <c r="B1819" t="inlineStr">
        <is>
          <t xml:space="preserve">146D</t>
        </is>
      </c>
    </row>
    <row r="1820" customFormat="false" ht="12.8" hidden="false" customHeight="false" outlineLevel="0" collapsed="false">
      <c r="A1820" t="inlineStr">
        <is>
          <t xml:space="preserve">UCAS_146F</t>
        </is>
      </c>
      <c r="B1820" t="inlineStr">
        <is>
          <t xml:space="preserve">146F</t>
        </is>
      </c>
    </row>
    <row r="1821" customFormat="false" ht="12.8" hidden="false" customHeight="false" outlineLevel="0" collapsed="false">
      <c r="A1821" t="inlineStr">
        <is>
          <t xml:space="preserve">UCAS_1472</t>
        </is>
      </c>
      <c r="B1821" t="inlineStr">
        <is>
          <t xml:space="preserve">1472</t>
        </is>
      </c>
    </row>
    <row r="1822" customFormat="false" ht="12.8" hidden="false" customHeight="false" outlineLevel="0" collapsed="false">
      <c r="A1822" t="inlineStr">
        <is>
          <t xml:space="preserve">UCAS_1483</t>
        </is>
      </c>
      <c r="B1822" t="inlineStr">
        <is>
          <t xml:space="preserve">1483</t>
        </is>
      </c>
    </row>
    <row r="1823" customFormat="false" ht="12.8" hidden="false" customHeight="false" outlineLevel="0" collapsed="false">
      <c r="A1823" t="inlineStr">
        <is>
          <t xml:space="preserve">UCAS_148B</t>
        </is>
      </c>
      <c r="B1823" t="inlineStr">
        <is>
          <t xml:space="preserve">148B</t>
        </is>
      </c>
    </row>
    <row r="1824" customFormat="false" ht="12.8" hidden="false" customHeight="false" outlineLevel="0" collapsed="false">
      <c r="A1824" t="inlineStr">
        <is>
          <t xml:space="preserve">UCAS_148D</t>
        </is>
      </c>
      <c r="B1824" t="inlineStr">
        <is>
          <t xml:space="preserve">148D</t>
        </is>
      </c>
    </row>
    <row r="1825" customFormat="false" ht="12.8" hidden="false" customHeight="false" outlineLevel="0" collapsed="false">
      <c r="A1825" t="inlineStr">
        <is>
          <t xml:space="preserve">UCAS_1490</t>
        </is>
      </c>
      <c r="B1825" t="inlineStr">
        <is>
          <t xml:space="preserve">1490</t>
        </is>
      </c>
    </row>
    <row r="1826" customFormat="false" ht="12.8" hidden="false" customHeight="false" outlineLevel="0" collapsed="false">
      <c r="A1826" t="inlineStr">
        <is>
          <t xml:space="preserve">UCAS_14A1</t>
        </is>
      </c>
      <c r="B1826" t="inlineStr">
        <is>
          <t xml:space="preserve">14A1</t>
        </is>
      </c>
    </row>
    <row r="1827" customFormat="false" ht="12.8" hidden="false" customHeight="false" outlineLevel="0" collapsed="false">
      <c r="A1827" t="inlineStr">
        <is>
          <t xml:space="preserve">UCAS_14A5</t>
        </is>
      </c>
      <c r="B1827" t="inlineStr">
        <is>
          <t xml:space="preserve">14A5</t>
        </is>
      </c>
    </row>
    <row r="1828" customFormat="false" ht="12.8" hidden="false" customHeight="false" outlineLevel="0" collapsed="false">
      <c r="A1828" t="inlineStr">
        <is>
          <t xml:space="preserve">UCAS_14A7</t>
        </is>
      </c>
      <c r="B1828" t="inlineStr">
        <is>
          <t xml:space="preserve">14A7</t>
        </is>
      </c>
    </row>
    <row r="1829" customFormat="false" ht="12.8" hidden="false" customHeight="false" outlineLevel="0" collapsed="false">
      <c r="A1829" t="inlineStr">
        <is>
          <t xml:space="preserve">UCAS_14AA</t>
        </is>
      </c>
      <c r="B1829" t="inlineStr">
        <is>
          <t xml:space="preserve">14AA</t>
        </is>
      </c>
    </row>
    <row r="1830" customFormat="false" ht="12.8" hidden="false" customHeight="false" outlineLevel="0" collapsed="false">
      <c r="A1830" t="inlineStr">
        <is>
          <t xml:space="preserve">UCAS_14BB</t>
        </is>
      </c>
      <c r="B1830" t="inlineStr">
        <is>
          <t xml:space="preserve">14BB</t>
        </is>
      </c>
    </row>
    <row r="1831" customFormat="false" ht="12.8" hidden="false" customHeight="false" outlineLevel="0" collapsed="false">
      <c r="A1831" t="inlineStr">
        <is>
          <t xml:space="preserve">UCAS_14C2</t>
        </is>
      </c>
      <c r="B1831" t="inlineStr">
        <is>
          <t xml:space="preserve">14C2</t>
        </is>
      </c>
    </row>
    <row r="1832" customFormat="false" ht="12.8" hidden="false" customHeight="false" outlineLevel="0" collapsed="false">
      <c r="A1832" t="inlineStr">
        <is>
          <t xml:space="preserve">UCAS_14C4</t>
        </is>
      </c>
      <c r="B1832" t="inlineStr">
        <is>
          <t xml:space="preserve">14C4</t>
        </is>
      </c>
    </row>
    <row r="1833" customFormat="false" ht="12.8" hidden="false" customHeight="false" outlineLevel="0" collapsed="false">
      <c r="A1833" t="inlineStr">
        <is>
          <t xml:space="preserve">UCAS_14C7</t>
        </is>
      </c>
      <c r="B1833" t="inlineStr">
        <is>
          <t xml:space="preserve">14C7</t>
        </is>
      </c>
    </row>
    <row r="1834" customFormat="false" ht="12.8" hidden="false" customHeight="false" outlineLevel="0" collapsed="false">
      <c r="A1834" t="inlineStr">
        <is>
          <t xml:space="preserve">UCAS_14D0</t>
        </is>
      </c>
      <c r="B1834" t="inlineStr">
        <is>
          <t xml:space="preserve">14D0</t>
        </is>
      </c>
    </row>
    <row r="1835" customFormat="false" ht="12.8" hidden="false" customHeight="false" outlineLevel="0" collapsed="false">
      <c r="A1835" t="inlineStr">
        <is>
          <t xml:space="preserve">UCAS_14D5</t>
        </is>
      </c>
      <c r="B1835" t="inlineStr">
        <is>
          <t xml:space="preserve">14D5</t>
        </is>
      </c>
    </row>
    <row r="1836" customFormat="false" ht="12.8" hidden="false" customHeight="false" outlineLevel="0" collapsed="false">
      <c r="A1836" t="inlineStr">
        <is>
          <t xml:space="preserve">UCAS_14D7</t>
        </is>
      </c>
      <c r="B1836" t="inlineStr">
        <is>
          <t xml:space="preserve">14D7</t>
        </is>
      </c>
    </row>
    <row r="1837" customFormat="false" ht="12.8" hidden="false" customHeight="false" outlineLevel="0" collapsed="false">
      <c r="A1837" t="inlineStr">
        <is>
          <t xml:space="preserve">UCAS_14DA</t>
        </is>
      </c>
      <c r="B1837" t="inlineStr">
        <is>
          <t xml:space="preserve">14DA</t>
        </is>
      </c>
    </row>
    <row r="1838" customFormat="false" ht="12.8" hidden="false" customHeight="false" outlineLevel="0" collapsed="false">
      <c r="A1838" t="inlineStr">
        <is>
          <t xml:space="preserve">UCAS_14EA</t>
        </is>
      </c>
      <c r="B1838" t="inlineStr">
        <is>
          <t xml:space="preserve">14EA</t>
        </is>
      </c>
    </row>
    <row r="1839" customFormat="false" ht="12.8" hidden="false" customHeight="false" outlineLevel="0" collapsed="false">
      <c r="A1839" t="inlineStr">
        <is>
          <t xml:space="preserve">UCAS_14EF</t>
        </is>
      </c>
      <c r="B1839" t="inlineStr">
        <is>
          <t xml:space="preserve">14EF</t>
        </is>
      </c>
    </row>
    <row r="1840" customFormat="false" ht="12.8" hidden="false" customHeight="false" outlineLevel="0" collapsed="false">
      <c r="A1840" t="inlineStr">
        <is>
          <t xml:space="preserve">UCAS_14F1</t>
        </is>
      </c>
      <c r="B1840" t="inlineStr">
        <is>
          <t xml:space="preserve">14F1</t>
        </is>
      </c>
    </row>
    <row r="1841" customFormat="false" ht="12.8" hidden="false" customHeight="false" outlineLevel="0" collapsed="false">
      <c r="A1841" t="inlineStr">
        <is>
          <t xml:space="preserve">UCAS_14F4</t>
        </is>
      </c>
      <c r="B1841" t="inlineStr">
        <is>
          <t xml:space="preserve">14F4</t>
        </is>
      </c>
    </row>
    <row r="1842" customFormat="false" ht="12.8" hidden="false" customHeight="false" outlineLevel="0" collapsed="false">
      <c r="A1842" t="inlineStr">
        <is>
          <t xml:space="preserve">UCAS_1505</t>
        </is>
      </c>
      <c r="B1842" t="inlineStr">
        <is>
          <t xml:space="preserve">1505</t>
        </is>
      </c>
    </row>
    <row r="1843" customFormat="false" ht="12.8" hidden="false" customHeight="false" outlineLevel="0" collapsed="false">
      <c r="A1843" t="inlineStr">
        <is>
          <t xml:space="preserve">UCAS_1528</t>
        </is>
      </c>
      <c r="B1843" t="inlineStr">
        <is>
          <t xml:space="preserve">1528</t>
        </is>
      </c>
    </row>
    <row r="1844" customFormat="false" ht="12.8" hidden="false" customHeight="false" outlineLevel="0" collapsed="false">
      <c r="A1844" t="inlineStr">
        <is>
          <t xml:space="preserve">UCAS_152A</t>
        </is>
      </c>
      <c r="B1844" t="inlineStr">
        <is>
          <t xml:space="preserve">152A</t>
        </is>
      </c>
    </row>
    <row r="1845" customFormat="false" ht="12.8" hidden="false" customHeight="false" outlineLevel="0" collapsed="false">
      <c r="A1845" t="inlineStr">
        <is>
          <t xml:space="preserve">UCAS_152D</t>
        </is>
      </c>
      <c r="B1845" t="inlineStr">
        <is>
          <t xml:space="preserve">152D</t>
        </is>
      </c>
    </row>
    <row r="1846" customFormat="false" ht="12.8" hidden="false" customHeight="false" outlineLevel="0" collapsed="false">
      <c r="A1846" t="inlineStr">
        <is>
          <t xml:space="preserve">UCAS_153E</t>
        </is>
      </c>
      <c r="B1846" t="inlineStr">
        <is>
          <t xml:space="preserve">153E</t>
        </is>
      </c>
    </row>
    <row r="1847" customFormat="false" ht="12.8" hidden="false" customHeight="false" outlineLevel="0" collapsed="false">
      <c r="A1847" t="inlineStr">
        <is>
          <t xml:space="preserve">UCAS_1546</t>
        </is>
      </c>
      <c r="B1847" t="inlineStr">
        <is>
          <t xml:space="preserve">1546</t>
        </is>
      </c>
    </row>
    <row r="1848" customFormat="false" ht="12.8" hidden="false" customHeight="false" outlineLevel="0" collapsed="false">
      <c r="A1848" t="inlineStr">
        <is>
          <t xml:space="preserve">UCAS_1548</t>
        </is>
      </c>
      <c r="B1848" t="inlineStr">
        <is>
          <t xml:space="preserve">1548</t>
        </is>
      </c>
    </row>
    <row r="1849" customFormat="false" ht="12.8" hidden="false" customHeight="false" outlineLevel="0" collapsed="false">
      <c r="A1849" t="inlineStr">
        <is>
          <t xml:space="preserve">UCAS_154B</t>
        </is>
      </c>
      <c r="B1849" t="inlineStr">
        <is>
          <t xml:space="preserve">154B</t>
        </is>
      </c>
    </row>
    <row r="1850" customFormat="false" ht="12.8" hidden="false" customHeight="false" outlineLevel="0" collapsed="false">
      <c r="A1850" t="inlineStr">
        <is>
          <t xml:space="preserve">UCAS_1550</t>
        </is>
      </c>
      <c r="B1850" t="inlineStr">
        <is>
          <t xml:space="preserve">1550</t>
        </is>
      </c>
    </row>
    <row r="1851" customFormat="false" ht="12.8" hidden="false" customHeight="false" outlineLevel="0" collapsed="false">
      <c r="A1851" t="inlineStr">
        <is>
          <t xml:space="preserve">UCAS_1555</t>
        </is>
      </c>
      <c r="B1851" t="inlineStr">
        <is>
          <t xml:space="preserve">1555</t>
        </is>
      </c>
    </row>
    <row r="1852" customFormat="false" ht="12.8" hidden="false" customHeight="false" outlineLevel="0" collapsed="false">
      <c r="A1852" t="inlineStr">
        <is>
          <t xml:space="preserve">UCAS_1557</t>
        </is>
      </c>
      <c r="B1852" t="inlineStr">
        <is>
          <t xml:space="preserve">1557</t>
        </is>
      </c>
    </row>
    <row r="1853" customFormat="false" ht="12.8" hidden="false" customHeight="false" outlineLevel="0" collapsed="false">
      <c r="A1853" t="inlineStr">
        <is>
          <t xml:space="preserve">UCAS_1559</t>
        </is>
      </c>
      <c r="B1853" t="inlineStr">
        <is>
          <t xml:space="preserve">1559</t>
        </is>
      </c>
    </row>
    <row r="1854" customFormat="false" ht="12.8" hidden="false" customHeight="false" outlineLevel="0" collapsed="false">
      <c r="A1854" t="inlineStr">
        <is>
          <t xml:space="preserve">UCAS_155D</t>
        </is>
      </c>
      <c r="B1854" t="inlineStr">
        <is>
          <t xml:space="preserve">155D</t>
        </is>
      </c>
    </row>
    <row r="1855" customFormat="false" ht="12.8" hidden="false" customHeight="false" outlineLevel="0" collapsed="false">
      <c r="A1855" t="inlineStr">
        <is>
          <t xml:space="preserve">UCAS_1575</t>
        </is>
      </c>
      <c r="B1855" t="inlineStr">
        <is>
          <t xml:space="preserve">1575</t>
        </is>
      </c>
    </row>
    <row r="1856" customFormat="false" ht="12.8" hidden="false" customHeight="false" outlineLevel="0" collapsed="false">
      <c r="A1856" t="inlineStr">
        <is>
          <t xml:space="preserve">UCAS_1577</t>
        </is>
      </c>
      <c r="B1856" t="inlineStr">
        <is>
          <t xml:space="preserve">1577</t>
        </is>
      </c>
    </row>
    <row r="1857" customFormat="false" ht="12.8" hidden="false" customHeight="false" outlineLevel="0" collapsed="false">
      <c r="A1857" t="inlineStr">
        <is>
          <t xml:space="preserve">UCAS_1579</t>
        </is>
      </c>
      <c r="B1857" t="inlineStr">
        <is>
          <t xml:space="preserve">1579</t>
        </is>
      </c>
    </row>
    <row r="1858" customFormat="false" ht="12.8" hidden="false" customHeight="false" outlineLevel="0" collapsed="false">
      <c r="A1858" t="inlineStr">
        <is>
          <t xml:space="preserve">UCAS_157B</t>
        </is>
      </c>
      <c r="B1858" t="inlineStr">
        <is>
          <t xml:space="preserve">157B</t>
        </is>
      </c>
    </row>
    <row r="1859" customFormat="false" ht="12.8" hidden="false" customHeight="false" outlineLevel="0" collapsed="false">
      <c r="A1859" t="inlineStr">
        <is>
          <t xml:space="preserve">UCAS_157C</t>
        </is>
      </c>
      <c r="B1859" t="inlineStr">
        <is>
          <t xml:space="preserve">157C</t>
        </is>
      </c>
    </row>
    <row r="1860" customFormat="false" ht="12.8" hidden="false" customHeight="false" outlineLevel="0" collapsed="false">
      <c r="A1860" t="inlineStr">
        <is>
          <t xml:space="preserve">UCAS_157F</t>
        </is>
      </c>
      <c r="B1860" t="inlineStr">
        <is>
          <t xml:space="preserve">157F</t>
        </is>
      </c>
    </row>
    <row r="1861" customFormat="false" ht="12.8" hidden="false" customHeight="false" outlineLevel="0" collapsed="false">
      <c r="A1861" t="inlineStr">
        <is>
          <t xml:space="preserve">UCAS_1581</t>
        </is>
      </c>
      <c r="B1861" t="inlineStr">
        <is>
          <t xml:space="preserve">1581</t>
        </is>
      </c>
    </row>
    <row r="1862" customFormat="false" ht="12.8" hidden="false" customHeight="false" outlineLevel="0" collapsed="false">
      <c r="A1862" t="inlineStr">
        <is>
          <t xml:space="preserve">UCAS_1583</t>
        </is>
      </c>
      <c r="B1862" t="inlineStr">
        <is>
          <t xml:space="preserve">1583</t>
        </is>
      </c>
    </row>
    <row r="1863" customFormat="false" ht="12.8" hidden="false" customHeight="false" outlineLevel="0" collapsed="false">
      <c r="A1863" t="inlineStr">
        <is>
          <t xml:space="preserve">UCAS_1585</t>
        </is>
      </c>
      <c r="B1863" t="inlineStr">
        <is>
          <t xml:space="preserve">1585</t>
        </is>
      </c>
    </row>
    <row r="1864" customFormat="false" ht="12.8" hidden="false" customHeight="false" outlineLevel="0" collapsed="false">
      <c r="A1864" t="inlineStr">
        <is>
          <t xml:space="preserve">UCAS_158F</t>
        </is>
      </c>
      <c r="B1864" t="inlineStr">
        <is>
          <t xml:space="preserve">158F</t>
        </is>
      </c>
    </row>
    <row r="1865" customFormat="false" ht="12.8" hidden="false" customHeight="false" outlineLevel="0" collapsed="false">
      <c r="A1865" t="inlineStr">
        <is>
          <t xml:space="preserve">UCAS_1591</t>
        </is>
      </c>
      <c r="B1865" t="inlineStr">
        <is>
          <t xml:space="preserve">1591</t>
        </is>
      </c>
    </row>
    <row r="1866" customFormat="false" ht="12.8" hidden="false" customHeight="false" outlineLevel="0" collapsed="false">
      <c r="A1866" t="inlineStr">
        <is>
          <t xml:space="preserve">UCAS_1593</t>
        </is>
      </c>
      <c r="B1866" t="inlineStr">
        <is>
          <t xml:space="preserve">1593</t>
        </is>
      </c>
    </row>
    <row r="1867" customFormat="false" ht="12.8" hidden="false" customHeight="false" outlineLevel="0" collapsed="false">
      <c r="A1867" t="inlineStr">
        <is>
          <t xml:space="preserve">UCAS_1595</t>
        </is>
      </c>
      <c r="B1867" t="inlineStr">
        <is>
          <t xml:space="preserve">1595</t>
        </is>
      </c>
    </row>
    <row r="1868" customFormat="false" ht="12.8" hidden="false" customHeight="false" outlineLevel="0" collapsed="false">
      <c r="A1868" t="inlineStr">
        <is>
          <t xml:space="preserve">UCAS_1596</t>
        </is>
      </c>
      <c r="B1868" t="inlineStr">
        <is>
          <t xml:space="preserve">1596</t>
        </is>
      </c>
    </row>
    <row r="1869" customFormat="false" ht="12.8" hidden="false" customHeight="false" outlineLevel="0" collapsed="false">
      <c r="A1869" t="inlineStr">
        <is>
          <t xml:space="preserve">UCAS_15A0</t>
        </is>
      </c>
      <c r="B1869" t="inlineStr">
        <is>
          <t xml:space="preserve">15A0</t>
        </is>
      </c>
    </row>
    <row r="1870" customFormat="false" ht="12.8" hidden="false" customHeight="false" outlineLevel="0" collapsed="false">
      <c r="A1870" t="inlineStr">
        <is>
          <t xml:space="preserve">UCAS_15A2</t>
        </is>
      </c>
      <c r="B1870" t="inlineStr">
        <is>
          <t xml:space="preserve">15A2</t>
        </is>
      </c>
    </row>
    <row r="1871" customFormat="false" ht="12.8" hidden="false" customHeight="false" outlineLevel="0" collapsed="false">
      <c r="A1871" t="inlineStr">
        <is>
          <t xml:space="preserve">UCAS_15A4</t>
        </is>
      </c>
      <c r="B1871" t="inlineStr">
        <is>
          <t xml:space="preserve">15A4</t>
        </is>
      </c>
    </row>
    <row r="1872" customFormat="false" ht="12.8" hidden="false" customHeight="false" outlineLevel="0" collapsed="false">
      <c r="A1872" t="inlineStr">
        <is>
          <t xml:space="preserve">UCAS_15A6</t>
        </is>
      </c>
      <c r="B1872" t="inlineStr">
        <is>
          <t xml:space="preserve">15A6</t>
        </is>
      </c>
    </row>
    <row r="1873" customFormat="false" ht="12.8" hidden="false" customHeight="false" outlineLevel="0" collapsed="false">
      <c r="A1873" t="inlineStr">
        <is>
          <t xml:space="preserve">UCAS_1671</t>
        </is>
      </c>
      <c r="B1873" t="inlineStr">
        <is>
          <t xml:space="preserve">1671</t>
        </is>
      </c>
    </row>
    <row r="1874" customFormat="false" ht="12.8" hidden="false" customHeight="false" outlineLevel="0" collapsed="false">
      <c r="A1874" t="inlineStr">
        <is>
          <t xml:space="preserve">UCAS_1673</t>
        </is>
      </c>
      <c r="B1874" t="inlineStr">
        <is>
          <t xml:space="preserve">1673</t>
        </is>
      </c>
    </row>
    <row r="1875" customFormat="false" ht="12.8" hidden="false" customHeight="false" outlineLevel="0" collapsed="false">
      <c r="A1875" t="inlineStr">
        <is>
          <t xml:space="preserve">UCAS_1675</t>
        </is>
      </c>
      <c r="B1875" t="inlineStr">
        <is>
          <t xml:space="preserve">1675</t>
        </is>
      </c>
    </row>
    <row r="1876" customFormat="false" ht="12.8" hidden="false" customHeight="false" outlineLevel="0" collapsed="false">
      <c r="A1876" t="inlineStr">
        <is>
          <t xml:space="preserve">CHEROKEE_13C0</t>
        </is>
      </c>
      <c r="B1876" t="inlineStr">
        <is>
          <t xml:space="preserve">13C0</t>
        </is>
      </c>
    </row>
    <row r="1877" customFormat="false" ht="12.8" hidden="false" customHeight="false" outlineLevel="0" collapsed="false">
      <c r="A1877" t="inlineStr">
        <is>
          <t xml:space="preserve">LATIN_01E5</t>
        </is>
      </c>
      <c r="B1877" t="inlineStr">
        <is>
          <t xml:space="preserve">01E5</t>
        </is>
      </c>
    </row>
    <row r="1878" customFormat="false" ht="12.8" hidden="false" customHeight="false" outlineLevel="0" collapsed="false">
      <c r="A1878" t="inlineStr">
        <is>
          <t xml:space="preserve">LATIN_01E9</t>
        </is>
      </c>
      <c r="B1878" t="inlineStr">
        <is>
          <t xml:space="preserve">01E9</t>
        </is>
      </c>
    </row>
    <row r="1879" customFormat="false" ht="12.8" hidden="false" customHeight="false" outlineLevel="0" collapsed="false">
      <c r="A1879" t="inlineStr">
        <is>
          <t xml:space="preserve">LATIN_01EF</t>
        </is>
      </c>
      <c r="B1879" t="inlineStr">
        <is>
          <t xml:space="preserve">01EF</t>
        </is>
      </c>
    </row>
    <row r="1880" customFormat="false" ht="12.8" hidden="false" customHeight="false" outlineLevel="0" collapsed="false">
      <c r="A1880" t="inlineStr">
        <is>
          <t xml:space="preserve">GEORGIAN_10F1</t>
        </is>
      </c>
      <c r="B1880" t="inlineStr">
        <is>
          <t xml:space="preserve">10F1</t>
        </is>
      </c>
    </row>
    <row r="1881" customFormat="false" ht="12.8" hidden="false" customHeight="false" outlineLevel="0" collapsed="false">
      <c r="A1881" t="inlineStr">
        <is>
          <t xml:space="preserve">GEORGIAN_10F2</t>
        </is>
      </c>
      <c r="B1881" t="inlineStr">
        <is>
          <t xml:space="preserve">10F2</t>
        </is>
      </c>
    </row>
    <row r="1882" customFormat="false" ht="12.8" hidden="false" customHeight="false" outlineLevel="0" collapsed="false">
      <c r="A1882" t="inlineStr">
        <is>
          <t xml:space="preserve">GEORGIAN_10F3</t>
        </is>
      </c>
      <c r="B1882" t="inlineStr">
        <is>
          <t xml:space="preserve">10F3</t>
        </is>
      </c>
    </row>
    <row r="1883" customFormat="false" ht="12.8" hidden="false" customHeight="false" outlineLevel="0" collapsed="false">
      <c r="A1883" t="inlineStr">
        <is>
          <t xml:space="preserve">GEORGIAN_10F4</t>
        </is>
      </c>
      <c r="B1883" t="inlineStr">
        <is>
          <t xml:space="preserve">10F4</t>
        </is>
      </c>
    </row>
    <row r="1884" customFormat="false" ht="12.8" hidden="false" customHeight="false" outlineLevel="0" collapsed="false">
      <c r="A1884" t="inlineStr">
        <is>
          <t xml:space="preserve">GEORGIAN_10F5</t>
        </is>
      </c>
      <c r="B1884" t="inlineStr">
        <is>
          <t xml:space="preserve">10F5</t>
        </is>
      </c>
    </row>
    <row r="1885" customFormat="false" ht="12.8" hidden="false" customHeight="false" outlineLevel="0" collapsed="false">
      <c r="A1885" t="inlineStr">
        <is>
          <t xml:space="preserve">GEORGIAN_10F6</t>
        </is>
      </c>
      <c r="B1885" t="inlineStr">
        <is>
          <t xml:space="preserve">10F6</t>
        </is>
      </c>
    </row>
    <row r="1886" customFormat="false" ht="12.8" hidden="false" customHeight="false" outlineLevel="0" collapsed="false">
      <c r="A1886" t="inlineStr">
        <is>
          <t xml:space="preserve">DEVANAGARI_0958</t>
        </is>
      </c>
      <c r="B1886" t="inlineStr">
        <is>
          <t xml:space="preserve">0958</t>
        </is>
      </c>
    </row>
    <row r="1887" customFormat="false" ht="12.8" hidden="false" customHeight="false" outlineLevel="0" collapsed="false">
      <c r="A1887" t="inlineStr">
        <is>
          <t xml:space="preserve">DEVANAGARI_095A</t>
        </is>
      </c>
      <c r="B1887" t="inlineStr">
        <is>
          <t xml:space="preserve">095A</t>
        </is>
      </c>
    </row>
    <row r="1888" customFormat="false" ht="12.8" hidden="false" customHeight="false" outlineLevel="0" collapsed="false">
      <c r="A1888" t="inlineStr">
        <is>
          <t xml:space="preserve">DEVANAGARI_095B</t>
        </is>
      </c>
      <c r="B1888" t="inlineStr">
        <is>
          <t xml:space="preserve">095B</t>
        </is>
      </c>
    </row>
    <row r="1889" customFormat="false" ht="12.8" hidden="false" customHeight="false" outlineLevel="0" collapsed="false">
      <c r="A1889" t="inlineStr">
        <is>
          <t xml:space="preserve">DEVANAGARI_095C</t>
        </is>
      </c>
      <c r="B1889" t="inlineStr">
        <is>
          <t xml:space="preserve">095C</t>
        </is>
      </c>
    </row>
    <row r="1890" customFormat="false" ht="12.8" hidden="false" customHeight="false" outlineLevel="0" collapsed="false">
      <c r="A1890" t="inlineStr">
        <is>
          <t xml:space="preserve">DEVANAGARI_095E</t>
        </is>
      </c>
      <c r="B1890" t="inlineStr">
        <is>
          <t xml:space="preserve">095E</t>
        </is>
      </c>
    </row>
    <row r="1891" customFormat="false" ht="12.8" hidden="false" customHeight="false" outlineLevel="0" collapsed="false">
      <c r="A1891" t="inlineStr">
        <is>
          <t xml:space="preserve">DEVANAGARI_0950</t>
        </is>
      </c>
      <c r="B1891" t="inlineStr">
        <is>
          <t xml:space="preserve">0950</t>
        </is>
      </c>
    </row>
    <row r="1892" customFormat="false" ht="12.8" hidden="false" customHeight="false" outlineLevel="0" collapsed="false">
      <c r="A1892" t="inlineStr">
        <is>
          <t xml:space="preserve">BENGALI_09CE</t>
        </is>
      </c>
      <c r="B1892" t="inlineStr">
        <is>
          <t xml:space="preserve">09CE</t>
        </is>
      </c>
    </row>
    <row r="1893" customFormat="false" ht="12.8" hidden="false" customHeight="false" outlineLevel="0" collapsed="false">
      <c r="A1893" t="inlineStr">
        <is>
          <t xml:space="preserve">BENGALI_09BD</t>
        </is>
      </c>
      <c r="B1893" t="inlineStr">
        <is>
          <t xml:space="preserve">09BD</t>
        </is>
      </c>
    </row>
    <row r="1894" customFormat="false" ht="12.8" hidden="false" customHeight="false" outlineLevel="0" collapsed="false">
      <c r="A1894" t="inlineStr">
        <is>
          <t xml:space="preserve">BENGALI_09F3</t>
        </is>
      </c>
      <c r="B1894" t="inlineStr">
        <is>
          <t xml:space="preserve">09F3</t>
        </is>
      </c>
    </row>
    <row r="1895" customFormat="false" ht="12.8" hidden="false" customHeight="false" outlineLevel="0" collapsed="false">
      <c r="A1895" t="inlineStr">
        <is>
          <t xml:space="preserve">RUBLE_SIGN</t>
        </is>
      </c>
      <c r="B1895" t="inlineStr">
        <is>
          <t xml:space="preserve">20BD</t>
        </is>
      </c>
    </row>
    <row r="1896" customFormat="false" ht="12.8" hidden="false" customHeight="false" outlineLevel="0" collapsed="false">
      <c r="A1896" t="inlineStr">
        <is>
          <t xml:space="preserve">PESO_SIGN</t>
        </is>
      </c>
      <c r="B1896" t="inlineStr">
        <is>
          <t xml:space="preserve">20B1</t>
        </is>
      </c>
    </row>
    <row r="1897" customFormat="false" ht="12.8" hidden="false" customHeight="false" outlineLevel="0" collapsed="false">
      <c r="A1897" t="inlineStr">
        <is>
          <t xml:space="preserve">MANAT_SIGN</t>
        </is>
      </c>
      <c r="B1897" t="inlineStr">
        <is>
          <t xml:space="preserve">20BC</t>
        </is>
      </c>
    </row>
  </sheetData>
  <mergeCells count="1">
    <mergeCell ref="G102:G29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8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U"\x06\x06" 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U"\f\f\f" ARABIC_YEH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U"\x05\x05"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ARABIC_BEH</t>
        </is>
      </c>
      <c r="XC7" t="inlineStr">
        <is>
          <t xml:space="preserve">U"\x06"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ARABIC_ALEF_HAMZA_A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ARABIC_ALEF_MADDA_A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U"\f"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U"\f\f" 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ARABIC_TEH_MARBUTA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t="inlineStr">
        <is>
          <t xml:space="preserve">U"\f\f\f" SECTION</t>
        </is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U"\f\f\f" MICRO_SIGN</t>
        </is>
      </c>
      <c r="CL14" s="113"/>
      <c r="CM14" s="113"/>
      <c r="CN14" s="113"/>
      <c r="CO14" t="inlineStr">
        <is>
          <t xml:space="preserve">U"\f\f\f" MICRO_SIGN</t>
        </is>
      </c>
      <c r="CP14" s="84"/>
      <c r="CQ14" s="84"/>
      <c r="CR14" s="84"/>
      <c r="CS14" t="inlineStr">
        <is>
          <t xml:space="preserve">U"\f\f\f" MICRO_SIGN</t>
        </is>
      </c>
      <c r="CT14" s="110"/>
      <c r="CU14" s="110"/>
      <c r="CV14" s="110"/>
      <c r="CW14" t="inlineStr">
        <is>
          <t xml:space="preserve">U"\f\f\f"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ARABIC_WAW_HAMZA_A</t>
        </is>
      </c>
      <c r="XD14" t="inlineStr">
        <is>
          <t xml:space="preserve">ARABIC_0693</t>
        </is>
      </c>
      <c r="XE14" t="inlineStr">
        <is>
          <t xml:space="preserve">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ARABIC_DDAL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U"\f\f\f" 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U"\f" 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t="inlineStr">
        <is>
          <t xml:space="preserve">U"\f\f\f" SECTION</t>
        </is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U"\f" 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@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U"\f\f\x06\x06" ARABIC_YEH_HAMZA_A</t>
        </is>
      </c>
      <c r="XD20" t="inlineStr">
        <is>
          <t xml:space="preserve">ARABIC_0633</t>
        </is>
      </c>
      <c r="XE20" t="inlineStr">
        <is>
          <t xml:space="preserve">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ARABIC_TAH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ARABIC_ZAH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U"\f\f" 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U"\f\f\f" 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U"\f\f\f" 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t="inlineStr">
        <is>
          <t xml:space="preserve">U"\f\f\f" POUND_SIGN</t>
        </is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t="inlineStr">
        <is>
          <t xml:space="preserve">U"\f\f" CYRILLIC_SM_SCHWA</t>
        </is>
      </c>
      <c r="BG29" t="inlineStr">
        <is>
          <t xml:space="preserve">CYRILLIC_SCHWA</t>
        </is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U"\f\f" 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U"\f\f\f" 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t="inlineStr">
        <is>
          <t xml:space="preserve">U"\f\f\f" SECTION</t>
        </is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U"\f\f\f" POUND_SIGN</t>
        </is>
      </c>
      <c r="V30" s="99" t="n">
        <v>3</v>
      </c>
      <c r="W30" t="inlineStr">
        <is>
          <t xml:space="preserve">U"\f\f\f" POUND_SIGN</t>
        </is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t="inlineStr">
        <is>
          <t xml:space="preserve">U"\f\f" CYRILLIC_SM_BY_YA_I</t>
        </is>
      </c>
      <c r="BG30" t="inlineStr">
        <is>
          <t xml:space="preserve">CYRILLIC_BY_YA_I</t>
        </is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t="inlineStr">
        <is>
          <t xml:space="preserve">U"\f\f\f" POUND_SIGN</t>
        </is>
      </c>
      <c r="CL30" s="113" t="n">
        <v>3</v>
      </c>
      <c r="CM30" s="113" t="s">
        <v>1228</v>
      </c>
      <c r="CN30" s="113" t="n">
        <v>3</v>
      </c>
      <c r="CO30" t="inlineStr">
        <is>
          <t xml:space="preserve">U"\f\f\f" POUND_SIGN</t>
        </is>
      </c>
      <c r="CP30" s="84" t="n">
        <v>3</v>
      </c>
      <c r="CQ30" s="84" t="s">
        <v>1228</v>
      </c>
      <c r="CR30" s="84" t="n">
        <v>3</v>
      </c>
      <c r="CS30" t="inlineStr">
        <is>
          <t xml:space="preserve">U"\f\f\f" POUND_SIGN</t>
        </is>
      </c>
      <c r="CT30" s="110" t="n">
        <v>3</v>
      </c>
      <c r="CU30" s="110" t="s">
        <v>1228</v>
      </c>
      <c r="CV30" s="110" t="n">
        <v>3</v>
      </c>
      <c r="CW30" t="inlineStr">
        <is>
          <t xml:space="preserve">U"\f\f\f" POUND_SIGN</t>
        </is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U"\f\f" 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U"\f\f\f" 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U"\f\f\f" 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U"\f\f\f" 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U"\f\f\f" POUND_SIGN</t>
        </is>
      </c>
      <c r="JI30" t="inlineStr">
        <is>
          <t xml:space="preserve">U"\f\f\f" 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U"\f\f\f" 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U"\f\f\f" 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U"\f\f\f" 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U"\f\f\f" 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U"\f\f\f" POUND_SIGN</t>
        </is>
      </c>
      <c r="VP30">
        <v>3</v>
      </c>
      <c r="VR30">
        <v>3</v>
      </c>
      <c r="VS30" t="inlineStr">
        <is>
          <t xml:space="preserve">U"\f\f\f" 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U"\f\f\f" 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U"\f\f\f" 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t="inlineStr">
        <is>
          <t xml:space="preserve">U"\f\f\f" POUND_SIGN</t>
        </is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t="inlineStr">
        <is>
          <t xml:space="preserve">U"\f\f" CYRILLIC_SM_EN_W_DESC</t>
        </is>
      </c>
      <c r="BG31" t="inlineStr">
        <is>
          <t xml:space="preserve">CYRILLIC_EN_W_DESC</t>
        </is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t="inlineStr">
        <is>
          <t xml:space="preserve">U"\f\f\f" CURRENCY_SIGN</t>
        </is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U"\xb"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U"\f\f" 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U"\f\f\f" 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U"\f\f\f" 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t="inlineStr">
        <is>
          <t xml:space="preserve">U"\f\f\f" SECTION</t>
        </is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t="inlineStr">
        <is>
          <t xml:space="preserve">U"\f\f" CYRILLIC_SM_GHE_W_STROKE</t>
        </is>
      </c>
      <c r="BG32" t="inlineStr">
        <is>
          <t xml:space="preserve">CYRILLIC_GHE_W_STROKE</t>
        </is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U"\f\f" 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U"\f\f" 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U"\f\f\f" SECTION</t>
        </is>
      </c>
      <c r="FW33">
        <v>6</v>
      </c>
      <c r="FX33" t="inlineStr">
        <is>
          <t xml:space="preserve">U"\f\f\f" 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U"\f\f\f" SECTION</t>
        </is>
      </c>
      <c r="OA33">
        <v>6</v>
      </c>
      <c r="OB33" t="inlineStr">
        <is>
          <t xml:space="preserve">U"\f\f\f" 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t="inlineStr">
        <is>
          <t xml:space="preserve">U"\f\f\f" POUND_SIGN</t>
        </is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U"\f\f" 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U"\f\f\f" 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t="inlineStr">
        <is>
          <t xml:space="preserve">U"\f\f\f" CYRILLIC_SM_STRAIGHT_U</t>
        </is>
      </c>
      <c r="BG35" t="inlineStr">
        <is>
          <t xml:space="preserve">CYRILLIC_STRAIGHT_U</t>
        </is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U"\f\f" 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t="inlineStr">
        <is>
          <t xml:space="preserve">U"\f\f\f" CYRILLIC_SM_STRAIGHT_U_W_STROKE</t>
        </is>
      </c>
      <c r="BG36" t="inlineStr">
        <is>
          <t xml:space="preserve">CYRILLIC_STRAIGHT_U_W_STROKE</t>
        </is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U"\f\f\f" 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t="inlineStr">
        <is>
          <t xml:space="preserve">U"\f\f" CYRILLIC_SM_KA_W_DESC</t>
        </is>
      </c>
      <c r="BG37" t="inlineStr">
        <is>
          <t xml:space="preserve">CYRILLIC_KA_W_DESC</t>
        </is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U"\f\f\f" 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t="inlineStr">
        <is>
          <t xml:space="preserve">U"\f\f" ESZETT</t>
        </is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t="inlineStr">
        <is>
          <t xml:space="preserve">U"\f\f\f" PLUS_MINUS</t>
        </is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t="inlineStr">
        <is>
          <t xml:space="preserve">U"\f\f" CYRILLIC_SM_BARRED_O</t>
        </is>
      </c>
      <c r="BG43" t="inlineStr">
        <is>
          <t xml:space="preserve">CYRILLIC_BARRED_O</t>
        </is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t="inlineStr">
        <is>
          <t xml:space="preserve">U"\f\f" UMLAUT_U_SMALL</t>
        </is>
      </c>
      <c r="CY43" t="inlineStr">
        <is>
          <t xml:space="preserve">UMLAUT_U_SMALL</t>
        </is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U"\f\f" 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U"\f\f" 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t="inlineStr">
        <is>
          <t xml:space="preserve">U"\f\f\f" INVERTED_EMARK</t>
        </is>
      </c>
      <c r="O44" t="inlineStr">
        <is>
          <t xml:space="preserve">U"\f\f\f" INVERTED_QMARK</t>
        </is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t="inlineStr">
        <is>
          <t xml:space="preserve">U"\f\f" I_WITH_GRAVE_SMALL</t>
        </is>
      </c>
      <c r="W44" t="inlineStr">
        <is>
          <t xml:space="preserve">U"\f\f" I_WITH_ACUTE_SMALL</t>
        </is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t="inlineStr">
        <is>
          <t xml:space="preserve">U"\f\f" CYRILLIC_SM_SHHA</t>
        </is>
      </c>
      <c r="BG44" t="inlineStr">
        <is>
          <t xml:space="preserve">CYRILLIC_SHHA</t>
        </is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t="inlineStr">
        <is>
          <t xml:space="preserve">U"\x06\x06+"</t>
        </is>
      </c>
      <c r="BT44" s="110" t="s">
        <v>1293</v>
      </c>
      <c r="BU44" t="inlineStr">
        <is>
          <t xml:space="preserve">\xb8\xb1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t="inlineStr">
        <is>
          <t xml:space="preserve">U"\f\f" O_WITH_ACUTE_SMALL</t>
        </is>
      </c>
      <c r="CY44" t="inlineStr">
        <is>
          <t xml:space="preserve">O_WITH_ACUTE</t>
        </is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U"\f\f" 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U"\f\f\f" 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U"\f\f" 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U"\f\f" INVERTED_EMARK</t>
        </is>
      </c>
      <c r="VG44" t="inlineStr">
        <is>
          <t xml:space="preserve">U"\f\f" 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U"\f\f" INVERTED_QMARK</t>
        </is>
      </c>
      <c r="WQ44" t="inlineStr">
        <is>
          <t xml:space="preserve">U"\f\f" 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t="inlineStr">
        <is>
          <t xml:space="preserve">U"\f\f" UMLAUT_U_SMALL</t>
        </is>
      </c>
      <c r="G45" t="inlineStr">
        <is>
          <t xml:space="preserve">UMLAUT_U</t>
        </is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t="inlineStr">
        <is>
          <t xml:space="preserve">U"\f\f" E_WITH_GRAVE_SMALL</t>
        </is>
      </c>
      <c r="W45" t="inlineStr">
        <is>
          <t xml:space="preserve">U"\f\f" E_WITH_ACUTE_SMALL</t>
        </is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t="inlineStr">
        <is>
          <t xml:space="preserve">U"\f\f" CYRILLIC_SM_HA</t>
        </is>
      </c>
      <c r="AU45" t="inlineStr">
        <is>
          <t xml:space="preserve">CYRILLIC_HA</t>
        </is>
      </c>
      <c r="AV45" s="105"/>
      <c r="AW45" s="105"/>
      <c r="AX45" t="inlineStr">
        <is>
          <t xml:space="preserve">U"\f\f" CYRILLIC_SM_HA</t>
        </is>
      </c>
      <c r="AY45" t="inlineStr">
        <is>
          <t xml:space="preserve">CYRILLIC_HA</t>
        </is>
      </c>
      <c r="AZ45" s="106"/>
      <c r="BA45" s="106"/>
      <c r="BB45" s="107" t="s">
        <v>387</v>
      </c>
      <c r="BC45" t="inlineStr">
        <is>
          <t xml:space="preserve">CYRILLIC_HA</t>
        </is>
      </c>
      <c r="BD45" s="107"/>
      <c r="BE45" s="107"/>
      <c r="BF45" t="inlineStr">
        <is>
          <t xml:space="preserve">U"\f\f" CYRILLIC_SM_HA</t>
        </is>
      </c>
      <c r="BG45" t="inlineStr">
        <is>
          <t xml:space="preserve">CYRILLIC_HA</t>
        </is>
      </c>
      <c r="BH45" s="108"/>
      <c r="BI45" s="108"/>
      <c r="BJ45" s="109" t="s">
        <v>388</v>
      </c>
      <c r="BK45" t="inlineStr">
        <is>
          <t xml:space="preserve">CYRILLIC_TSE</t>
        </is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t="inlineStr">
        <is>
          <t xml:space="preserve">LATIN_0102</t>
        </is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HEBREW_QAMATS_QATAN</t>
        </is>
      </c>
      <c r="CH45" t="inlineStr">
        <is>
          <t xml:space="preserve">U"\f\f" LATIN_00E5</t>
        </is>
      </c>
      <c r="CI45" t="inlineStr">
        <is>
          <t xml:space="preserve">LATIN_00C5</t>
        </is>
      </c>
      <c r="CJ45" s="112" t="s">
        <v>1304</v>
      </c>
      <c r="CK45" s="112"/>
      <c r="CL45" t="inlineStr">
        <is>
          <t xml:space="preserve">U"\f\f" LATIN_00E5</t>
        </is>
      </c>
      <c r="CM45" t="inlineStr">
        <is>
          <t xml:space="preserve">LATIN_00C5</t>
        </is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t="inlineStr">
        <is>
          <t xml:space="preserve">U"\f\f" LATIN_00E5</t>
        </is>
      </c>
      <c r="CU45" t="inlineStr">
        <is>
          <t xml:space="preserve">LATIN_00C5</t>
        </is>
      </c>
      <c r="CV45" s="110" t="s">
        <v>1304</v>
      </c>
      <c r="CW45" s="110"/>
      <c r="CX45" t="inlineStr">
        <is>
          <t xml:space="preserve">U"\f\f" LATIN_0103</t>
        </is>
      </c>
      <c r="CY45" t="inlineStr">
        <is>
          <t xml:space="preserve">LATIN_0102</t>
        </is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U"\f\f" 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U"\f\f" UMLAUT_U_SMALL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U"\f\f" 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U"\f\f" 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U"\f\f" 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U"\f\f" UMLAUT_U_SMALL</t>
        </is>
      </c>
      <c r="OQ45" t="inlineStr">
        <is>
          <t xml:space="preserve">U"\f\f" 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U"\f\f\f" LATIN_0161</t>
        </is>
      </c>
      <c r="OU45" t="inlineStr">
        <is>
          <t xml:space="preserve">LATIN_0160</t>
        </is>
      </c>
      <c r="OX45" t="inlineStr">
        <is>
          <t xml:space="preserve">U"\f\f" 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U"\f\f\f" UMLAUT_U_SMALL</t>
        </is>
      </c>
      <c r="VK45" t="inlineStr">
        <is>
          <t xml:space="preserve">U"\f\f\f" 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U"\f\f" 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U"\f\f\f" UMLAUT_U_SMALL</t>
        </is>
      </c>
      <c r="WA45" t="inlineStr">
        <is>
          <t xml:space="preserve">U"\f\f" 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U"\f\f" 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U"\f\f\f\f" ARABIC_JEEM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t="inlineStr">
        <is>
          <t xml:space="preserve">U"\f\f\f" POUND_SIGN</t>
        </is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t="inlineStr">
        <is>
          <t xml:space="preserve">U"\f\f" CYRILLIC_SM_YI</t>
        </is>
      </c>
      <c r="AU46" t="inlineStr">
        <is>
          <t xml:space="preserve">CYRILLIC_YI</t>
        </is>
      </c>
      <c r="AV46" s="105"/>
      <c r="AW46" t="inlineStr">
        <is>
          <t xml:space="preserve">CYRILLIC_SM_HARD_SIGN</t>
        </is>
      </c>
      <c r="AX46" t="inlineStr">
        <is>
          <t xml:space="preserve">U"\f\f" CYRILLIC_SM_HARD_SIGN</t>
        </is>
      </c>
      <c r="AY46" t="inlineStr">
        <is>
          <t xml:space="preserve">CYRILLIC_HARD_SIGN</t>
        </is>
      </c>
      <c r="AZ46" s="106"/>
      <c r="BA46" s="106"/>
      <c r="BB46" s="107" t="s">
        <v>1222</v>
      </c>
      <c r="BC46" s="107"/>
      <c r="BD46" s="107"/>
      <c r="BE46" s="107"/>
      <c r="BF46" t="inlineStr">
        <is>
          <t xml:space="preserve">U"\f\f" CYRILLIC_SM_HARD_SIGN</t>
        </is>
      </c>
      <c r="BG46" t="inlineStr">
        <is>
          <t xml:space="preserve">CYRILLIC_HARD_SIGN</t>
        </is>
      </c>
      <c r="BH46" s="108"/>
      <c r="BI46" s="108"/>
      <c r="BJ46" s="109" t="s">
        <v>1197</v>
      </c>
      <c r="BK46" t="inlineStr">
        <is>
          <t xml:space="preserve">U"\f\f\f" SECTION</t>
        </is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t="inlineStr">
        <is>
          <t xml:space="preserve">I_WITH_CIRCUMF</t>
        </is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t="inlineStr">
        <is>
          <t xml:space="preserve">U"\f\f" U_WITH_ACUTE_SMALL</t>
        </is>
      </c>
      <c r="CY46" t="inlineStr">
        <is>
          <t xml:space="preserve">U_WITH_ACUTE</t>
        </is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U"\f\f" 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U"\f\f" 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U"\f\f\f" 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U"\f\f\f" 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U"\f\f\f" 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U"\f\f\f" 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U"\f\f\f" 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U"\f\f\f" 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U"\f\f\f" 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U"\f\f\f" 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U"\f\f" 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U"\f\f\f" 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U"\f\f\f\f" ARABIC_TCHEH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t="inlineStr">
        <is>
          <t xml:space="preserve">U"\f\f\f" MICRO_SIGN</t>
        </is>
      </c>
      <c r="L47" s="96"/>
      <c r="M47" s="96"/>
      <c r="N47" t="inlineStr">
        <is>
          <t xml:space="preserve">U"\f\f\f" C_WITH_CEDILLA_SMALL</t>
        </is>
      </c>
      <c r="O47" t="inlineStr">
        <is>
          <t xml:space="preserve">C_WITH_CEDILLA</t>
        </is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t="inlineStr">
        <is>
          <t xml:space="preserve">U"\f\f" U_WITH_GRAVE_SMALL</t>
        </is>
      </c>
      <c r="W47" t="inlineStr">
        <is>
          <t xml:space="preserve">U"\f\f" U_WITH_ACUTE_SMALL</t>
        </is>
      </c>
      <c r="X47" s="99" t="s">
        <v>129</v>
      </c>
      <c r="Y47" t="inlineStr">
        <is>
          <t xml:space="preserve">U"\f\f\f"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t="inlineStr">
        <is>
          <t xml:space="preserve">LATIN_00C2</t>
        </is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t="inlineStr">
        <is>
          <t xml:space="preserve">U"\f\f" LATIN_00E2</t>
        </is>
      </c>
      <c r="CY47" t="inlineStr">
        <is>
          <t xml:space="preserve">LATIN_00C2</t>
        </is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U"\f\f\f" 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U"\f\f\f" MICRO_SIGN</t>
        </is>
      </c>
      <c r="FW47" t="inlineStr">
        <is>
          <t xml:space="preserve">U"\f\f\f" POUND_SIGN</t>
        </is>
      </c>
      <c r="FX47" t="inlineStr">
        <is>
          <t xml:space="preserve">U"\f\f\f" 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U"\f\f\f" 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U"\f\f\f" MICRO_SIGN</t>
        </is>
      </c>
      <c r="OA47" t="inlineStr">
        <is>
          <t xml:space="preserve">U"\f\f\f" POUND_SIGN</t>
        </is>
      </c>
      <c r="OB47" t="inlineStr">
        <is>
          <t xml:space="preserve">U"\f\f\f" 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U"\f\f\f" 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U"\f\f\f" MICRO_SIGN</t>
        </is>
      </c>
      <c r="RJ47" t="inlineStr">
        <is>
          <t xml:space="preserve">*</t>
        </is>
      </c>
      <c r="RK47" t="inlineStr">
        <is>
          <t xml:space="preserve">U"\f\f\f" MICRO_SIGN</t>
        </is>
      </c>
      <c r="RN47" t="inlineStr">
        <is>
          <t xml:space="preserve">*</t>
        </is>
      </c>
      <c r="RO47" t="inlineStr">
        <is>
          <t xml:space="preserve">U"\f\f\f" MICRO_SIGN</t>
        </is>
      </c>
      <c r="RR47" t="inlineStr">
        <is>
          <t xml:space="preserve">*</t>
        </is>
      </c>
      <c r="RS47" t="inlineStr">
        <is>
          <t xml:space="preserve">U"\f\f\f" MICRO_SIGN</t>
        </is>
      </c>
      <c r="RV47" t="inlineStr">
        <is>
          <t xml:space="preserve">*</t>
        </is>
      </c>
      <c r="RW47" t="inlineStr">
        <is>
          <t xml:space="preserve">U"\f\f\f" 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U"\f\f\f" 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U"\f\f" 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U"\f\f\f" 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U"\f\f\f" 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U"\f\f\f" 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t="inlineStr">
        <is>
          <t xml:space="preserve">U"\x06\x06~"</t>
        </is>
      </c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U"\f\f" 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U"\f\f" 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U"\f\f\f" 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U"\f\f\f" MICRO_SIGN</t>
        </is>
      </c>
      <c r="FW48" t="inlineStr">
        <is>
          <t xml:space="preserve">U"\f\f\f" POUND_SIGN</t>
        </is>
      </c>
      <c r="FX48" t="inlineStr">
        <is>
          <t xml:space="preserve">U"\f\f\f" 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U"\f\f\f" MICRO_SIGN</t>
        </is>
      </c>
      <c r="OA48" t="inlineStr">
        <is>
          <t xml:space="preserve">U"\f\f\f" POUND_SIGN</t>
        </is>
      </c>
      <c r="OB48" t="inlineStr">
        <is>
          <t xml:space="preserve">U"\f\f\f" 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U"\f\f\f" 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U"\f\f\f" 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U"\f\f\f" 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U"\f\f\f" 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t="inlineStr">
        <is>
          <t xml:space="preserve">U"\f\f" UMLAUT_O_SMALL</t>
        </is>
      </c>
      <c r="G49" t="inlineStr">
        <is>
          <t xml:space="preserve">UMLAUT_O</t>
        </is>
      </c>
      <c r="H49" s="95"/>
      <c r="I49" s="95"/>
      <c r="J49" s="96" t="s">
        <v>1176</v>
      </c>
      <c r="K49" t="inlineStr">
        <is>
          <t xml:space="preserve">M</t>
        </is>
      </c>
      <c r="L49" s="96"/>
      <c r="M49" s="96"/>
      <c r="N49" t="inlineStr">
        <is>
          <t xml:space="preserve">U"\f\f\f" N_WITH_TILDE_SMALL</t>
        </is>
      </c>
      <c r="O49" t="inlineStr">
        <is>
          <t xml:space="preserve">N_WITH_TILDE</t>
        </is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t="inlineStr">
        <is>
          <t xml:space="preserve">U"\f\f" CYRILLIC_SM_ZHE</t>
        </is>
      </c>
      <c r="AU49" t="inlineStr">
        <is>
          <t xml:space="preserve">CYRILLIC_ZHE</t>
        </is>
      </c>
      <c r="AV49" s="105"/>
      <c r="AW49" s="105"/>
      <c r="AX49" t="inlineStr">
        <is>
          <t xml:space="preserve">U"\f\f" CYRILLIC_SM_ZHE</t>
        </is>
      </c>
      <c r="AY49" t="inlineStr">
        <is>
          <t xml:space="preserve">CYRILLIC_ZHE</t>
        </is>
      </c>
      <c r="AZ49" s="106"/>
      <c r="BA49" s="106"/>
      <c r="BB49" s="107" t="s">
        <v>366</v>
      </c>
      <c r="BC49" t="inlineStr">
        <is>
          <t xml:space="preserve">CYRILLIC_ZHE</t>
        </is>
      </c>
      <c r="BD49" s="107"/>
      <c r="BE49" s="107"/>
      <c r="BF49" t="inlineStr">
        <is>
          <t xml:space="preserve">U"\f\f" CYRILLIC_SM_ZHE</t>
        </is>
      </c>
      <c r="BG49" t="inlineStr">
        <is>
          <t xml:space="preserve">CYRILLIC_ZHE</t>
        </is>
      </c>
      <c r="BH49" s="108"/>
      <c r="BI49" s="108"/>
      <c r="BJ49" s="109" t="s">
        <v>374</v>
      </c>
      <c r="BK49" t="inlineStr">
        <is>
          <t xml:space="preserve">CYRILLIC_EM</t>
        </is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t="inlineStr">
        <is>
          <t xml:space="preserve">LATIN_015E</t>
        </is>
      </c>
      <c r="BT49" s="110" t="s">
        <v>1325</v>
      </c>
      <c r="BU49" t="inlineStr">
        <is>
          <t xml:space="preserve">U"; :"</t>
        </is>
      </c>
      <c r="BZ49" s="111" t="s">
        <v>1237</v>
      </c>
      <c r="CA49" t="inlineStr">
        <is>
          <t xml:space="preserve">U"\f\f\f" PLUS_MINUS</t>
        </is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HEBREW_SOFPASUQ</t>
        </is>
      </c>
      <c r="CH49" t="inlineStr">
        <is>
          <t xml:space="preserve">U"\f\f" UMLAUT_O_SMALL</t>
        </is>
      </c>
      <c r="CI49" t="inlineStr">
        <is>
          <t xml:space="preserve">UMLAUT_O</t>
        </is>
      </c>
      <c r="CJ49" s="112" t="s">
        <v>161</v>
      </c>
      <c r="CK49" s="112"/>
      <c r="CL49" t="inlineStr">
        <is>
          <t xml:space="preserve">U"\f\f" UMLAUT_O_SMALL</t>
        </is>
      </c>
      <c r="CM49" t="inlineStr">
        <is>
          <t xml:space="preserve">UMLAUT_O</t>
        </is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t="inlineStr">
        <is>
          <t xml:space="preserve">U"\f\f" LATIN_00D8</t>
        </is>
      </c>
      <c r="CU49" t="inlineStr">
        <is>
          <t xml:space="preserve">LATIN_00F8</t>
        </is>
      </c>
      <c r="CV49" s="110" t="s">
        <v>1328</v>
      </c>
      <c r="CW49" s="110"/>
      <c r="CX49" t="inlineStr">
        <is>
          <t xml:space="preserve">U"\f\f" E_WITH_ACUTE_SMALL</t>
        </is>
      </c>
      <c r="CY49" t="inlineStr">
        <is>
          <t xml:space="preserve">E_WITH_ACUTE</t>
        </is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U"\f\f" 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U"\f\f" UMLAUT_O_SMALL</t>
        </is>
      </c>
      <c r="DW49" t="inlineStr">
        <is>
          <t xml:space="preserve">LATIN_00D6</t>
        </is>
      </c>
      <c r="DZ49" t="inlineStr">
        <is>
          <t xml:space="preserve">U"\f\f\f\f" C_WITH_CEDILLA_SMALL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U"\f\f\f" 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U"\x06\x06" 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U"\f\f" 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U"\f\f\f" 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U"\f\f\f" 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U"\f\f\f" 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U"\f\f\f" 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U"\f\f\f" 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U"\f\f\f" 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U"\f\f\f" 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U"\f\f\f" 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U"\f\f\f" 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U"\f\f\f" 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U"\f\f\f" 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U"\f\f\f" 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U"\f\f\f" 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U"\f\f\f" 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U"\f\f\f" 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U"\f\f\f" 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U"\f\f" 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U"\f\f" UMLAUT_O_SMALL</t>
        </is>
      </c>
      <c r="OQ49" t="inlineStr">
        <is>
          <t xml:space="preserve">U"\f\f" E_WITH_ACUTE_SMALL</t>
        </is>
      </c>
      <c r="OR49" t="inlineStr">
        <is>
          <t xml:space="preserve">UMLAUT_O_SMALL</t>
        </is>
      </c>
      <c r="OT49" t="inlineStr">
        <is>
          <t xml:space="preserve">U"\f\f\f" LATIN_010D</t>
        </is>
      </c>
      <c r="OU49" t="inlineStr">
        <is>
          <t xml:space="preserve">LATIN_010C</t>
        </is>
      </c>
      <c r="OX49" t="inlineStr">
        <is>
          <t xml:space="preserve">U"\f\f" 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U"\f\f" N_WITH_TILDE_SMALL</t>
        </is>
      </c>
      <c r="VG49" t="inlineStr">
        <is>
          <t xml:space="preserve">N_WITH_TILDE</t>
        </is>
      </c>
      <c r="VJ49" t="inlineStr">
        <is>
          <t xml:space="preserve">U"\f\f\f" UMLAUT_O_SMALL</t>
        </is>
      </c>
      <c r="VK49" t="inlineStr">
        <is>
          <t xml:space="preserve">U"\f\f\f" E_WITH_ACUTE_SMALL</t>
        </is>
      </c>
      <c r="VL49" t="inlineStr">
        <is>
          <t xml:space="preserve">UMLAUT_O_SMALL</t>
        </is>
      </c>
      <c r="VZ49" t="inlineStr">
        <is>
          <t xml:space="preserve">U"\f\f" UMLAUT_O_SMALL</t>
        </is>
      </c>
      <c r="WA49" t="inlineStr">
        <is>
          <t xml:space="preserve">U"\f\f" E_WITH_ACUTE_SMALL</t>
        </is>
      </c>
      <c r="WB49" t="inlineStr">
        <is>
          <t xml:space="preserve">UMLAUT_O_SMALL</t>
        </is>
      </c>
      <c r="WD49" t="inlineStr">
        <is>
          <t xml:space="preserve">U"\f\f\f" 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U"\f\f\f" 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U"\f\f\f" 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U"\f\f" 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U"\f\f\f" 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t="inlineStr">
        <is>
          <t xml:space="preserve">U"\f\f" UMLAUT_A_SMALL</t>
        </is>
      </c>
      <c r="G50" t="inlineStr">
        <is>
          <t xml:space="preserve">UMLAUT_A</t>
        </is>
      </c>
      <c r="H50" s="95"/>
      <c r="I50" s="95"/>
      <c r="J50" t="inlineStr">
        <is>
          <t xml:space="preserve">U"\f" U_WITH_GRAVE</t>
        </is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t="inlineStr">
        <is>
          <t xml:space="preserve">U"\f\f" A_WITH_GRAVE_SMALL</t>
        </is>
      </c>
      <c r="W50" t="inlineStr">
        <is>
          <t xml:space="preserve">U"\f\f" O_WITH_ACUTE_SMALL</t>
        </is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t="inlineStr">
        <is>
          <t xml:space="preserve">U"\f\f" CYRILLIC_SM_UA_IE</t>
        </is>
      </c>
      <c r="AU50" t="inlineStr">
        <is>
          <t xml:space="preserve">CYRILLIC_UA_IE</t>
        </is>
      </c>
      <c r="AV50" s="105"/>
      <c r="AW50" t="inlineStr">
        <is>
          <t xml:space="preserve">CYRILLIC_SM_E</t>
        </is>
      </c>
      <c r="AX50" t="inlineStr">
        <is>
          <t xml:space="preserve">U"\f\f" CYRILLIC_SM_E</t>
        </is>
      </c>
      <c r="AY50" t="inlineStr">
        <is>
          <t xml:space="preserve">CYRILLIC_E</t>
        </is>
      </c>
      <c r="AZ50" s="106"/>
      <c r="BA50" s="106"/>
      <c r="BB50" s="107" t="s">
        <v>398</v>
      </c>
      <c r="BC50" t="inlineStr">
        <is>
          <t xml:space="preserve">CYRILLIC_E</t>
        </is>
      </c>
      <c r="BD50" s="107"/>
      <c r="BE50" s="107"/>
      <c r="BF50" t="inlineStr">
        <is>
          <t xml:space="preserve">U"\f\f" CYRILLIC_SM_E</t>
        </is>
      </c>
      <c r="BG50" t="inlineStr">
        <is>
          <t xml:space="preserve">CYRILLIC_E</t>
        </is>
      </c>
      <c r="BH50" s="108"/>
      <c r="BI50" s="108"/>
      <c r="BJ50" s="109" t="s">
        <v>389</v>
      </c>
      <c r="BK50" t="inlineStr">
        <is>
          <t xml:space="preserve">CYRILLIC_CHE</t>
        </is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t="inlineStr">
        <is>
          <t xml:space="preserve">LATIN_0162</t>
        </is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t="inlineStr">
        <is>
          <t xml:space="preserve">U"\f\f\f" UMLAUT_A_SMALL</t>
        </is>
      </c>
      <c r="CI50" t="inlineStr">
        <is>
          <t xml:space="preserve">UMLAUT_A</t>
        </is>
      </c>
      <c r="CJ50" s="112" t="s">
        <v>139</v>
      </c>
      <c r="CK50" s="112"/>
      <c r="CL50" t="inlineStr">
        <is>
          <t xml:space="preserve">U"\f\f" UMLAUT_A_SMALL</t>
        </is>
      </c>
      <c r="CM50" t="inlineStr">
        <is>
          <t xml:space="preserve">UMLAUT_A</t>
        </is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t="inlineStr">
        <is>
          <t xml:space="preserve">U"\f\f" LATIN_00C6</t>
        </is>
      </c>
      <c r="CU50" t="inlineStr">
        <is>
          <t xml:space="preserve">LATIN_00E6</t>
        </is>
      </c>
      <c r="CV50" s="110" t="s">
        <v>1338</v>
      </c>
      <c r="CW50" s="110"/>
      <c r="CX50" t="inlineStr">
        <is>
          <t xml:space="preserve">U"\f\f" LATIN_00E1</t>
        </is>
      </c>
      <c r="CY50" t="inlineStr">
        <is>
          <t xml:space="preserve">LATIN_00C1</t>
        </is>
      </c>
      <c r="CZ50" s="114" t="s">
        <v>1340</v>
      </c>
      <c r="DA50" s="114" t="s">
        <v>135</v>
      </c>
      <c r="DB50" t="inlineStr">
        <is>
          <t xml:space="preserve">U"\f\f\f" SECTION</t>
        </is>
      </c>
      <c r="DC50" s="115" t="s">
        <v>1236</v>
      </c>
      <c r="DD50" t="inlineStr">
        <is>
          <t xml:space="preserve">U"\f\f\f" SECTION</t>
        </is>
      </c>
      <c r="DE50" s="115" t="s">
        <v>135</v>
      </c>
      <c r="DF50" t="inlineStr">
        <is>
          <t xml:space="preserve">U"\f\f" LATIN_0107</t>
        </is>
      </c>
      <c r="DG50" t="inlineStr">
        <is>
          <t xml:space="preserve">LATIN_0106</t>
        </is>
      </c>
      <c r="DJ50" t="inlineStr">
        <is>
          <t xml:space="preserve">U"\f\f\f" SECTION</t>
        </is>
      </c>
      <c r="DK50" t="inlineStr">
        <is>
          <t xml:space="preserve">!</t>
        </is>
      </c>
      <c r="DL50" t="inlineStr">
        <is>
          <t xml:space="preserve">U"\f\f\f" SECTION</t>
        </is>
      </c>
      <c r="DV50" t="inlineStr">
        <is>
          <t xml:space="preserve">U"\f\f" UMLAUT_A_SMALL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U"\f" 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U"\f\f\f" 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U"\f\f" UMLAUT_A_SMALL</t>
        </is>
      </c>
      <c r="NW50" t="inlineStr">
        <is>
          <t xml:space="preserve">UMLAUT_A</t>
        </is>
      </c>
      <c r="NZ50" t="inlineStr">
        <is>
          <t xml:space="preserve">U"\f\f\f" 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U"\f\f" UMLAUT_A_SMALL</t>
        </is>
      </c>
      <c r="OQ50" t="inlineStr">
        <is>
          <t xml:space="preserve">U"\f\f" 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U"\f\f\f" LATIN_0107</t>
        </is>
      </c>
      <c r="OU50" t="inlineStr">
        <is>
          <t xml:space="preserve">LATIN_0106</t>
        </is>
      </c>
      <c r="OX50" t="inlineStr">
        <is>
          <t xml:space="preserve">U"\f\f" 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U"\f\f\f" UMLAUT_A_SMALL</t>
        </is>
      </c>
      <c r="VK50" t="inlineStr">
        <is>
          <t xml:space="preserve">U"\f\f\f" 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U"\f\f" UMLAUT_A_SMALL</t>
        </is>
      </c>
      <c r="WA50" t="inlineStr">
        <is>
          <t xml:space="preserve">U"\f\f" 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U"\f\f\f" LETTER_AE_SMALL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t="inlineStr">
        <is>
          <t xml:space="preserve">U"\f\f" CYRILLIC_SM_IO</t>
        </is>
      </c>
      <c r="AY51" t="inlineStr">
        <is>
          <t xml:space="preserve">CYRILLIC_IO</t>
        </is>
      </c>
      <c r="AZ51" s="106"/>
      <c r="BA51" s="106"/>
      <c r="BB51" s="107" t="s">
        <v>404</v>
      </c>
      <c r="BC51" t="inlineStr">
        <is>
          <t xml:space="preserve">CYRILLIC_IO</t>
        </is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t="inlineStr">
        <is>
          <t xml:space="preserve">U"\f\f\f\x06" SECTION</t>
        </is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t="inlineStr">
        <is>
          <t xml:space="preserve">U"\f\f\f" SECTION</t>
        </is>
      </c>
      <c r="CI51" s="134" t="s">
        <v>98</v>
      </c>
      <c r="CJ51" t="inlineStr">
        <is>
          <t xml:space="preserve">U"\f\f\f" SECTION</t>
        </is>
      </c>
      <c r="CK51" s="112"/>
      <c r="CL51" t="inlineStr">
        <is>
          <t xml:space="preserve">U"\f\f\f" SECTION</t>
        </is>
      </c>
      <c r="CM51" s="135" t="s">
        <v>98</v>
      </c>
      <c r="CN51" t="inlineStr">
        <is>
          <t xml:space="preserve">U"\f\f\f" SECTION</t>
        </is>
      </c>
      <c r="CO51" s="113"/>
      <c r="CP51" s="131" t="s">
        <v>1224</v>
      </c>
      <c r="CQ51" t="inlineStr">
        <is>
          <t xml:space="preserve">U"\f\f\f" SECTION</t>
        </is>
      </c>
      <c r="CR51" s="131" t="s">
        <v>1224</v>
      </c>
      <c r="CS51" s="84"/>
      <c r="CT51" t="inlineStr">
        <is>
          <t xml:space="preserve">U"\f\f" HALF_SIGN</t>
        </is>
      </c>
      <c r="CU51" t="inlineStr">
        <is>
          <t xml:space="preserve">U"\f\f\f" SECTION</t>
        </is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U"\f\f\f" SECTION</t>
        </is>
      </c>
      <c r="FS51" t="inlineStr">
        <is>
          <t xml:space="preserve">DEGREE</t>
        </is>
      </c>
      <c r="FT51" t="inlineStr">
        <is>
          <t xml:space="preserve">U"\f\f\f" 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U"\f\f\f" SECTION</t>
        </is>
      </c>
      <c r="OQ51" t="inlineStr">
        <is>
          <t xml:space="preserve">DEGREE</t>
        </is>
      </c>
      <c r="OR51" t="inlineStr">
        <is>
          <t xml:space="preserve">U"\f\f\f" 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U"\f\f\f" 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U"\f\f\f" SECTION</t>
        </is>
      </c>
      <c r="VK51" t="inlineStr">
        <is>
          <t xml:space="preserve">DEGREE</t>
        </is>
      </c>
      <c r="VL51" t="inlineStr">
        <is>
          <t xml:space="preserve">U"\f\f\f" 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U"\f\f" 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U"\f\f\f" SECTION</t>
        </is>
      </c>
      <c r="WA51" t="inlineStr">
        <is>
          <t xml:space="preserve">DEGREE</t>
        </is>
      </c>
      <c r="WB51" t="inlineStr">
        <is>
          <t xml:space="preserve">U"\f\f\f" 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t="inlineStr">
        <is>
          <t xml:space="preserve">U"\f" CYRILLIC_SM_BE</t>
        </is>
      </c>
      <c r="AU52" t="inlineStr">
        <is>
          <t xml:space="preserve">CYRILLIC_BE</t>
        </is>
      </c>
      <c r="AV52" s="105"/>
      <c r="AW52" s="105"/>
      <c r="AX52" s="106" t="s">
        <v>361</v>
      </c>
      <c r="AY52" t="inlineStr">
        <is>
          <t xml:space="preserve">CYRILLIC_BE</t>
        </is>
      </c>
      <c r="AZ52" s="106"/>
      <c r="BA52" s="106"/>
      <c r="BB52" s="107" t="s">
        <v>361</v>
      </c>
      <c r="BC52" t="inlineStr">
        <is>
          <t xml:space="preserve">CYRILLIC_BE</t>
        </is>
      </c>
      <c r="BD52" s="107"/>
      <c r="BE52" s="107"/>
      <c r="BF52" t="inlineStr">
        <is>
          <t xml:space="preserve">U"\f" CYRILLIC_SM_BE</t>
        </is>
      </c>
      <c r="BG52" t="inlineStr">
        <is>
          <t xml:space="preserve">CYRILLIC_BE</t>
        </is>
      </c>
      <c r="BH52" s="108"/>
      <c r="BI52" s="108"/>
      <c r="BJ52" s="109" t="s">
        <v>382</v>
      </c>
      <c r="BK52" t="inlineStr">
        <is>
          <t xml:space="preserve">CYRILLIC_ER</t>
        </is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U"\x06\x06" 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ARABIC_JEH</t>
        </is>
      </c>
      <c r="AP53" s="104" t="s">
        <v>1267</v>
      </c>
      <c r="AQ53" s="104" t="s">
        <v>1223</v>
      </c>
      <c r="AR53" s="104" t="s">
        <v>1267</v>
      </c>
      <c r="AS53" s="104"/>
      <c r="AT53" t="inlineStr">
        <is>
          <t xml:space="preserve">U"\f\f" CYRILLIC_SM_YU</t>
        </is>
      </c>
      <c r="AU53" t="inlineStr">
        <is>
          <t xml:space="preserve">CYRILLIC_YU</t>
        </is>
      </c>
      <c r="AV53" s="105"/>
      <c r="AW53" s="105"/>
      <c r="AX53" t="inlineStr">
        <is>
          <t xml:space="preserve">U"\f\f" CYRILLIC_SM_YU</t>
        </is>
      </c>
      <c r="AY53" t="inlineStr">
        <is>
          <t xml:space="preserve">CYRILLIC_YU</t>
        </is>
      </c>
      <c r="AZ53" s="106"/>
      <c r="BA53" s="106"/>
      <c r="BB53" s="107" t="s">
        <v>400</v>
      </c>
      <c r="BC53" t="inlineStr">
        <is>
          <t xml:space="preserve">CYRILLIC_YU</t>
        </is>
      </c>
      <c r="BD53" s="107"/>
      <c r="BE53" s="107"/>
      <c r="BF53" t="inlineStr">
        <is>
          <t xml:space="preserve">U"\f\f" CYRILLIC_SM_YU</t>
        </is>
      </c>
      <c r="BG53" t="inlineStr">
        <is>
          <t xml:space="preserve">CYRILLIC_YU</t>
        </is>
      </c>
      <c r="BH53" s="108"/>
      <c r="BI53" s="108"/>
      <c r="BJ53" s="109" t="s">
        <v>372</v>
      </c>
      <c r="BK53" t="inlineStr">
        <is>
          <t xml:space="preserve">CYRILLIC_EL</t>
        </is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U"\f\f\f" 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t="inlineStr">
        <is>
          <t xml:space="preserve">U"\f\f\f" SECTION</t>
        </is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t="inlineStr">
        <is>
          <t xml:space="preserve">U"\x06\x06?"</t>
        </is>
      </c>
      <c r="BH54" s="108" t="s">
        <v>686</v>
      </c>
      <c r="BI54" s="108"/>
      <c r="BJ54" s="109" t="s">
        <v>361</v>
      </c>
      <c r="BK54" t="inlineStr">
        <is>
          <t xml:space="preserve">CYRILLIC_BE</t>
        </is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U"\f\f" 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U"\f\f\f" 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U"\f\f\f" SECTION</t>
        </is>
      </c>
      <c r="RJ54" t="inlineStr">
        <is>
          <t xml:space="preserve">!</t>
        </is>
      </c>
      <c r="RK54" t="inlineStr">
        <is>
          <t xml:space="preserve">U"\f\f\f" SECTION</t>
        </is>
      </c>
      <c r="RN54" t="inlineStr">
        <is>
          <t xml:space="preserve">!</t>
        </is>
      </c>
      <c r="RO54" t="inlineStr">
        <is>
          <t xml:space="preserve">U"\f\f\f" SECTION</t>
        </is>
      </c>
      <c r="RR54" t="inlineStr">
        <is>
          <t xml:space="preserve">!</t>
        </is>
      </c>
      <c r="RS54" t="inlineStr">
        <is>
          <t xml:space="preserve">U"\f\f\f" SECTION</t>
        </is>
      </c>
      <c r="RV54" t="inlineStr">
        <is>
          <t xml:space="preserve">!</t>
        </is>
      </c>
      <c r="RW54" t="inlineStr">
        <is>
          <t xml:space="preserve">U"\f\f\f" 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U"\f\f\f" 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ARABIC_QMARK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t="inlineStr">
        <is>
          <t xml:space="preserve">CYRILLIC_I_W_GRAVE</t>
        </is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t="inlineStr">
        <is>
          <t xml:space="preserve">U"\f\f" I_WITH_ACUTE_SMALL</t>
        </is>
      </c>
      <c r="CY55" t="inlineStr">
        <is>
          <t xml:space="preserve">I_WITH_ACUTE</t>
        </is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U"\f\f" 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U"\f\f\f" 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>
        <v>55</v>
      </c>
      <c r="J56" s="144"/>
      <c r="K56" s="144" t="s">
        <v>1354</v>
      </c>
      <c r="L56" s="144"/>
      <c r="M56">
        <v>55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>
        <v>55</v>
      </c>
      <c r="V56" s="147"/>
      <c r="W56" s="147" t="s">
        <v>1354</v>
      </c>
      <c r="X56" s="147"/>
      <c r="Y56">
        <v>54</v>
      </c>
      <c r="Z56" s="148"/>
      <c r="AA56" s="148" t="s">
        <v>1354</v>
      </c>
      <c r="AB56" s="148"/>
      <c r="AC56" s="148" t="n">
        <v>50</v>
      </c>
      <c r="AD56" s="149"/>
      <c r="AE56">
        <v>37</v>
      </c>
      <c r="AF56" s="149"/>
      <c r="AG56" s="149"/>
      <c r="AH56" s="150"/>
      <c r="AI56" s="150" t="s">
        <v>1354</v>
      </c>
      <c r="AJ56" s="150"/>
      <c r="AK56" s="150"/>
      <c r="AL56" s="151"/>
      <c r="AM56">
        <v>47</v>
      </c>
      <c r="AN56" s="151"/>
      <c r="AO56">
        <v>64</v>
      </c>
      <c r="AP56" s="152"/>
      <c r="AQ56" s="152" t="s">
        <v>1354</v>
      </c>
      <c r="AR56" s="152"/>
      <c r="AS56">
        <v>56</v>
      </c>
      <c r="AT56" s="153"/>
      <c r="AU56" s="153" t="s">
        <v>1354</v>
      </c>
      <c r="AV56" s="153"/>
      <c r="AW56">
        <v>53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>
        <v>55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>
        <v>56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>
        <v>55</v>
      </c>
      <c r="CL56" s="167"/>
      <c r="CM56" s="167" t="s">
        <v>1354</v>
      </c>
      <c r="CN56" s="167"/>
      <c r="CO56">
        <v>56</v>
      </c>
      <c r="CP56" s="163"/>
      <c r="CQ56" s="163" t="s">
        <v>1354</v>
      </c>
      <c r="CR56" s="163"/>
      <c r="CS56">
        <v>54</v>
      </c>
      <c r="CT56" s="162"/>
      <c r="CU56" s="162" t="s">
        <v>1354</v>
      </c>
      <c r="CV56" s="162"/>
      <c r="CW56">
        <v>56</v>
      </c>
      <c r="CX56" s="169"/>
      <c r="CY56" s="169" t="s">
        <v>1354</v>
      </c>
      <c r="CZ56" s="169"/>
      <c r="DA56">
        <v>57</v>
      </c>
      <c r="DB56" s="171"/>
      <c r="DC56" s="171" t="s">
        <v>1354</v>
      </c>
      <c r="DD56" s="171"/>
      <c r="DE56">
        <v>59</v>
      </c>
      <c r="DG56" t="inlineStr">
        <is>
          <t xml:space="preserve">HIDE</t>
        </is>
      </c>
      <c r="DI56">
        <v>58</v>
      </c>
      <c r="DK56" t="inlineStr">
        <is>
          <t xml:space="preserve">HIDE</t>
        </is>
      </c>
      <c r="DM56">
        <v>55</v>
      </c>
      <c r="DO56" t="inlineStr">
        <is>
          <t xml:space="preserve">HIDE</t>
        </is>
      </c>
      <c r="DQ56">
        <v>56</v>
      </c>
      <c r="DS56" t="inlineStr">
        <is>
          <t xml:space="preserve">HIDE</t>
        </is>
      </c>
      <c r="DU56">
        <v>54</v>
      </c>
      <c r="DW56" t="inlineStr">
        <is>
          <t xml:space="preserve">HIDE</t>
        </is>
      </c>
      <c r="DY56">
        <v>55</v>
      </c>
      <c r="EA56" t="inlineStr">
        <is>
          <t xml:space="preserve">HIDE</t>
        </is>
      </c>
      <c r="EC56">
        <v>54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61</v>
      </c>
      <c r="EU56">
        <v>40</v>
      </c>
      <c r="EW56">
        <v>61</v>
      </c>
      <c r="EY56">
        <v>40</v>
      </c>
      <c r="FA56">
        <v>52</v>
      </c>
      <c r="FC56" t="inlineStr">
        <is>
          <t xml:space="preserve">HIDE</t>
        </is>
      </c>
      <c r="FE56">
        <v>53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55</v>
      </c>
      <c r="FW56" t="inlineStr">
        <is>
          <t xml:space="preserve">HIDE</t>
        </is>
      </c>
      <c r="FY56">
        <v>54</v>
      </c>
      <c r="GA56" t="inlineStr">
        <is>
          <t xml:space="preserve">HIDE</t>
        </is>
      </c>
      <c r="GC56">
        <v>55</v>
      </c>
      <c r="GE56">
        <v>40</v>
      </c>
      <c r="GG56">
        <v>52</v>
      </c>
      <c r="GI56">
        <v>40</v>
      </c>
      <c r="GK56">
        <v>52</v>
      </c>
      <c r="GM56">
        <v>45</v>
      </c>
      <c r="GO56">
        <v>52</v>
      </c>
      <c r="GQ56">
        <v>49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55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47</v>
      </c>
      <c r="JM56">
        <v>64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47</v>
      </c>
      <c r="KG56">
        <v>64</v>
      </c>
      <c r="KI56">
        <v>47</v>
      </c>
      <c r="KK56">
        <v>64</v>
      </c>
      <c r="KM56">
        <v>53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55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55</v>
      </c>
      <c r="OA56" t="inlineStr">
        <is>
          <t xml:space="preserve">HIDE</t>
        </is>
      </c>
      <c r="OC56">
        <v>55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55</v>
      </c>
      <c r="OM56" t="inlineStr">
        <is>
          <t xml:space="preserve">HIDE</t>
        </is>
      </c>
      <c r="OO56">
        <v>56</v>
      </c>
      <c r="OQ56" t="inlineStr">
        <is>
          <t xml:space="preserve">HIDE</t>
        </is>
      </c>
      <c r="OS56">
        <v>55</v>
      </c>
      <c r="OU56" t="inlineStr">
        <is>
          <t xml:space="preserve">HIDE</t>
        </is>
      </c>
      <c r="OW56">
        <v>56</v>
      </c>
      <c r="OY56" t="inlineStr">
        <is>
          <t xml:space="preserve">HIDE</t>
        </is>
      </c>
      <c r="PA56">
        <v>56</v>
      </c>
      <c r="PC56">
        <v>47</v>
      </c>
      <c r="PE56">
        <v>64</v>
      </c>
      <c r="PG56">
        <v>47</v>
      </c>
      <c r="PI56">
        <v>64</v>
      </c>
      <c r="PK56">
        <v>47</v>
      </c>
      <c r="PM56">
        <v>64</v>
      </c>
      <c r="PO56">
        <v>47</v>
      </c>
      <c r="PQ56">
        <v>64</v>
      </c>
      <c r="PS56">
        <v>47</v>
      </c>
      <c r="PU56">
        <v>64</v>
      </c>
      <c r="PW56">
        <v>47</v>
      </c>
      <c r="PY56">
        <v>64</v>
      </c>
      <c r="QA56">
        <v>47</v>
      </c>
      <c r="QC56">
        <v>64</v>
      </c>
      <c r="QE56">
        <v>47</v>
      </c>
      <c r="QG56">
        <v>64</v>
      </c>
      <c r="QI56">
        <v>47</v>
      </c>
      <c r="QK56">
        <v>64</v>
      </c>
      <c r="QM56">
        <v>47</v>
      </c>
      <c r="QO56">
        <v>64</v>
      </c>
      <c r="QQ56">
        <v>47</v>
      </c>
      <c r="QS56">
        <v>64</v>
      </c>
      <c r="QU56">
        <v>47</v>
      </c>
      <c r="QW56">
        <v>64</v>
      </c>
      <c r="QY56">
        <v>47</v>
      </c>
      <c r="RA56">
        <v>64</v>
      </c>
      <c r="RC56">
        <v>47</v>
      </c>
      <c r="RE56">
        <v>64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56</v>
      </c>
      <c r="SU56" t="inlineStr">
        <is>
          <t xml:space="preserve">HIDE</t>
        </is>
      </c>
      <c r="SW56">
        <v>56</v>
      </c>
      <c r="SY56">
        <v>40</v>
      </c>
      <c r="TA56">
        <v>63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56</v>
      </c>
      <c r="VG56" t="inlineStr">
        <is>
          <t xml:space="preserve">HIDE</t>
        </is>
      </c>
      <c r="VI56">
        <v>55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56</v>
      </c>
      <c r="VS56" t="inlineStr">
        <is>
          <t xml:space="preserve">HIDE</t>
        </is>
      </c>
      <c r="VU56">
        <v>59</v>
      </c>
      <c r="VW56" t="inlineStr">
        <is>
          <t xml:space="preserve">HIDE</t>
        </is>
      </c>
      <c r="VY56">
        <v>56</v>
      </c>
      <c r="WA56" t="inlineStr">
        <is>
          <t xml:space="preserve">HIDE</t>
        </is>
      </c>
      <c r="WC56">
        <v>55</v>
      </c>
      <c r="WE56" t="inlineStr">
        <is>
          <t xml:space="preserve">HIDE</t>
        </is>
      </c>
      <c r="WG56">
        <v>54</v>
      </c>
      <c r="WI56" t="inlineStr">
        <is>
          <t xml:space="preserve">HIDE</t>
        </is>
      </c>
      <c r="WK56">
        <v>55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58</v>
      </c>
      <c r="WY56" t="inlineStr">
        <is>
          <t xml:space="preserve">HIDE</t>
        </is>
      </c>
      <c r="XA56">
        <v>50</v>
      </c>
      <c r="XC56">
        <v>40</v>
      </c>
      <c r="XE56">
        <v>65</v>
      </c>
      <c r="XG56">
        <v>34</v>
      </c>
      <c r="XK56" t="inlineStr">
        <is>
          <t xml:space="preserve">HIDE</t>
        </is>
      </c>
      <c r="XM56">
        <v>54</v>
      </c>
      <c r="XO56">
        <v>26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15</v>
      </c>
      <c r="J57" s="144"/>
      <c r="K57" s="144" t="s">
        <v>1354</v>
      </c>
      <c r="L57" s="144"/>
      <c r="M57">
        <v>15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15</v>
      </c>
      <c r="V57" s="147"/>
      <c r="W57" s="147" t="s">
        <v>1354</v>
      </c>
      <c r="X57" s="147"/>
      <c r="Y57">
        <v>17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19</v>
      </c>
      <c r="AP57" s="152"/>
      <c r="AQ57" s="152" t="s">
        <v>1354</v>
      </c>
      <c r="AR57" s="152"/>
      <c r="AS57">
        <v>15</v>
      </c>
      <c r="AT57" s="153"/>
      <c r="AU57" s="153" t="s">
        <v>1354</v>
      </c>
      <c r="AV57" s="153"/>
      <c r="AW57">
        <v>13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>
        <v>16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>
        <v>17</v>
      </c>
      <c r="CL57" s="167"/>
      <c r="CM57" s="167" t="s">
        <v>1354</v>
      </c>
      <c r="CN57" s="167"/>
      <c r="CO57">
        <v>16</v>
      </c>
      <c r="CP57" s="163"/>
      <c r="CQ57" s="163" t="s">
        <v>1354</v>
      </c>
      <c r="CR57" s="163"/>
      <c r="CS57">
        <v>16</v>
      </c>
      <c r="CT57" s="162"/>
      <c r="CU57" s="162" t="s">
        <v>1354</v>
      </c>
      <c r="CV57" s="162"/>
      <c r="CW57">
        <v>16</v>
      </c>
      <c r="CX57" s="169"/>
      <c r="CY57" s="169" t="s">
        <v>1354</v>
      </c>
      <c r="CZ57" s="169"/>
      <c r="DA57">
        <v>16</v>
      </c>
      <c r="DB57" s="171"/>
      <c r="DC57" s="171" t="s">
        <v>1354</v>
      </c>
      <c r="DD57" s="171"/>
      <c r="DE57">
        <v>15</v>
      </c>
      <c r="DG57" t="inlineStr">
        <is>
          <t xml:space="preserve">HIDE</t>
        </is>
      </c>
      <c r="DI57">
        <v>16</v>
      </c>
      <c r="DK57" t="inlineStr">
        <is>
          <t xml:space="preserve">HIDE</t>
        </is>
      </c>
      <c r="DM57">
        <v>16</v>
      </c>
      <c r="DO57" t="inlineStr">
        <is>
          <t xml:space="preserve">HIDE</t>
        </is>
      </c>
      <c r="DQ57">
        <v>16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15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8</v>
      </c>
      <c r="EU57">
        <v>0</v>
      </c>
      <c r="EW57">
        <v>8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15</v>
      </c>
      <c r="FW57" t="inlineStr">
        <is>
          <t xml:space="preserve">HIDE</t>
        </is>
      </c>
      <c r="FY57">
        <v>15</v>
      </c>
      <c r="GA57" t="inlineStr">
        <is>
          <t xml:space="preserve">HIDE</t>
        </is>
      </c>
      <c r="GC57">
        <v>15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4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17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19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19</v>
      </c>
      <c r="KI57">
        <v>0</v>
      </c>
      <c r="KK57">
        <v>19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15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15</v>
      </c>
      <c r="OA57" t="inlineStr">
        <is>
          <t xml:space="preserve">HIDE</t>
        </is>
      </c>
      <c r="OC57">
        <v>17</v>
      </c>
      <c r="OE57" t="inlineStr">
        <is>
          <t xml:space="preserve">HIDE</t>
        </is>
      </c>
      <c r="OG57">
        <v>15</v>
      </c>
      <c r="OI57" t="inlineStr">
        <is>
          <t xml:space="preserve">HIDE</t>
        </is>
      </c>
      <c r="OK57">
        <v>12</v>
      </c>
      <c r="OM57" t="inlineStr">
        <is>
          <t xml:space="preserve">HIDE</t>
        </is>
      </c>
      <c r="OO57">
        <v>16</v>
      </c>
      <c r="OQ57" t="inlineStr">
        <is>
          <t xml:space="preserve">HIDE</t>
        </is>
      </c>
      <c r="OS57">
        <v>15</v>
      </c>
      <c r="OU57" t="inlineStr">
        <is>
          <t xml:space="preserve">HIDE</t>
        </is>
      </c>
      <c r="OW57">
        <v>17</v>
      </c>
      <c r="OY57" t="inlineStr">
        <is>
          <t xml:space="preserve">HIDE</t>
        </is>
      </c>
      <c r="PA57">
        <v>16</v>
      </c>
      <c r="PC57">
        <v>0</v>
      </c>
      <c r="PE57">
        <v>19</v>
      </c>
      <c r="PG57">
        <v>0</v>
      </c>
      <c r="PI57">
        <v>19</v>
      </c>
      <c r="PK57">
        <v>0</v>
      </c>
      <c r="PM57">
        <v>19</v>
      </c>
      <c r="PO57">
        <v>0</v>
      </c>
      <c r="PQ57">
        <v>19</v>
      </c>
      <c r="PS57">
        <v>0</v>
      </c>
      <c r="PU57">
        <v>19</v>
      </c>
      <c r="PW57">
        <v>0</v>
      </c>
      <c r="PY57">
        <v>19</v>
      </c>
      <c r="QA57">
        <v>0</v>
      </c>
      <c r="QC57">
        <v>19</v>
      </c>
      <c r="QE57">
        <v>0</v>
      </c>
      <c r="QG57">
        <v>19</v>
      </c>
      <c r="QI57">
        <v>0</v>
      </c>
      <c r="QK57">
        <v>19</v>
      </c>
      <c r="QM57">
        <v>0</v>
      </c>
      <c r="QO57">
        <v>19</v>
      </c>
      <c r="QQ57">
        <v>0</v>
      </c>
      <c r="QS57">
        <v>19</v>
      </c>
      <c r="QU57">
        <v>0</v>
      </c>
      <c r="QW57">
        <v>19</v>
      </c>
      <c r="QY57">
        <v>0</v>
      </c>
      <c r="RA57">
        <v>19</v>
      </c>
      <c r="RC57">
        <v>0</v>
      </c>
      <c r="RE57">
        <v>19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17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16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11</v>
      </c>
      <c r="WA57" t="inlineStr">
        <is>
          <t xml:space="preserve">HIDE</t>
        </is>
      </c>
      <c r="WC57">
        <v>16</v>
      </c>
      <c r="WE57" t="inlineStr">
        <is>
          <t xml:space="preserve">HIDE</t>
        </is>
      </c>
      <c r="WG57">
        <v>11</v>
      </c>
      <c r="WI57" t="inlineStr">
        <is>
          <t xml:space="preserve">HIDE</t>
        </is>
      </c>
      <c r="WK57">
        <v>11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9</v>
      </c>
      <c r="WY57" t="inlineStr">
        <is>
          <t xml:space="preserve">HIDE</t>
        </is>
      </c>
      <c r="XA57">
        <v>12</v>
      </c>
      <c r="XC57">
        <v>0</v>
      </c>
      <c r="XE57">
        <v>15</v>
      </c>
      <c r="XG57">
        <v>0</v>
      </c>
      <c r="XK57" t="inlineStr">
        <is>
          <t xml:space="preserve">HIDE</t>
        </is>
      </c>
      <c r="XM57">
        <v>13</v>
      </c>
      <c r="XO57">
        <v>0</v>
      </c>
      <c r="XQ57">
        <v>16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>
        <v>61</v>
      </c>
      <c r="J58" s="144"/>
      <c r="K58" s="144" t="n">
        <v>28</v>
      </c>
      <c r="L58" s="144"/>
      <c r="M58">
        <v>57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>
        <v>58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>
        <v>55</v>
      </c>
      <c r="AT58" s="153"/>
      <c r="AU58" s="153" t="n">
        <v>30</v>
      </c>
      <c r="AV58" s="153"/>
      <c r="AW58">
        <v>54</v>
      </c>
      <c r="AX58" s="154"/>
      <c r="AY58" s="155" t="n">
        <v>30</v>
      </c>
      <c r="AZ58" s="154"/>
      <c r="BA58">
        <v>55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>
        <v>27</v>
      </c>
      <c r="BP58" s="143"/>
      <c r="BQ58">
        <v>57</v>
      </c>
      <c r="BR58" s="162"/>
      <c r="BS58" s="162" t="n">
        <v>25</v>
      </c>
      <c r="BT58" s="162"/>
      <c r="BU58">
        <v>58</v>
      </c>
      <c r="BW58">
        <v>35</v>
      </c>
      <c r="BY58">
        <v>50</v>
      </c>
      <c r="BZ58" s="164"/>
      <c r="CA58" s="164" t="n">
        <v>28</v>
      </c>
      <c r="CB58" s="164"/>
      <c r="CC58">
        <v>56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>
        <v>57</v>
      </c>
      <c r="CL58" s="167"/>
      <c r="CM58" s="167" t="n">
        <v>27</v>
      </c>
      <c r="CN58" s="167"/>
      <c r="CO58">
        <v>55</v>
      </c>
      <c r="CP58" s="163"/>
      <c r="CQ58" s="163" t="n">
        <v>27</v>
      </c>
      <c r="CR58" s="163"/>
      <c r="CS58">
        <v>58</v>
      </c>
      <c r="CT58" s="162"/>
      <c r="CU58" s="162" t="n">
        <v>27</v>
      </c>
      <c r="CV58" s="162"/>
      <c r="CW58">
        <v>62</v>
      </c>
      <c r="CX58" s="169"/>
      <c r="CY58" s="169" t="n">
        <v>25</v>
      </c>
      <c r="CZ58" s="169"/>
      <c r="DA58">
        <v>62</v>
      </c>
      <c r="DB58" s="171"/>
      <c r="DC58" s="171" t="n">
        <v>25</v>
      </c>
      <c r="DD58" s="171"/>
      <c r="DE58">
        <v>59</v>
      </c>
      <c r="DG58">
        <v>30</v>
      </c>
      <c r="DI58">
        <v>60</v>
      </c>
      <c r="DK58">
        <v>30</v>
      </c>
      <c r="DM58">
        <v>57</v>
      </c>
      <c r="DO58">
        <v>30</v>
      </c>
      <c r="DQ58">
        <v>57</v>
      </c>
      <c r="DS58">
        <v>28</v>
      </c>
      <c r="DU58">
        <v>58</v>
      </c>
      <c r="DW58">
        <v>30</v>
      </c>
      <c r="DY58">
        <v>57</v>
      </c>
      <c r="EA58">
        <v>30</v>
      </c>
      <c r="EC58">
        <v>60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55</v>
      </c>
      <c r="FK58">
        <v>28</v>
      </c>
      <c r="FM58">
        <v>56</v>
      </c>
      <c r="FO58">
        <v>28</v>
      </c>
      <c r="FQ58">
        <v>57</v>
      </c>
      <c r="FS58">
        <v>27</v>
      </c>
      <c r="FU58">
        <v>61</v>
      </c>
      <c r="FW58">
        <v>28</v>
      </c>
      <c r="FY58">
        <v>59</v>
      </c>
      <c r="GA58">
        <v>28</v>
      </c>
      <c r="GC58">
        <v>55</v>
      </c>
      <c r="GE58">
        <v>28</v>
      </c>
      <c r="GG58">
        <v>56</v>
      </c>
      <c r="GI58">
        <v>28</v>
      </c>
      <c r="GK58">
        <v>52</v>
      </c>
      <c r="GM58">
        <v>32</v>
      </c>
      <c r="GO58">
        <v>52</v>
      </c>
      <c r="GQ58">
        <v>45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56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56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56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56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33</v>
      </c>
      <c r="LA58">
        <v>59</v>
      </c>
      <c r="LC58">
        <v>28</v>
      </c>
      <c r="LE58">
        <v>58</v>
      </c>
      <c r="LG58">
        <v>35</v>
      </c>
      <c r="LK58">
        <v>28</v>
      </c>
      <c r="LM58">
        <v>58</v>
      </c>
      <c r="LO58">
        <v>28</v>
      </c>
      <c r="LQ58">
        <v>57</v>
      </c>
      <c r="LS58">
        <v>28</v>
      </c>
      <c r="LU58">
        <v>57</v>
      </c>
      <c r="LW58">
        <v>28</v>
      </c>
      <c r="LY58">
        <v>57</v>
      </c>
      <c r="MA58">
        <v>28</v>
      </c>
      <c r="MC58">
        <v>57</v>
      </c>
      <c r="ME58">
        <v>28</v>
      </c>
      <c r="MG58">
        <v>57</v>
      </c>
      <c r="MI58">
        <v>28</v>
      </c>
      <c r="MK58">
        <v>57</v>
      </c>
      <c r="MM58">
        <v>28</v>
      </c>
      <c r="MO58">
        <v>57</v>
      </c>
      <c r="MQ58">
        <v>28</v>
      </c>
      <c r="MS58">
        <v>55</v>
      </c>
      <c r="MU58">
        <v>28</v>
      </c>
      <c r="MW58">
        <v>57</v>
      </c>
      <c r="MY58">
        <v>28</v>
      </c>
      <c r="NA58">
        <v>57</v>
      </c>
      <c r="NC58">
        <v>28</v>
      </c>
      <c r="NE58">
        <v>57</v>
      </c>
      <c r="NG58">
        <v>28</v>
      </c>
      <c r="NI58">
        <v>57</v>
      </c>
      <c r="NK58">
        <v>28</v>
      </c>
      <c r="NM58">
        <v>57</v>
      </c>
      <c r="NO58">
        <v>28</v>
      </c>
      <c r="NQ58">
        <v>57</v>
      </c>
      <c r="NS58">
        <v>28</v>
      </c>
      <c r="NU58">
        <v>57</v>
      </c>
      <c r="NW58">
        <v>27</v>
      </c>
      <c r="NY58">
        <v>61</v>
      </c>
      <c r="OA58">
        <v>28</v>
      </c>
      <c r="OC58">
        <v>54</v>
      </c>
      <c r="OE58">
        <v>28</v>
      </c>
      <c r="OG58">
        <v>56</v>
      </c>
      <c r="OI58">
        <v>28</v>
      </c>
      <c r="OK58">
        <v>56</v>
      </c>
      <c r="OM58">
        <v>30</v>
      </c>
      <c r="OO58">
        <v>61</v>
      </c>
      <c r="OQ58">
        <v>28</v>
      </c>
      <c r="OS58">
        <v>57</v>
      </c>
      <c r="OU58">
        <v>30</v>
      </c>
      <c r="OW58">
        <v>59</v>
      </c>
      <c r="OY58">
        <v>27</v>
      </c>
      <c r="PA58">
        <v>55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54</v>
      </c>
      <c r="RK58">
        <v>28</v>
      </c>
      <c r="RM58">
        <v>54</v>
      </c>
      <c r="RO58">
        <v>28</v>
      </c>
      <c r="RQ58">
        <v>54</v>
      </c>
      <c r="RS58">
        <v>28</v>
      </c>
      <c r="RU58">
        <v>54</v>
      </c>
      <c r="RW58">
        <v>28</v>
      </c>
      <c r="RY58">
        <v>54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54</v>
      </c>
      <c r="SU58">
        <v>30</v>
      </c>
      <c r="SW58">
        <v>54</v>
      </c>
      <c r="SY58">
        <v>28</v>
      </c>
      <c r="TA58">
        <v>56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56</v>
      </c>
      <c r="UY58">
        <v>28</v>
      </c>
      <c r="VA58">
        <v>50</v>
      </c>
      <c r="VC58">
        <v>28</v>
      </c>
      <c r="VE58">
        <v>55</v>
      </c>
      <c r="VG58">
        <v>28</v>
      </c>
      <c r="VI58">
        <v>53</v>
      </c>
      <c r="VK58">
        <v>28</v>
      </c>
      <c r="VM58">
        <v>54</v>
      </c>
      <c r="VO58">
        <v>28</v>
      </c>
      <c r="VQ58">
        <v>56</v>
      </c>
      <c r="VS58">
        <v>28</v>
      </c>
      <c r="VU58">
        <v>56</v>
      </c>
      <c r="VW58">
        <v>28</v>
      </c>
      <c r="VY58">
        <v>56</v>
      </c>
      <c r="WA58">
        <v>28</v>
      </c>
      <c r="WC58">
        <v>55</v>
      </c>
      <c r="WE58">
        <v>28</v>
      </c>
      <c r="WG58">
        <v>56</v>
      </c>
      <c r="WI58">
        <v>28</v>
      </c>
      <c r="WK58">
        <v>57</v>
      </c>
      <c r="WM58">
        <v>28</v>
      </c>
      <c r="WO58">
        <v>56</v>
      </c>
      <c r="WQ58">
        <v>28</v>
      </c>
      <c r="WS58">
        <v>56</v>
      </c>
      <c r="WU58">
        <v>28</v>
      </c>
      <c r="WW58">
        <v>50</v>
      </c>
      <c r="WY58">
        <v>28</v>
      </c>
      <c r="XA58">
        <v>57</v>
      </c>
      <c r="XC58">
        <v>27</v>
      </c>
      <c r="XE58">
        <v>55</v>
      </c>
      <c r="XG58">
        <v>32</v>
      </c>
      <c r="XK58">
        <v>35</v>
      </c>
      <c r="XO58">
        <v>26</v>
      </c>
      <c r="XQ58">
        <v>61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13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15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15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>
        <v>17</v>
      </c>
      <c r="BR59" s="162"/>
      <c r="BS59" s="162" t="n">
        <v>0</v>
      </c>
      <c r="BT59" s="162"/>
      <c r="BU59">
        <v>18</v>
      </c>
      <c r="BW59">
        <v>0</v>
      </c>
      <c r="BY59">
        <v>12</v>
      </c>
      <c r="BZ59" s="164"/>
      <c r="CA59" s="164" t="n">
        <v>0</v>
      </c>
      <c r="CB59" s="164"/>
      <c r="CC59">
        <v>12</v>
      </c>
      <c r="CD59" s="143"/>
      <c r="CE59" s="143" t="n">
        <v>0</v>
      </c>
      <c r="CF59" s="143"/>
      <c r="CG59">
        <v>0</v>
      </c>
      <c r="CH59" s="166"/>
      <c r="CI59" s="166" t="n">
        <v>0</v>
      </c>
      <c r="CJ59" s="166"/>
      <c r="CK59">
        <v>14</v>
      </c>
      <c r="CL59" s="167"/>
      <c r="CM59" s="167" t="n">
        <v>0</v>
      </c>
      <c r="CN59" s="167"/>
      <c r="CO59">
        <v>16</v>
      </c>
      <c r="CP59" s="163"/>
      <c r="CQ59" s="163" t="n">
        <v>0</v>
      </c>
      <c r="CR59" s="163"/>
      <c r="CS59">
        <v>16</v>
      </c>
      <c r="CT59" s="162"/>
      <c r="CU59" s="162" t="n">
        <v>0</v>
      </c>
      <c r="CV59" s="162"/>
      <c r="CW59">
        <v>15</v>
      </c>
      <c r="CX59" s="169"/>
      <c r="CY59" s="169" t="n">
        <v>0</v>
      </c>
      <c r="CZ59" s="169"/>
      <c r="DA59">
        <v>19</v>
      </c>
      <c r="DB59" s="171"/>
      <c r="DC59" s="171" t="n">
        <v>0</v>
      </c>
      <c r="DD59" s="171"/>
      <c r="DE59">
        <v>18</v>
      </c>
      <c r="DG59">
        <v>0</v>
      </c>
      <c r="DI59">
        <v>19</v>
      </c>
      <c r="DK59">
        <v>0</v>
      </c>
      <c r="DM59">
        <v>18</v>
      </c>
      <c r="DO59">
        <v>0</v>
      </c>
      <c r="DQ59">
        <v>15</v>
      </c>
      <c r="DS59">
        <v>0</v>
      </c>
      <c r="DU59">
        <v>16</v>
      </c>
      <c r="DW59">
        <v>0</v>
      </c>
      <c r="DY59">
        <v>14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14</v>
      </c>
      <c r="FK59">
        <v>0</v>
      </c>
      <c r="FM59">
        <v>15</v>
      </c>
      <c r="FO59">
        <v>0</v>
      </c>
      <c r="FQ59">
        <v>12</v>
      </c>
      <c r="FS59">
        <v>0</v>
      </c>
      <c r="FU59">
        <v>13</v>
      </c>
      <c r="FW59">
        <v>0</v>
      </c>
      <c r="FY59">
        <v>14</v>
      </c>
      <c r="GA59">
        <v>0</v>
      </c>
      <c r="GC59">
        <v>14</v>
      </c>
      <c r="GE59">
        <v>0</v>
      </c>
      <c r="GG59">
        <v>16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16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17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17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15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14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13</v>
      </c>
      <c r="OA59">
        <v>0</v>
      </c>
      <c r="OC59">
        <v>15</v>
      </c>
      <c r="OE59">
        <v>0</v>
      </c>
      <c r="OG59">
        <v>15</v>
      </c>
      <c r="OI59">
        <v>0</v>
      </c>
      <c r="OK59">
        <v>15</v>
      </c>
      <c r="OM59">
        <v>0</v>
      </c>
      <c r="OO59">
        <v>16</v>
      </c>
      <c r="OQ59">
        <v>0</v>
      </c>
      <c r="OS59">
        <v>12</v>
      </c>
      <c r="OU59">
        <v>0</v>
      </c>
      <c r="OW59">
        <v>19</v>
      </c>
      <c r="OY59">
        <v>0</v>
      </c>
      <c r="PA59">
        <v>16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17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15</v>
      </c>
      <c r="UY59">
        <v>0</v>
      </c>
      <c r="VA59">
        <v>12</v>
      </c>
      <c r="VC59">
        <v>0</v>
      </c>
      <c r="VE59">
        <v>14</v>
      </c>
      <c r="VG59">
        <v>0</v>
      </c>
      <c r="VI59">
        <v>14</v>
      </c>
      <c r="VK59">
        <v>0</v>
      </c>
      <c r="VM59">
        <v>13</v>
      </c>
      <c r="VO59">
        <v>0</v>
      </c>
      <c r="VQ59">
        <v>14</v>
      </c>
      <c r="VS59">
        <v>0</v>
      </c>
      <c r="VU59">
        <v>16</v>
      </c>
      <c r="VW59">
        <v>0</v>
      </c>
      <c r="VY59">
        <v>16</v>
      </c>
      <c r="WA59">
        <v>0</v>
      </c>
      <c r="WC59">
        <v>14</v>
      </c>
      <c r="WE59">
        <v>0</v>
      </c>
      <c r="WG59">
        <v>17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15</v>
      </c>
      <c r="XG59">
        <v>0</v>
      </c>
      <c r="XK59">
        <v>0</v>
      </c>
      <c r="XO59">
        <v>0</v>
      </c>
      <c r="XQ59">
        <v>16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>
        <v>57</v>
      </c>
      <c r="J60" s="144"/>
      <c r="K60" s="144" t="n">
        <v>28</v>
      </c>
      <c r="L60" s="144"/>
      <c r="M60">
        <v>60</v>
      </c>
      <c r="N60" s="145"/>
      <c r="O60">
        <v>29</v>
      </c>
      <c r="P60" s="145"/>
      <c r="Q60">
        <v>61</v>
      </c>
      <c r="R60" s="146"/>
      <c r="S60" s="146" t="n">
        <v>30</v>
      </c>
      <c r="T60" s="146"/>
      <c r="U60">
        <v>57</v>
      </c>
      <c r="V60" s="147"/>
      <c r="W60" s="147" t="n">
        <v>26</v>
      </c>
      <c r="X60" s="147"/>
      <c r="Y60">
        <v>54</v>
      </c>
      <c r="Z60" s="148"/>
      <c r="AA60" s="148" t="n">
        <v>28</v>
      </c>
      <c r="AB60" s="148"/>
      <c r="AC60">
        <v>58</v>
      </c>
      <c r="AD60" s="149"/>
      <c r="AE60" s="149" t="n">
        <v>35</v>
      </c>
      <c r="AF60" s="149"/>
      <c r="AG60" s="149"/>
      <c r="AH60" s="150"/>
      <c r="AI60">
        <v>43</v>
      </c>
      <c r="AJ60" s="150"/>
      <c r="AK60" s="150"/>
      <c r="AL60" s="151"/>
      <c r="AM60" s="151" t="n">
        <v>42</v>
      </c>
      <c r="AN60" s="151"/>
      <c r="AO60">
        <v>61</v>
      </c>
      <c r="AP60" s="152"/>
      <c r="AQ60">
        <v>26</v>
      </c>
      <c r="AR60" s="152"/>
      <c r="AS60">
        <v>54</v>
      </c>
      <c r="AT60" s="153"/>
      <c r="AU60" s="153" t="n">
        <v>30</v>
      </c>
      <c r="AV60" s="153"/>
      <c r="AW60">
        <v>57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>
        <v>55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>
        <v>56</v>
      </c>
      <c r="BR60" s="162"/>
      <c r="BS60">
        <v>22</v>
      </c>
      <c r="BT60" s="162"/>
      <c r="BU60">
        <v>51</v>
      </c>
      <c r="BW60">
        <v>35</v>
      </c>
      <c r="BY60">
        <v>50</v>
      </c>
      <c r="BZ60" s="164"/>
      <c r="CA60" s="164" t="n">
        <v>28</v>
      </c>
      <c r="CB60" s="164"/>
      <c r="CC60">
        <v>58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>
        <v>56</v>
      </c>
      <c r="CL60" s="167"/>
      <c r="CM60" s="167" t="n">
        <v>29</v>
      </c>
      <c r="CN60" s="167"/>
      <c r="CO60">
        <v>56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>
        <v>57</v>
      </c>
      <c r="CX60" s="169"/>
      <c r="CY60" s="169" t="n">
        <v>25</v>
      </c>
      <c r="CZ60" s="169"/>
      <c r="DA60">
        <v>55</v>
      </c>
      <c r="DB60" s="171"/>
      <c r="DC60" s="171" t="n">
        <v>25</v>
      </c>
      <c r="DD60" s="171"/>
      <c r="DE60">
        <v>54</v>
      </c>
      <c r="DG60">
        <v>30</v>
      </c>
      <c r="DI60">
        <v>57</v>
      </c>
      <c r="DK60">
        <v>30</v>
      </c>
      <c r="DM60">
        <v>58</v>
      </c>
      <c r="DO60">
        <v>30</v>
      </c>
      <c r="DQ60">
        <v>52</v>
      </c>
      <c r="DS60">
        <v>28</v>
      </c>
      <c r="DU60">
        <v>52</v>
      </c>
      <c r="DW60">
        <v>30</v>
      </c>
      <c r="DY60">
        <v>56</v>
      </c>
      <c r="EA60">
        <v>30</v>
      </c>
      <c r="EC60">
        <v>56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58</v>
      </c>
      <c r="EU60">
        <v>40</v>
      </c>
      <c r="EW60">
        <v>58</v>
      </c>
      <c r="EY60">
        <v>40</v>
      </c>
      <c r="FA60">
        <v>52</v>
      </c>
      <c r="FC60">
        <v>34</v>
      </c>
      <c r="FE60">
        <v>50</v>
      </c>
      <c r="FG60">
        <v>42</v>
      </c>
      <c r="FI60">
        <v>52</v>
      </c>
      <c r="FK60">
        <v>28</v>
      </c>
      <c r="FM60">
        <v>56</v>
      </c>
      <c r="FO60">
        <v>28</v>
      </c>
      <c r="FQ60">
        <v>58</v>
      </c>
      <c r="FS60">
        <v>29</v>
      </c>
      <c r="FU60">
        <v>57</v>
      </c>
      <c r="FW60">
        <v>28</v>
      </c>
      <c r="FY60">
        <v>59</v>
      </c>
      <c r="GA60">
        <v>28</v>
      </c>
      <c r="GC60">
        <v>59</v>
      </c>
      <c r="GE60">
        <v>40</v>
      </c>
      <c r="GG60">
        <v>52</v>
      </c>
      <c r="GI60">
        <v>40</v>
      </c>
      <c r="GK60">
        <v>52</v>
      </c>
      <c r="GM60">
        <v>45</v>
      </c>
      <c r="GO60">
        <v>52</v>
      </c>
      <c r="GQ60">
        <v>47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32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61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61</v>
      </c>
      <c r="KI60">
        <v>42</v>
      </c>
      <c r="KK60">
        <v>61</v>
      </c>
      <c r="KM60">
        <v>38</v>
      </c>
      <c r="KO60">
        <v>57</v>
      </c>
      <c r="KQ60">
        <v>35</v>
      </c>
      <c r="KU60">
        <v>28</v>
      </c>
      <c r="KW60">
        <v>50</v>
      </c>
      <c r="KY60">
        <v>33</v>
      </c>
      <c r="LA60">
        <v>59</v>
      </c>
      <c r="LC60">
        <v>28</v>
      </c>
      <c r="LE60">
        <v>59</v>
      </c>
      <c r="LG60">
        <v>35</v>
      </c>
      <c r="LK60">
        <v>28</v>
      </c>
      <c r="LM60">
        <v>56</v>
      </c>
      <c r="LO60">
        <v>28</v>
      </c>
      <c r="LQ60">
        <v>58</v>
      </c>
      <c r="LS60">
        <v>28</v>
      </c>
      <c r="LU60">
        <v>58</v>
      </c>
      <c r="LW60">
        <v>28</v>
      </c>
      <c r="LY60">
        <v>58</v>
      </c>
      <c r="MA60">
        <v>28</v>
      </c>
      <c r="MC60">
        <v>58</v>
      </c>
      <c r="ME60">
        <v>28</v>
      </c>
      <c r="MG60">
        <v>58</v>
      </c>
      <c r="MI60">
        <v>28</v>
      </c>
      <c r="MK60">
        <v>58</v>
      </c>
      <c r="MM60">
        <v>28</v>
      </c>
      <c r="MO60">
        <v>58</v>
      </c>
      <c r="MQ60">
        <v>28</v>
      </c>
      <c r="MS60">
        <v>58</v>
      </c>
      <c r="MU60">
        <v>28</v>
      </c>
      <c r="MW60">
        <v>58</v>
      </c>
      <c r="MY60">
        <v>28</v>
      </c>
      <c r="NA60">
        <v>58</v>
      </c>
      <c r="NC60">
        <v>28</v>
      </c>
      <c r="NE60">
        <v>58</v>
      </c>
      <c r="NG60">
        <v>28</v>
      </c>
      <c r="NI60">
        <v>58</v>
      </c>
      <c r="NK60">
        <v>28</v>
      </c>
      <c r="NM60">
        <v>58</v>
      </c>
      <c r="NO60">
        <v>28</v>
      </c>
      <c r="NQ60">
        <v>58</v>
      </c>
      <c r="NS60">
        <v>28</v>
      </c>
      <c r="NU60">
        <v>58</v>
      </c>
      <c r="NW60">
        <v>29</v>
      </c>
      <c r="NY60">
        <v>57</v>
      </c>
      <c r="OA60">
        <v>28</v>
      </c>
      <c r="OC60">
        <v>61</v>
      </c>
      <c r="OE60">
        <v>28</v>
      </c>
      <c r="OG60">
        <v>61</v>
      </c>
      <c r="OI60">
        <v>28</v>
      </c>
      <c r="OK60">
        <v>56</v>
      </c>
      <c r="OM60">
        <v>30</v>
      </c>
      <c r="OO60">
        <v>58</v>
      </c>
      <c r="OQ60">
        <v>28</v>
      </c>
      <c r="OS60">
        <v>60</v>
      </c>
      <c r="OU60">
        <v>30</v>
      </c>
      <c r="OW60">
        <v>52</v>
      </c>
      <c r="OY60">
        <v>29</v>
      </c>
      <c r="PA60">
        <v>56</v>
      </c>
      <c r="PC60">
        <v>42</v>
      </c>
      <c r="PE60">
        <v>61</v>
      </c>
      <c r="PG60">
        <v>42</v>
      </c>
      <c r="PI60">
        <v>61</v>
      </c>
      <c r="PK60">
        <v>42</v>
      </c>
      <c r="PM60">
        <v>61</v>
      </c>
      <c r="PO60">
        <v>42</v>
      </c>
      <c r="PQ60">
        <v>61</v>
      </c>
      <c r="PS60">
        <v>42</v>
      </c>
      <c r="PU60">
        <v>61</v>
      </c>
      <c r="PW60">
        <v>42</v>
      </c>
      <c r="PY60">
        <v>61</v>
      </c>
      <c r="QA60">
        <v>42</v>
      </c>
      <c r="QC60">
        <v>61</v>
      </c>
      <c r="QE60">
        <v>42</v>
      </c>
      <c r="QG60">
        <v>61</v>
      </c>
      <c r="QI60">
        <v>42</v>
      </c>
      <c r="QK60">
        <v>61</v>
      </c>
      <c r="QM60">
        <v>42</v>
      </c>
      <c r="QO60">
        <v>61</v>
      </c>
      <c r="QQ60">
        <v>42</v>
      </c>
      <c r="QS60">
        <v>61</v>
      </c>
      <c r="QU60">
        <v>42</v>
      </c>
      <c r="QW60">
        <v>61</v>
      </c>
      <c r="QY60">
        <v>42</v>
      </c>
      <c r="RA60">
        <v>61</v>
      </c>
      <c r="RC60">
        <v>42</v>
      </c>
      <c r="RE60">
        <v>61</v>
      </c>
      <c r="RG60">
        <v>28</v>
      </c>
      <c r="RI60">
        <v>54</v>
      </c>
      <c r="RK60">
        <v>28</v>
      </c>
      <c r="RM60">
        <v>54</v>
      </c>
      <c r="RO60">
        <v>28</v>
      </c>
      <c r="RQ60">
        <v>54</v>
      </c>
      <c r="RS60">
        <v>28</v>
      </c>
      <c r="RU60">
        <v>54</v>
      </c>
      <c r="RW60">
        <v>28</v>
      </c>
      <c r="RY60">
        <v>54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54</v>
      </c>
      <c r="SU60">
        <v>30</v>
      </c>
      <c r="SW60">
        <v>54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55</v>
      </c>
      <c r="UY60">
        <v>28</v>
      </c>
      <c r="VA60">
        <v>50</v>
      </c>
      <c r="VC60">
        <v>28</v>
      </c>
      <c r="VE60">
        <v>60</v>
      </c>
      <c r="VG60">
        <v>28</v>
      </c>
      <c r="VI60">
        <v>59</v>
      </c>
      <c r="VK60">
        <v>28</v>
      </c>
      <c r="VM60">
        <v>60</v>
      </c>
      <c r="VO60">
        <v>28</v>
      </c>
      <c r="VQ60">
        <v>56</v>
      </c>
      <c r="VS60">
        <v>28</v>
      </c>
      <c r="VU60">
        <v>55</v>
      </c>
      <c r="VW60">
        <v>28</v>
      </c>
      <c r="VY60">
        <v>60</v>
      </c>
      <c r="WA60">
        <v>28</v>
      </c>
      <c r="WC60">
        <v>58</v>
      </c>
      <c r="WE60">
        <v>28</v>
      </c>
      <c r="WG60">
        <v>57</v>
      </c>
      <c r="WI60">
        <v>28</v>
      </c>
      <c r="WK60">
        <v>59</v>
      </c>
      <c r="WM60">
        <v>28</v>
      </c>
      <c r="WO60">
        <v>61</v>
      </c>
      <c r="WQ60">
        <v>28</v>
      </c>
      <c r="WS60">
        <v>57</v>
      </c>
      <c r="WU60">
        <v>28</v>
      </c>
      <c r="WW60">
        <v>50</v>
      </c>
      <c r="WY60">
        <v>28</v>
      </c>
      <c r="XA60">
        <v>58</v>
      </c>
      <c r="XC60">
        <v>38</v>
      </c>
      <c r="XE60">
        <v>58</v>
      </c>
      <c r="XG60">
        <v>32</v>
      </c>
      <c r="XK60">
        <v>35</v>
      </c>
      <c r="XO60">
        <v>26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14</v>
      </c>
      <c r="J61" s="144"/>
      <c r="K61" s="144" t="n">
        <v>0</v>
      </c>
      <c r="L61" s="144"/>
      <c r="M61">
        <v>14</v>
      </c>
      <c r="N61" s="145"/>
      <c r="O61" s="145" t="n">
        <v>0</v>
      </c>
      <c r="P61" s="145"/>
      <c r="Q61">
        <v>16</v>
      </c>
      <c r="R61" s="146"/>
      <c r="S61" s="146" t="n">
        <v>0</v>
      </c>
      <c r="T61" s="146"/>
      <c r="U61">
        <v>13</v>
      </c>
      <c r="V61" s="147"/>
      <c r="W61" s="147" t="n">
        <v>0</v>
      </c>
      <c r="X61" s="147"/>
      <c r="Y61">
        <v>15</v>
      </c>
      <c r="Z61" s="148"/>
      <c r="AA61" s="148" t="n">
        <v>0</v>
      </c>
      <c r="AB61" s="148"/>
      <c r="AC61">
        <v>14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16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>
        <v>16</v>
      </c>
      <c r="BR61" s="162"/>
      <c r="BS61" s="162" t="n">
        <v>0</v>
      </c>
      <c r="BT61" s="162"/>
      <c r="BU61">
        <v>14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>
        <v>15</v>
      </c>
      <c r="CL61" s="167"/>
      <c r="CM61" s="167" t="n">
        <v>0</v>
      </c>
      <c r="CN61" s="167"/>
      <c r="CO61">
        <v>15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>
        <v>16</v>
      </c>
      <c r="DB61" s="171"/>
      <c r="DC61" s="171" t="n">
        <v>0</v>
      </c>
      <c r="DD61" s="171"/>
      <c r="DE61">
        <v>17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8</v>
      </c>
      <c r="EU61">
        <v>0</v>
      </c>
      <c r="EW61">
        <v>8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15</v>
      </c>
      <c r="FS61">
        <v>0</v>
      </c>
      <c r="FU61">
        <v>14</v>
      </c>
      <c r="FW61">
        <v>0</v>
      </c>
      <c r="FY61">
        <v>15</v>
      </c>
      <c r="GA61">
        <v>0</v>
      </c>
      <c r="GC61">
        <v>15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16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16</v>
      </c>
      <c r="KI61">
        <v>0</v>
      </c>
      <c r="KK61">
        <v>16</v>
      </c>
      <c r="KM61">
        <v>0</v>
      </c>
      <c r="KO61">
        <v>20</v>
      </c>
      <c r="KQ61">
        <v>0</v>
      </c>
      <c r="KU61">
        <v>0</v>
      </c>
      <c r="KW61">
        <v>12</v>
      </c>
      <c r="KY61">
        <v>0</v>
      </c>
      <c r="LA61">
        <v>14</v>
      </c>
      <c r="LC61">
        <v>0</v>
      </c>
      <c r="LE61">
        <v>16</v>
      </c>
      <c r="LG61">
        <v>0</v>
      </c>
      <c r="LK61">
        <v>0</v>
      </c>
      <c r="LM61">
        <v>12</v>
      </c>
      <c r="LO61">
        <v>0</v>
      </c>
      <c r="LQ61">
        <v>15</v>
      </c>
      <c r="LS61">
        <v>0</v>
      </c>
      <c r="LU61">
        <v>15</v>
      </c>
      <c r="LW61">
        <v>0</v>
      </c>
      <c r="LY61">
        <v>15</v>
      </c>
      <c r="MA61">
        <v>0</v>
      </c>
      <c r="MC61">
        <v>15</v>
      </c>
      <c r="ME61">
        <v>0</v>
      </c>
      <c r="MG61">
        <v>15</v>
      </c>
      <c r="MI61">
        <v>0</v>
      </c>
      <c r="MK61">
        <v>15</v>
      </c>
      <c r="MM61">
        <v>0</v>
      </c>
      <c r="MO61">
        <v>15</v>
      </c>
      <c r="MQ61">
        <v>0</v>
      </c>
      <c r="MS61">
        <v>17</v>
      </c>
      <c r="MU61">
        <v>0</v>
      </c>
      <c r="MW61">
        <v>15</v>
      </c>
      <c r="MY61">
        <v>0</v>
      </c>
      <c r="NA61">
        <v>15</v>
      </c>
      <c r="NC61">
        <v>0</v>
      </c>
      <c r="NE61">
        <v>15</v>
      </c>
      <c r="NG61">
        <v>0</v>
      </c>
      <c r="NI61">
        <v>15</v>
      </c>
      <c r="NK61">
        <v>0</v>
      </c>
      <c r="NM61">
        <v>15</v>
      </c>
      <c r="NO61">
        <v>0</v>
      </c>
      <c r="NQ61">
        <v>15</v>
      </c>
      <c r="NS61">
        <v>0</v>
      </c>
      <c r="NU61">
        <v>15</v>
      </c>
      <c r="NW61">
        <v>0</v>
      </c>
      <c r="NY61">
        <v>14</v>
      </c>
      <c r="OA61">
        <v>0</v>
      </c>
      <c r="OC61">
        <v>19</v>
      </c>
      <c r="OE61">
        <v>0</v>
      </c>
      <c r="OG61">
        <v>16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14</v>
      </c>
      <c r="OU61">
        <v>0</v>
      </c>
      <c r="OW61">
        <v>12</v>
      </c>
      <c r="OY61">
        <v>0</v>
      </c>
      <c r="PA61">
        <v>15</v>
      </c>
      <c r="PC61">
        <v>0</v>
      </c>
      <c r="PE61">
        <v>16</v>
      </c>
      <c r="PG61">
        <v>0</v>
      </c>
      <c r="PI61">
        <v>16</v>
      </c>
      <c r="PK61">
        <v>0</v>
      </c>
      <c r="PM61">
        <v>16</v>
      </c>
      <c r="PO61">
        <v>0</v>
      </c>
      <c r="PQ61">
        <v>16</v>
      </c>
      <c r="PS61">
        <v>0</v>
      </c>
      <c r="PU61">
        <v>16</v>
      </c>
      <c r="PW61">
        <v>0</v>
      </c>
      <c r="PY61">
        <v>16</v>
      </c>
      <c r="QA61">
        <v>0</v>
      </c>
      <c r="QC61">
        <v>16</v>
      </c>
      <c r="QE61">
        <v>0</v>
      </c>
      <c r="QG61">
        <v>16</v>
      </c>
      <c r="QI61">
        <v>0</v>
      </c>
      <c r="QK61">
        <v>16</v>
      </c>
      <c r="QM61">
        <v>0</v>
      </c>
      <c r="QO61">
        <v>16</v>
      </c>
      <c r="QQ61">
        <v>0</v>
      </c>
      <c r="QS61">
        <v>16</v>
      </c>
      <c r="QU61">
        <v>0</v>
      </c>
      <c r="QW61">
        <v>16</v>
      </c>
      <c r="QY61">
        <v>0</v>
      </c>
      <c r="RA61">
        <v>16</v>
      </c>
      <c r="RC61">
        <v>0</v>
      </c>
      <c r="RE61">
        <v>16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15</v>
      </c>
      <c r="VG61">
        <v>0</v>
      </c>
      <c r="VI61">
        <v>12</v>
      </c>
      <c r="VK61">
        <v>0</v>
      </c>
      <c r="VM61">
        <v>14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16</v>
      </c>
      <c r="WA61">
        <v>0</v>
      </c>
      <c r="WC61">
        <v>15</v>
      </c>
      <c r="WE61">
        <v>0</v>
      </c>
      <c r="WG61">
        <v>12</v>
      </c>
      <c r="WI61">
        <v>0</v>
      </c>
      <c r="WK61">
        <v>17</v>
      </c>
      <c r="WM61">
        <v>0</v>
      </c>
      <c r="WO61">
        <v>18</v>
      </c>
      <c r="WQ61">
        <v>0</v>
      </c>
      <c r="WS61">
        <v>16</v>
      </c>
      <c r="WU61">
        <v>0</v>
      </c>
      <c r="WW61">
        <v>12</v>
      </c>
      <c r="WY61">
        <v>0</v>
      </c>
      <c r="XA61">
        <v>15</v>
      </c>
      <c r="XC61">
        <v>0</v>
      </c>
      <c r="XE61">
        <v>14</v>
      </c>
      <c r="XG61">
        <v>0</v>
      </c>
      <c r="XK61">
        <v>0</v>
      </c>
      <c r="XO61">
        <v>0</v>
      </c>
      <c r="XQ61">
        <v>9</v>
      </c>
    </row>
    <row r="62" s="172" customFormat="true" ht="15" hidden="false" customHeight="false" outlineLevel="0" collapsed="false">
      <c r="A62" s="141" t="inlineStr">
        <is>
          <t xml:space="preserve">{letter.altgrhalf}</t>
        </is>
      </c>
      <c r="B62" s="142"/>
      <c r="C62" s="142"/>
      <c r="D62" s="142"/>
      <c r="E62" s="142"/>
      <c r="F62" s="143"/>
      <c r="G62" s="143"/>
      <c r="H62" s="143"/>
      <c r="I62"/>
      <c r="J62" s="144"/>
      <c r="K62" s="144"/>
      <c r="L62" s="144"/>
      <c r="M62"/>
      <c r="N62" s="145"/>
      <c r="O62" s="145"/>
      <c r="P62" s="145"/>
      <c r="Q62"/>
      <c r="R62" s="146"/>
      <c r="S62" s="146"/>
      <c r="T62" s="146"/>
      <c r="U62"/>
      <c r="V62" s="147"/>
      <c r="W62" s="147"/>
      <c r="X62" s="147"/>
      <c r="Y62" s="147"/>
      <c r="Z62" s="148"/>
      <c r="AA62" s="148"/>
      <c r="AB62" s="148"/>
      <c r="AC62" s="148"/>
      <c r="AD62" s="149"/>
      <c r="AE62" s="149"/>
      <c r="AF62" s="149"/>
      <c r="AG62" s="149"/>
      <c r="AH62" s="150"/>
      <c r="AI62" s="150"/>
      <c r="AJ62" s="150"/>
      <c r="AK62" s="150"/>
      <c r="AL62" s="151"/>
      <c r="AM62" s="151"/>
      <c r="AN62" s="151"/>
      <c r="AO62" t="n">
        <v>1</v>
      </c>
      <c r="AP62" s="152"/>
      <c r="AQ62" s="152"/>
      <c r="AR62" s="152"/>
      <c r="AS62" s="152"/>
      <c r="AT62" s="153"/>
      <c r="AU62" s="153"/>
      <c r="AV62" s="153"/>
      <c r="AW62" s="153"/>
      <c r="AX62" s="154"/>
      <c r="AY62" s="155"/>
      <c r="AZ62" s="154"/>
      <c r="BA62"/>
      <c r="BB62" s="156"/>
      <c r="BC62" s="157"/>
      <c r="BD62" s="156"/>
      <c r="BE62"/>
      <c r="BF62" s="158"/>
      <c r="BG62" s="159"/>
      <c r="BH62" s="158"/>
      <c r="BI62"/>
      <c r="BJ62" s="160"/>
      <c r="BK62" s="161"/>
      <c r="BL62" s="160"/>
      <c r="BM62" s="160"/>
      <c r="BN62" s="143"/>
      <c r="BO62" s="143"/>
      <c r="BP62" s="143"/>
      <c r="BQ62" s="143"/>
      <c r="BR62" s="162"/>
      <c r="BS62" s="162"/>
      <c r="BT62" s="162"/>
      <c r="BU62" s="162"/>
      <c r="BW62"/>
      <c r="BY62"/>
      <c r="BZ62" s="164"/>
      <c r="CA62" s="164"/>
      <c r="CB62" s="164"/>
      <c r="CC62" s="165"/>
      <c r="CD62" s="143"/>
      <c r="CE62" s="143"/>
      <c r="CF62" s="143"/>
      <c r="CG62" s="143"/>
      <c r="CH62" s="166"/>
      <c r="CI62" s="166"/>
      <c r="CJ62" s="166"/>
      <c r="CK62" s="166"/>
      <c r="CL62" s="167"/>
      <c r="CM62" s="167"/>
      <c r="CN62" s="167"/>
      <c r="CO62" s="167"/>
      <c r="CP62" s="163"/>
      <c r="CQ62" s="163"/>
      <c r="CR62" s="163"/>
      <c r="CS62" s="163"/>
      <c r="CT62" s="162"/>
      <c r="CU62" s="162"/>
      <c r="CV62" s="162"/>
      <c r="CW62" s="162"/>
      <c r="CX62" s="169"/>
      <c r="CY62" s="169"/>
      <c r="CZ62" s="169"/>
      <c r="DA62" s="169"/>
      <c r="DB62" s="171"/>
      <c r="DC62" s="171"/>
      <c r="DD62" s="171"/>
      <c r="DE62" s="171"/>
      <c r="DG62"/>
      <c r="DI62"/>
      <c r="DK62"/>
      <c r="DM62"/>
      <c r="DO62"/>
      <c r="DQ62"/>
      <c r="DS62"/>
      <c r="DU62"/>
      <c r="DW62"/>
      <c r="DY62"/>
      <c r="EA62"/>
      <c r="EC62"/>
      <c r="EE62"/>
      <c r="EG62"/>
      <c r="EI62"/>
      <c r="EK62"/>
      <c r="EM62"/>
      <c r="EO62" t="n">
        <v>1</v>
      </c>
      <c r="EQ62"/>
      <c r="EU62"/>
      <c r="EY62"/>
      <c r="FA62" t="n">
        <v>1</v>
      </c>
      <c r="FC62"/>
      <c r="FE62"/>
      <c r="FG62"/>
      <c r="FI62" t="n">
        <v>1</v>
      </c>
      <c r="FK62"/>
      <c r="FM62"/>
      <c r="FO62"/>
      <c r="FQ62"/>
      <c r="FS62"/>
      <c r="FU62"/>
      <c r="FW62"/>
      <c r="FY62"/>
      <c r="GA62"/>
      <c r="GC62"/>
      <c r="GE62"/>
      <c r="GG62"/>
      <c r="GI62"/>
      <c r="GK62" t="n">
        <v>1</v>
      </c>
      <c r="GM62"/>
      <c r="GO62" t="n">
        <v>1</v>
      </c>
      <c r="GP62"/>
      <c r="GQ62"/>
      <c r="GS62" t="n">
        <v>1</v>
      </c>
      <c r="GT62"/>
      <c r="GU62"/>
      <c r="GW62"/>
      <c r="GY62"/>
      <c r="HA62"/>
      <c r="HB62"/>
      <c r="HC62"/>
      <c r="HE62"/>
      <c r="HG62"/>
      <c r="HK62"/>
      <c r="HM62"/>
      <c r="HO62"/>
      <c r="HQ62"/>
      <c r="HS62"/>
      <c r="HU62"/>
      <c r="HW62"/>
      <c r="IA62"/>
      <c r="IE62"/>
      <c r="II62"/>
      <c r="IK62"/>
      <c r="IM62"/>
      <c r="IO62"/>
      <c r="IQ62"/>
      <c r="IU62"/>
      <c r="IW62"/>
      <c r="IY62"/>
      <c r="JA62"/>
      <c r="JC62"/>
      <c r="JE62"/>
      <c r="JG62"/>
      <c r="JI62"/>
      <c r="JK62"/>
      <c r="JM62" t="n">
        <v>1</v>
      </c>
      <c r="JO62"/>
      <c r="JS62"/>
      <c r="JU62"/>
      <c r="JW62"/>
      <c r="JY62"/>
      <c r="KA62"/>
      <c r="KC62"/>
      <c r="KE62"/>
      <c r="KG62" t="n">
        <v>1</v>
      </c>
      <c r="KI62"/>
      <c r="KK62" t="n">
        <v>1</v>
      </c>
      <c r="KM62"/>
      <c r="KO62" t="n">
        <v>1</v>
      </c>
      <c r="KQ62"/>
      <c r="KU62"/>
      <c r="KW62"/>
      <c r="KY62"/>
      <c r="LA62"/>
      <c r="LC62"/>
      <c r="LE62"/>
      <c r="LG62"/>
      <c r="LK62"/>
      <c r="LM62"/>
      <c r="LO62"/>
      <c r="LQ62"/>
      <c r="LS62"/>
      <c r="LU62"/>
      <c r="LW62"/>
      <c r="LY62"/>
      <c r="MA62"/>
      <c r="MC62"/>
      <c r="ME62"/>
      <c r="MG62"/>
      <c r="MI62"/>
      <c r="MK62"/>
      <c r="MM62"/>
      <c r="MO62"/>
      <c r="MQ62"/>
      <c r="MS62"/>
      <c r="MU62"/>
      <c r="MW62"/>
      <c r="MY62"/>
      <c r="NA62"/>
      <c r="NC62"/>
      <c r="NE62"/>
      <c r="NG62"/>
      <c r="NI62"/>
      <c r="NK62"/>
      <c r="NM62"/>
      <c r="NO62"/>
      <c r="NQ62"/>
      <c r="NS62"/>
      <c r="NU62"/>
      <c r="NW62"/>
      <c r="NY62"/>
      <c r="OA62"/>
      <c r="OC62"/>
      <c r="OE62"/>
      <c r="OG62"/>
      <c r="OI62"/>
      <c r="OK62"/>
      <c r="OM62"/>
      <c r="OO62"/>
      <c r="OQ62"/>
      <c r="OS62"/>
      <c r="OU62"/>
      <c r="OW62"/>
      <c r="OY62"/>
      <c r="PA62"/>
      <c r="PC62"/>
      <c r="PE62" t="n">
        <v>1</v>
      </c>
      <c r="PG62"/>
      <c r="PI62" t="n">
        <v>1</v>
      </c>
      <c r="PK62"/>
      <c r="PM62" t="n">
        <v>1</v>
      </c>
      <c r="PO62"/>
      <c r="PQ62" t="n">
        <v>1</v>
      </c>
      <c r="PS62"/>
      <c r="PU62" t="n">
        <v>1</v>
      </c>
      <c r="PW62"/>
      <c r="PY62" t="n">
        <v>1</v>
      </c>
      <c r="QA62"/>
      <c r="QC62" t="n">
        <v>1</v>
      </c>
      <c r="QE62"/>
      <c r="QG62" t="n">
        <v>1</v>
      </c>
      <c r="QI62"/>
      <c r="QK62" t="n">
        <v>1</v>
      </c>
      <c r="QM62"/>
      <c r="QO62" t="n">
        <v>1</v>
      </c>
      <c r="QQ62"/>
      <c r="QS62" t="n">
        <v>1</v>
      </c>
      <c r="QU62"/>
      <c r="QW62" t="n">
        <v>1</v>
      </c>
      <c r="QY62"/>
      <c r="RA62" t="n">
        <v>1</v>
      </c>
      <c r="RC62"/>
      <c r="RE62" t="n">
        <v>1</v>
      </c>
      <c r="RG62"/>
      <c r="RI62"/>
      <c r="RK62"/>
      <c r="RM62"/>
      <c r="RO62"/>
      <c r="RQ62"/>
      <c r="RS62"/>
      <c r="RU62"/>
      <c r="RW62"/>
      <c r="RY62"/>
      <c r="SA62"/>
      <c r="SE62"/>
      <c r="SI62"/>
      <c r="SM62"/>
      <c r="SQ62"/>
      <c r="SS62"/>
      <c r="SU62"/>
      <c r="SW62"/>
      <c r="SY62"/>
      <c r="TA62" t="n">
        <v>1</v>
      </c>
      <c r="TC62"/>
      <c r="TG62"/>
      <c r="TK62"/>
      <c r="TM62"/>
      <c r="TO62"/>
      <c r="TS62"/>
      <c r="TU62"/>
      <c r="TW62"/>
      <c r="TY62"/>
      <c r="UA62"/>
      <c r="UC62"/>
      <c r="UE62"/>
      <c r="UI62"/>
      <c r="UM62"/>
      <c r="UQ62"/>
      <c r="UU62"/>
      <c r="UW62"/>
      <c r="UY62"/>
      <c r="VA62"/>
      <c r="VC62"/>
      <c r="VE62"/>
      <c r="VG62"/>
      <c r="VI62"/>
      <c r="VK62"/>
      <c r="VM62"/>
      <c r="VO62"/>
      <c r="VQ62"/>
      <c r="VS62"/>
      <c r="VU62"/>
      <c r="VW62"/>
      <c r="VY62"/>
      <c r="WA62"/>
      <c r="WC62"/>
      <c r="WE62"/>
      <c r="WG62"/>
      <c r="WI62"/>
      <c r="WK62"/>
      <c r="WM62"/>
      <c r="WO62"/>
      <c r="WQ62"/>
      <c r="WS62"/>
      <c r="WU62"/>
      <c r="WW62"/>
      <c r="WY62"/>
      <c r="XA62"/>
      <c r="XC62"/>
      <c r="XE62" t="n">
        <v>1</v>
      </c>
      <c r="XG62"/>
      <c r="XK62"/>
      <c r="XO62"/>
      <c r="XQ62"/>
    </row>
    <row r="63" s="172" customFormat="true" ht="15" hidden="false" customHeight="false" outlineLevel="0" collapsed="false">
      <c r="A63" s="141" t="inlineStr">
        <is>
          <t xml:space="preserve">{num.altgrhalf}</t>
        </is>
      </c>
      <c r="B63" s="142"/>
      <c r="C63" s="142"/>
      <c r="D63" s="142"/>
      <c r="E63" s="142"/>
      <c r="F63" s="143"/>
      <c r="G63" s="143"/>
      <c r="H63" s="143"/>
      <c r="I63"/>
      <c r="J63" s="144"/>
      <c r="K63" s="144"/>
      <c r="L63" s="144"/>
      <c r="M63"/>
      <c r="N63" s="145"/>
      <c r="O63" s="145"/>
      <c r="P63" s="145"/>
      <c r="Q63"/>
      <c r="R63" s="146"/>
      <c r="S63" s="146"/>
      <c r="T63" s="146"/>
      <c r="U63"/>
      <c r="V63" s="147"/>
      <c r="W63" s="147"/>
      <c r="X63" s="147"/>
      <c r="Y63" s="147"/>
      <c r="Z63" s="148"/>
      <c r="AA63" s="148"/>
      <c r="AB63" s="148"/>
      <c r="AC63" s="148"/>
      <c r="AD63" s="149"/>
      <c r="AE63" s="149"/>
      <c r="AF63" s="149"/>
      <c r="AG63" s="149"/>
      <c r="AH63" s="150"/>
      <c r="AI63" s="150"/>
      <c r="AJ63" s="150"/>
      <c r="AK63" s="150"/>
      <c r="AL63" s="151"/>
      <c r="AM63" s="151"/>
      <c r="AN63" s="151"/>
      <c r="AO63"/>
      <c r="AP63" s="152"/>
      <c r="AQ63" s="152"/>
      <c r="AR63" s="152"/>
      <c r="AS63" s="152"/>
      <c r="AT63" s="153"/>
      <c r="AU63" s="153"/>
      <c r="AV63" s="153"/>
      <c r="AW63" s="153"/>
      <c r="AX63" s="154"/>
      <c r="AY63" s="155"/>
      <c r="AZ63" s="154"/>
      <c r="BA63"/>
      <c r="BB63" s="156"/>
      <c r="BC63" s="157"/>
      <c r="BD63" s="156"/>
      <c r="BE63"/>
      <c r="BF63" s="158"/>
      <c r="BG63" s="159"/>
      <c r="BH63" s="158"/>
      <c r="BI63"/>
      <c r="BJ63" s="160"/>
      <c r="BK63" s="161"/>
      <c r="BL63" s="160"/>
      <c r="BM63" s="160"/>
      <c r="BN63" s="143"/>
      <c r="BO63" s="143"/>
      <c r="BP63" s="143"/>
      <c r="BQ63" s="143"/>
      <c r="BR63" s="162"/>
      <c r="BS63" s="162"/>
      <c r="BT63" s="162"/>
      <c r="BU63" s="162"/>
      <c r="BW63"/>
      <c r="BY63"/>
      <c r="BZ63" s="164"/>
      <c r="CA63" s="164"/>
      <c r="CB63" s="164"/>
      <c r="CC63" s="165"/>
      <c r="CD63" s="143"/>
      <c r="CE63" s="143"/>
      <c r="CF63" s="143"/>
      <c r="CG63" s="143"/>
      <c r="CH63" s="166"/>
      <c r="CI63" s="166"/>
      <c r="CJ63" s="166"/>
      <c r="CK63" s="166"/>
      <c r="CL63" s="167"/>
      <c r="CM63" s="167"/>
      <c r="CN63" s="167"/>
      <c r="CO63" s="167"/>
      <c r="CP63" s="163"/>
      <c r="CQ63" s="163"/>
      <c r="CR63" s="163"/>
      <c r="CS63" s="163"/>
      <c r="CT63" s="162"/>
      <c r="CU63" s="162"/>
      <c r="CV63" s="162"/>
      <c r="CW63" s="162"/>
      <c r="CX63" s="169"/>
      <c r="CY63" s="169"/>
      <c r="CZ63" s="169"/>
      <c r="DA63" s="169"/>
      <c r="DB63" s="171"/>
      <c r="DC63" s="171"/>
      <c r="DD63" s="171"/>
      <c r="DE63" s="171"/>
      <c r="DG63"/>
      <c r="DI63"/>
      <c r="DK63"/>
      <c r="DM63"/>
      <c r="DO63"/>
      <c r="DQ63"/>
      <c r="DS63"/>
      <c r="DU63"/>
      <c r="DW63"/>
      <c r="DY63"/>
      <c r="EA63"/>
      <c r="EC63"/>
      <c r="EE63"/>
      <c r="EG63"/>
      <c r="EI63"/>
      <c r="EK63"/>
      <c r="EM63"/>
      <c r="EO63"/>
      <c r="EQ63"/>
      <c r="ES63"/>
      <c r="EU63"/>
      <c r="EW63"/>
      <c r="EY63"/>
      <c r="FA63"/>
      <c r="FC63"/>
      <c r="FE63"/>
      <c r="FG63"/>
      <c r="FI63"/>
      <c r="FK63"/>
      <c r="FM63"/>
      <c r="FO63"/>
      <c r="FQ63"/>
      <c r="FS63"/>
      <c r="FU63"/>
      <c r="FW63"/>
      <c r="FY63"/>
      <c r="GA63"/>
      <c r="GC63"/>
      <c r="GE63"/>
      <c r="GG63"/>
      <c r="GI63"/>
      <c r="GK63"/>
      <c r="GM63"/>
      <c r="GO63"/>
      <c r="GP63"/>
      <c r="GQ63"/>
      <c r="GS63"/>
      <c r="GT63"/>
      <c r="GU63"/>
      <c r="GW63"/>
      <c r="GY63"/>
      <c r="HA63"/>
      <c r="HB63"/>
      <c r="HC63"/>
      <c r="HE63"/>
      <c r="HG63"/>
      <c r="HK63"/>
      <c r="HM63"/>
      <c r="HO63"/>
      <c r="HQ63"/>
      <c r="HS63"/>
      <c r="HU63"/>
      <c r="HW63"/>
      <c r="IA63"/>
      <c r="IE63"/>
      <c r="II63"/>
      <c r="IK63"/>
      <c r="IM63"/>
      <c r="IO63"/>
      <c r="IQ63"/>
      <c r="IU63"/>
      <c r="IW63"/>
      <c r="IY63"/>
      <c r="JA63"/>
      <c r="JC63"/>
      <c r="JE63"/>
      <c r="JG63"/>
      <c r="JI63"/>
      <c r="JK63"/>
      <c r="JM63"/>
      <c r="JO63"/>
      <c r="JS63"/>
      <c r="JU63"/>
      <c r="JW63"/>
      <c r="JY63"/>
      <c r="KA63"/>
      <c r="KC63"/>
      <c r="KE63"/>
      <c r="KG63"/>
      <c r="KI63"/>
      <c r="KK63"/>
      <c r="KM63"/>
      <c r="KO63"/>
      <c r="KQ63"/>
      <c r="KU63"/>
      <c r="KW63"/>
      <c r="KY63"/>
      <c r="LA63"/>
      <c r="LC63"/>
      <c r="LE63"/>
      <c r="LG63"/>
      <c r="LK63"/>
      <c r="LM63"/>
      <c r="LO63"/>
      <c r="LQ63"/>
      <c r="LS63"/>
      <c r="LU63"/>
      <c r="LW63"/>
      <c r="LY63"/>
      <c r="MA63"/>
      <c r="MC63"/>
      <c r="ME63"/>
      <c r="MG63"/>
      <c r="MI63"/>
      <c r="MK63"/>
      <c r="MM63"/>
      <c r="MO63"/>
      <c r="MQ63"/>
      <c r="MS63"/>
      <c r="MU63"/>
      <c r="MW63"/>
      <c r="MY63"/>
      <c r="NA63"/>
      <c r="NC63"/>
      <c r="NE63"/>
      <c r="NG63"/>
      <c r="NI63"/>
      <c r="NK63"/>
      <c r="NM63"/>
      <c r="NO63"/>
      <c r="NQ63"/>
      <c r="NS63"/>
      <c r="NU63"/>
      <c r="NW63"/>
      <c r="NY63"/>
      <c r="OA63"/>
      <c r="OC63"/>
      <c r="OE63"/>
      <c r="OG63"/>
      <c r="OI63"/>
      <c r="OK63"/>
      <c r="OM63"/>
      <c r="OO63"/>
      <c r="OQ63"/>
      <c r="OS63"/>
      <c r="OU63"/>
      <c r="OW63"/>
      <c r="OY63"/>
      <c r="PA63"/>
      <c r="PC63"/>
      <c r="PE63"/>
      <c r="PG63"/>
      <c r="PI63"/>
      <c r="PK63"/>
      <c r="PM63"/>
      <c r="PO63"/>
      <c r="PQ63"/>
      <c r="PS63"/>
      <c r="PU63"/>
      <c r="PW63"/>
      <c r="PY63"/>
      <c r="QA63"/>
      <c r="QC63"/>
      <c r="QE63"/>
      <c r="QG63"/>
      <c r="QI63"/>
      <c r="QK63"/>
      <c r="QM63"/>
      <c r="QO63"/>
      <c r="QQ63"/>
      <c r="QS63"/>
      <c r="QU63"/>
      <c r="QW63"/>
      <c r="QY63"/>
      <c r="RA63"/>
      <c r="RC63"/>
      <c r="RE63"/>
      <c r="RG63"/>
      <c r="RI63"/>
      <c r="RK63"/>
      <c r="RM63"/>
      <c r="RO63"/>
      <c r="RQ63"/>
      <c r="RS63"/>
      <c r="RU63"/>
      <c r="RW63"/>
      <c r="RY63"/>
      <c r="SA63"/>
      <c r="SE63"/>
      <c r="SI63"/>
      <c r="SM63"/>
      <c r="SQ63"/>
      <c r="SS63"/>
      <c r="SU63"/>
      <c r="SW63"/>
      <c r="SY63"/>
      <c r="TA63"/>
      <c r="TC63"/>
      <c r="TG63"/>
      <c r="TK63"/>
      <c r="TM63"/>
      <c r="TO63"/>
      <c r="TS63"/>
      <c r="TU63"/>
      <c r="TW63"/>
      <c r="TY63"/>
      <c r="UA63"/>
      <c r="UC63"/>
      <c r="UE63"/>
      <c r="UI63"/>
      <c r="UM63"/>
      <c r="UQ63"/>
      <c r="UU63"/>
      <c r="UW63"/>
      <c r="UY63"/>
      <c r="VA63"/>
      <c r="VC63"/>
      <c r="VE63"/>
      <c r="VG63"/>
      <c r="VI63"/>
      <c r="VK63"/>
      <c r="VM63"/>
      <c r="VO63"/>
      <c r="VQ63"/>
      <c r="VS63"/>
      <c r="VU63"/>
      <c r="VW63"/>
      <c r="VY63"/>
      <c r="WA63"/>
      <c r="WC63"/>
      <c r="WE63"/>
      <c r="WG63"/>
      <c r="WI63"/>
      <c r="WK63"/>
      <c r="WM63"/>
      <c r="WO63"/>
      <c r="WQ63"/>
      <c r="WS63"/>
      <c r="WU63"/>
      <c r="WW63"/>
      <c r="WY63"/>
      <c r="XA63"/>
      <c r="XC63"/>
      <c r="XE63"/>
      <c r="XG63"/>
      <c r="XK63"/>
      <c r="XO63"/>
      <c r="XQ63"/>
    </row>
    <row r="64" s="172" customFormat="true" ht="15" hidden="false" customHeight="false" outlineLevel="0" collapsed="false">
      <c r="A64" s="141" t="inlineStr">
        <is>
          <t xml:space="preserve">{sym.altgrhalf}</t>
        </is>
      </c>
      <c r="B64" s="142"/>
      <c r="C64" s="142"/>
      <c r="D64" s="142"/>
      <c r="E64" s="142"/>
      <c r="F64" s="143"/>
      <c r="G64" s="143"/>
      <c r="H64" s="143"/>
      <c r="I64"/>
      <c r="J64" s="144"/>
      <c r="K64" s="144"/>
      <c r="L64" s="144"/>
      <c r="M64"/>
      <c r="N64" s="145"/>
      <c r="O64" s="145"/>
      <c r="P64" s="145"/>
      <c r="Q64"/>
      <c r="R64" s="146"/>
      <c r="S64" s="146"/>
      <c r="T64" s="146"/>
      <c r="U64"/>
      <c r="V64" s="147"/>
      <c r="W64" s="147"/>
      <c r="X64" s="147"/>
      <c r="Y64" s="147"/>
      <c r="Z64" s="148"/>
      <c r="AA64" s="148"/>
      <c r="AB64" s="148"/>
      <c r="AC64" s="148"/>
      <c r="AD64" s="149"/>
      <c r="AE64" s="149"/>
      <c r="AF64" s="149"/>
      <c r="AG64" s="149"/>
      <c r="AH64" s="150"/>
      <c r="AI64" s="150"/>
      <c r="AJ64" s="150"/>
      <c r="AK64" s="150"/>
      <c r="AL64" s="151"/>
      <c r="AM64" s="151"/>
      <c r="AN64" s="151"/>
      <c r="AO64">
        <v>1</v>
      </c>
      <c r="AP64" s="152"/>
      <c r="AQ64" s="152"/>
      <c r="AR64" s="152"/>
      <c r="AS64" s="152"/>
      <c r="AT64" s="153"/>
      <c r="AU64" s="153"/>
      <c r="AV64" s="153"/>
      <c r="AW64" s="153"/>
      <c r="AX64" s="154"/>
      <c r="AY64" s="155"/>
      <c r="AZ64" s="154"/>
      <c r="BA64"/>
      <c r="BB64" s="156"/>
      <c r="BC64" s="157"/>
      <c r="BD64" s="156"/>
      <c r="BE64"/>
      <c r="BF64" s="158"/>
      <c r="BG64" s="159"/>
      <c r="BH64" s="158"/>
      <c r="BI64"/>
      <c r="BJ64" s="160"/>
      <c r="BK64" s="161"/>
      <c r="BL64" s="160"/>
      <c r="BM64" s="160"/>
      <c r="BN64" s="143"/>
      <c r="BO64" s="143"/>
      <c r="BP64" s="143"/>
      <c r="BQ64" s="143"/>
      <c r="BR64" s="162"/>
      <c r="BS64" s="162"/>
      <c r="BT64" s="162"/>
      <c r="BU64" s="162"/>
      <c r="BW64"/>
      <c r="BY64"/>
      <c r="BZ64" s="164"/>
      <c r="CA64" s="164"/>
      <c r="CB64" s="164"/>
      <c r="CC64" s="165"/>
      <c r="CD64" s="143"/>
      <c r="CE64" s="143"/>
      <c r="CF64" s="143"/>
      <c r="CG64" s="143"/>
      <c r="CH64" s="166"/>
      <c r="CI64" s="166"/>
      <c r="CJ64" s="166"/>
      <c r="CK64" s="166"/>
      <c r="CL64" s="167"/>
      <c r="CM64" s="167"/>
      <c r="CN64" s="167"/>
      <c r="CO64" s="167"/>
      <c r="CP64" s="163"/>
      <c r="CQ64" s="163"/>
      <c r="CR64" s="163"/>
      <c r="CS64" s="163"/>
      <c r="CT64" s="162"/>
      <c r="CU64" s="162"/>
      <c r="CV64" s="162"/>
      <c r="CW64" s="162"/>
      <c r="CX64" s="169"/>
      <c r="CY64" s="169"/>
      <c r="CZ64" s="169"/>
      <c r="DA64" s="169"/>
      <c r="DB64" s="171"/>
      <c r="DC64" s="171"/>
      <c r="DD64" s="171"/>
      <c r="DE64" s="171"/>
      <c r="DG64"/>
      <c r="DI64"/>
      <c r="DK64"/>
      <c r="DM64"/>
      <c r="DO64"/>
      <c r="DQ64"/>
      <c r="DS64"/>
      <c r="DU64"/>
      <c r="DW64"/>
      <c r="DY64"/>
      <c r="EA64"/>
      <c r="EC64"/>
      <c r="EE64"/>
      <c r="EG64"/>
      <c r="EI64"/>
      <c r="EK64"/>
      <c r="EM64"/>
      <c r="EO64"/>
      <c r="EQ64"/>
      <c r="ES64"/>
      <c r="EU64"/>
      <c r="EW64"/>
      <c r="EY64"/>
      <c r="FA64"/>
      <c r="FC64"/>
      <c r="FE64"/>
      <c r="FG64"/>
      <c r="FI64"/>
      <c r="FK64"/>
      <c r="FM64"/>
      <c r="FO64"/>
      <c r="FQ64"/>
      <c r="FS64"/>
      <c r="FU64"/>
      <c r="FW64"/>
      <c r="FY64"/>
      <c r="GA64"/>
      <c r="GC64"/>
      <c r="GE64"/>
      <c r="GG64"/>
      <c r="GI64"/>
      <c r="GK64"/>
      <c r="GM64"/>
      <c r="GO64"/>
      <c r="GP64"/>
      <c r="GQ64"/>
      <c r="GS64"/>
      <c r="GT64"/>
      <c r="GU64"/>
      <c r="GW64"/>
      <c r="GY64"/>
      <c r="HA64"/>
      <c r="HB64"/>
      <c r="HC64"/>
      <c r="HE64"/>
      <c r="HG64"/>
      <c r="HK64"/>
      <c r="HM64"/>
      <c r="HO64"/>
      <c r="HQ64"/>
      <c r="HS64"/>
      <c r="HU64"/>
      <c r="HW64"/>
      <c r="IA64"/>
      <c r="IE64"/>
      <c r="II64"/>
      <c r="IK64"/>
      <c r="IM64"/>
      <c r="IO64"/>
      <c r="IQ64"/>
      <c r="IU64"/>
      <c r="IW64"/>
      <c r="IY64"/>
      <c r="JA64"/>
      <c r="JC64"/>
      <c r="JE64"/>
      <c r="JG64"/>
      <c r="JI64"/>
      <c r="JK64"/>
      <c r="JM64">
        <v>1</v>
      </c>
      <c r="JO64"/>
      <c r="JS64"/>
      <c r="JU64"/>
      <c r="JW64"/>
      <c r="JY64"/>
      <c r="KA64"/>
      <c r="KC64"/>
      <c r="KE64"/>
      <c r="KG64">
        <v>1</v>
      </c>
      <c r="KI64"/>
      <c r="KK64">
        <v>1</v>
      </c>
      <c r="KM64"/>
      <c r="KO64"/>
      <c r="KQ64"/>
      <c r="KU64"/>
      <c r="KW64"/>
      <c r="KY64"/>
      <c r="LA64"/>
      <c r="LC64"/>
      <c r="LE64"/>
      <c r="LG64"/>
      <c r="LK64"/>
      <c r="LM64"/>
      <c r="LO64"/>
      <c r="LQ64"/>
      <c r="LS64"/>
      <c r="LU64"/>
      <c r="LW64"/>
      <c r="LY64"/>
      <c r="MA64"/>
      <c r="MC64"/>
      <c r="ME64"/>
      <c r="MG64"/>
      <c r="MI64"/>
      <c r="MK64"/>
      <c r="MM64"/>
      <c r="MO64"/>
      <c r="MQ64"/>
      <c r="MS64"/>
      <c r="MU64"/>
      <c r="MW64"/>
      <c r="MY64"/>
      <c r="NA64"/>
      <c r="NC64"/>
      <c r="NE64"/>
      <c r="NG64"/>
      <c r="NI64"/>
      <c r="NK64"/>
      <c r="NM64"/>
      <c r="NO64"/>
      <c r="NQ64"/>
      <c r="NS64"/>
      <c r="NU64"/>
      <c r="NW64"/>
      <c r="NY64"/>
      <c r="OA64"/>
      <c r="OC64"/>
      <c r="OE64"/>
      <c r="OG64"/>
      <c r="OI64"/>
      <c r="OK64"/>
      <c r="OM64"/>
      <c r="OO64"/>
      <c r="OQ64"/>
      <c r="OS64"/>
      <c r="OU64"/>
      <c r="OW64"/>
      <c r="OY64"/>
      <c r="PA64"/>
      <c r="PC64"/>
      <c r="PE64">
        <v>1</v>
      </c>
      <c r="PG64"/>
      <c r="PI64">
        <v>1</v>
      </c>
      <c r="PK64"/>
      <c r="PM64">
        <v>1</v>
      </c>
      <c r="PO64"/>
      <c r="PQ64">
        <v>1</v>
      </c>
      <c r="PS64"/>
      <c r="PU64">
        <v>1</v>
      </c>
      <c r="PW64"/>
      <c r="PY64">
        <v>1</v>
      </c>
      <c r="QA64"/>
      <c r="QC64">
        <v>1</v>
      </c>
      <c r="QE64"/>
      <c r="QG64">
        <v>1</v>
      </c>
      <c r="QI64"/>
      <c r="QK64">
        <v>1</v>
      </c>
      <c r="QM64"/>
      <c r="QO64">
        <v>1</v>
      </c>
      <c r="QQ64"/>
      <c r="QS64">
        <v>1</v>
      </c>
      <c r="QU64"/>
      <c r="QW64">
        <v>1</v>
      </c>
      <c r="QY64"/>
      <c r="RA64">
        <v>1</v>
      </c>
      <c r="RC64"/>
      <c r="RE64">
        <v>1</v>
      </c>
      <c r="RG64"/>
      <c r="RI64"/>
      <c r="RK64"/>
      <c r="RM64"/>
      <c r="RO64"/>
      <c r="RQ64"/>
      <c r="RS64"/>
      <c r="RU64"/>
      <c r="RW64"/>
      <c r="RY64"/>
      <c r="SA64"/>
      <c r="SE64"/>
      <c r="SI64"/>
      <c r="SM64"/>
      <c r="SQ64"/>
      <c r="SS64"/>
      <c r="SU64"/>
      <c r="SW64"/>
      <c r="SY64"/>
      <c r="TA64"/>
      <c r="TC64"/>
      <c r="TG64"/>
      <c r="TK64"/>
      <c r="TM64"/>
      <c r="TO64"/>
      <c r="TS64"/>
      <c r="TU64"/>
      <c r="TW64"/>
      <c r="TY64"/>
      <c r="UA64"/>
      <c r="UC64"/>
      <c r="UE64"/>
      <c r="UI64"/>
      <c r="UM64"/>
      <c r="UQ64"/>
      <c r="UU64"/>
      <c r="UW64"/>
      <c r="UY64"/>
      <c r="VA64"/>
      <c r="VC64"/>
      <c r="VE64"/>
      <c r="VG64"/>
      <c r="VI64"/>
      <c r="VK64"/>
      <c r="VM64"/>
      <c r="VO64"/>
      <c r="VQ64"/>
      <c r="VS64"/>
      <c r="VU64"/>
      <c r="VW64"/>
      <c r="VY64"/>
      <c r="WA64"/>
      <c r="WC64"/>
      <c r="WE64"/>
      <c r="WG64"/>
      <c r="WI64"/>
      <c r="WK64"/>
      <c r="WM64"/>
      <c r="WO64"/>
      <c r="WQ64"/>
      <c r="WS64"/>
      <c r="WU64"/>
      <c r="WW64"/>
      <c r="WY64"/>
      <c r="XA64"/>
      <c r="XC64"/>
      <c r="XE64"/>
      <c r="XG64"/>
      <c r="XK64"/>
      <c r="XO64"/>
      <c r="XQ64"/>
    </row>
    <row r="65" s="172" customFormat="true" ht="15" hidden="false" customHeight="false" outlineLevel="0" collapsed="false">
      <c r="A65" s="141" t="inlineStr">
        <is>
          <t xml:space="preserve">{letter.heldhoffset}</t>
        </is>
      </c>
      <c r="B65" s="142"/>
      <c r="C65" s="142"/>
      <c r="D65" s="142"/>
      <c r="E65">
        <v>-56</v>
      </c>
      <c r="F65" s="143"/>
      <c r="G65" s="143"/>
      <c r="H65" s="143"/>
      <c r="I65">
        <v>-56</v>
      </c>
      <c r="J65" s="144"/>
      <c r="K65" s="144"/>
      <c r="L65" s="144"/>
      <c r="M65">
        <v>-56</v>
      </c>
      <c r="N65" s="145"/>
      <c r="O65" s="145"/>
      <c r="P65" s="145"/>
      <c r="Q65">
        <v>-56</v>
      </c>
      <c r="R65" s="146"/>
      <c r="S65" s="146"/>
      <c r="T65" s="146"/>
      <c r="U65">
        <v>-56</v>
      </c>
      <c r="V65" s="147"/>
      <c r="W65" s="147"/>
      <c r="X65" s="147"/>
      <c r="Y65">
        <v>-56</v>
      </c>
      <c r="Z65" s="148"/>
      <c r="AA65" s="148"/>
      <c r="AB65" s="148"/>
      <c r="AC65">
        <v>-56</v>
      </c>
      <c r="AD65" s="149"/>
      <c r="AE65" s="149"/>
      <c r="AF65" s="149"/>
      <c r="AG65">
        <v>-56</v>
      </c>
      <c r="AH65" s="150"/>
      <c r="AI65" s="150"/>
      <c r="AJ65" s="150"/>
      <c r="AK65">
        <v>-56</v>
      </c>
      <c r="AL65" s="151"/>
      <c r="AM65" s="151"/>
      <c r="AN65" s="151"/>
      <c r="AO65">
        <v>-56</v>
      </c>
      <c r="AP65" s="152"/>
      <c r="AQ65" s="152"/>
      <c r="AR65" s="152"/>
      <c r="AS65">
        <v>-56</v>
      </c>
      <c r="AT65" s="153"/>
      <c r="AU65" s="153"/>
      <c r="AV65" s="153"/>
      <c r="AW65">
        <v>-56</v>
      </c>
      <c r="AX65" s="154"/>
      <c r="AY65" s="155"/>
      <c r="AZ65" s="154"/>
      <c r="BA65">
        <v>-56</v>
      </c>
      <c r="BB65" s="156"/>
      <c r="BC65" s="157"/>
      <c r="BD65" s="156"/>
      <c r="BE65">
        <v>-56</v>
      </c>
      <c r="BF65" s="158"/>
      <c r="BG65" s="159"/>
      <c r="BH65" s="158"/>
      <c r="BI65">
        <v>-56</v>
      </c>
      <c r="BJ65" s="160"/>
      <c r="BK65" s="161"/>
      <c r="BL65" s="160"/>
      <c r="BM65">
        <v>-56</v>
      </c>
      <c r="BN65" s="143"/>
      <c r="BO65" s="143"/>
      <c r="BP65" s="143"/>
      <c r="BQ65">
        <v>-56</v>
      </c>
      <c r="BR65" s="162"/>
      <c r="BS65" s="162"/>
      <c r="BT65" s="162"/>
      <c r="BU65">
        <v>-56</v>
      </c>
      <c r="BW65"/>
      <c r="BY65">
        <v>-56</v>
      </c>
      <c r="BZ65" s="164"/>
      <c r="CA65" s="164"/>
      <c r="CB65" s="164"/>
      <c r="CC65">
        <v>-56</v>
      </c>
      <c r="CD65" s="143"/>
      <c r="CE65" s="143"/>
      <c r="CF65" s="143"/>
      <c r="CG65">
        <v>-56</v>
      </c>
      <c r="CH65" s="166"/>
      <c r="CI65" s="166"/>
      <c r="CJ65" s="166"/>
      <c r="CK65">
        <v>-56</v>
      </c>
      <c r="CL65" s="167"/>
      <c r="CM65" s="167"/>
      <c r="CN65" s="167"/>
      <c r="CO65">
        <v>-56</v>
      </c>
      <c r="CP65" s="163"/>
      <c r="CQ65" s="163"/>
      <c r="CR65" s="163"/>
      <c r="CS65">
        <v>-56</v>
      </c>
      <c r="CT65" s="162"/>
      <c r="CU65" s="162"/>
      <c r="CV65" s="162"/>
      <c r="CW65">
        <v>-56</v>
      </c>
      <c r="CX65" s="169"/>
      <c r="CY65" s="169"/>
      <c r="CZ65" s="169"/>
      <c r="DA65">
        <v>-56</v>
      </c>
      <c r="DB65" s="171"/>
      <c r="DC65" s="171"/>
      <c r="DD65" s="171"/>
      <c r="DE65">
        <v>-56</v>
      </c>
      <c r="DG65"/>
      <c r="DI65">
        <v>-56</v>
      </c>
      <c r="DK65"/>
      <c r="DM65">
        <v>-56</v>
      </c>
      <c r="DO65"/>
      <c r="DQ65">
        <v>-56</v>
      </c>
      <c r="DS65"/>
      <c r="DU65">
        <v>-56</v>
      </c>
      <c r="DW65"/>
      <c r="DY65">
        <v>-56</v>
      </c>
      <c r="EA65"/>
      <c r="EC65">
        <v>-56</v>
      </c>
      <c r="EE65"/>
      <c r="EG65">
        <v>-56</v>
      </c>
      <c r="EI65"/>
      <c r="EK65">
        <v>-56</v>
      </c>
      <c r="EM65"/>
      <c r="EO65">
        <v>-56</v>
      </c>
      <c r="EQ65"/>
      <c r="ES65">
        <v>-56</v>
      </c>
      <c r="EU65"/>
      <c r="EW65">
        <v>-56</v>
      </c>
      <c r="EY65"/>
      <c r="FA65">
        <v>-56</v>
      </c>
      <c r="FC65"/>
      <c r="FE65">
        <v>-56</v>
      </c>
      <c r="FG65"/>
      <c r="FI65">
        <v>-56</v>
      </c>
      <c r="FK65"/>
      <c r="FM65">
        <v>-56</v>
      </c>
      <c r="FO65"/>
      <c r="FQ65">
        <v>-56</v>
      </c>
      <c r="FS65"/>
      <c r="FU65">
        <v>-56</v>
      </c>
      <c r="FW65"/>
      <c r="FY65">
        <v>-56</v>
      </c>
      <c r="GA65"/>
      <c r="GC65">
        <v>-56</v>
      </c>
      <c r="GE65"/>
      <c r="GG65">
        <v>-56</v>
      </c>
      <c r="GI65"/>
      <c r="GK65">
        <v>-56</v>
      </c>
      <c r="GM65"/>
      <c r="GO65">
        <v>-56</v>
      </c>
      <c r="GP65"/>
      <c r="GQ65"/>
      <c r="GS65">
        <v>-56</v>
      </c>
      <c r="GT65"/>
      <c r="GU65"/>
      <c r="GW65">
        <v>-56</v>
      </c>
      <c r="GY65"/>
      <c r="HA65">
        <v>-56</v>
      </c>
      <c r="HB65"/>
      <c r="HC65"/>
      <c r="HE65">
        <v>-56</v>
      </c>
      <c r="HG65"/>
      <c r="HI65">
        <v>-56</v>
      </c>
      <c r="HK65"/>
      <c r="HM65">
        <v>-56</v>
      </c>
      <c r="HO65"/>
      <c r="HQ65">
        <v>-56</v>
      </c>
      <c r="HS65"/>
      <c r="HU65">
        <v>-56</v>
      </c>
      <c r="HW65"/>
      <c r="HY65">
        <v>-56</v>
      </c>
      <c r="IA65"/>
      <c r="IC65">
        <v>-56</v>
      </c>
      <c r="IE65"/>
      <c r="IG65">
        <v>-56</v>
      </c>
      <c r="II65"/>
      <c r="IK65">
        <v>-56</v>
      </c>
      <c r="IM65"/>
      <c r="IO65">
        <v>-56</v>
      </c>
      <c r="IQ65"/>
      <c r="IS65">
        <v>-56</v>
      </c>
      <c r="IU65"/>
      <c r="IW65">
        <v>-56</v>
      </c>
      <c r="IY65"/>
      <c r="JA65">
        <v>-56</v>
      </c>
      <c r="JC65"/>
      <c r="JE65">
        <v>-56</v>
      </c>
      <c r="JG65"/>
      <c r="JI65">
        <v>-56</v>
      </c>
      <c r="JK65"/>
      <c r="JM65">
        <v>-56</v>
      </c>
      <c r="JO65"/>
      <c r="JQ65">
        <v>-56</v>
      </c>
      <c r="JS65"/>
      <c r="JU65">
        <v>-56</v>
      </c>
      <c r="JW65"/>
      <c r="JY65">
        <v>-56</v>
      </c>
      <c r="KA65"/>
      <c r="KC65">
        <v>-56</v>
      </c>
      <c r="KE65"/>
      <c r="KG65">
        <v>-56</v>
      </c>
      <c r="KI65"/>
      <c r="KK65">
        <v>-56</v>
      </c>
      <c r="KM65"/>
      <c r="KO65">
        <v>-56</v>
      </c>
      <c r="KQ65"/>
      <c r="KS65">
        <v>-56</v>
      </c>
      <c r="KU65"/>
      <c r="KW65">
        <v>-56</v>
      </c>
      <c r="KY65"/>
      <c r="LA65">
        <v>-56</v>
      </c>
      <c r="LC65"/>
      <c r="LE65">
        <v>-56</v>
      </c>
      <c r="LG65"/>
      <c r="LI65">
        <v>-56</v>
      </c>
      <c r="LK65"/>
      <c r="LM65">
        <v>-56</v>
      </c>
      <c r="LO65"/>
      <c r="LQ65">
        <v>-56</v>
      </c>
      <c r="LS65"/>
      <c r="LU65">
        <v>-56</v>
      </c>
      <c r="LW65"/>
      <c r="LY65">
        <v>-56</v>
      </c>
      <c r="MA65"/>
      <c r="MC65">
        <v>-56</v>
      </c>
      <c r="ME65"/>
      <c r="MG65">
        <v>-56</v>
      </c>
      <c r="MI65"/>
      <c r="MK65">
        <v>-56</v>
      </c>
      <c r="MM65"/>
      <c r="MO65">
        <v>-56</v>
      </c>
      <c r="MQ65"/>
      <c r="MS65">
        <v>-56</v>
      </c>
      <c r="MU65"/>
      <c r="MW65">
        <v>-56</v>
      </c>
      <c r="MY65"/>
      <c r="NA65">
        <v>-56</v>
      </c>
      <c r="NC65"/>
      <c r="NE65">
        <v>-56</v>
      </c>
      <c r="NG65"/>
      <c r="NI65">
        <v>-56</v>
      </c>
      <c r="NK65"/>
      <c r="NM65">
        <v>-56</v>
      </c>
      <c r="NO65"/>
      <c r="NQ65">
        <v>-56</v>
      </c>
      <c r="NS65"/>
      <c r="NU65">
        <v>-56</v>
      </c>
      <c r="NW65"/>
      <c r="NY65">
        <v>-56</v>
      </c>
      <c r="OA65"/>
      <c r="OC65">
        <v>-56</v>
      </c>
      <c r="OE65"/>
      <c r="OG65">
        <v>-56</v>
      </c>
      <c r="OI65"/>
      <c r="OK65">
        <v>-56</v>
      </c>
      <c r="OM65"/>
      <c r="OO65">
        <v>-56</v>
      </c>
      <c r="OQ65"/>
      <c r="OS65">
        <v>-56</v>
      </c>
      <c r="OU65"/>
      <c r="OW65">
        <v>-56</v>
      </c>
      <c r="OY65"/>
      <c r="PA65">
        <v>-56</v>
      </c>
      <c r="PC65"/>
      <c r="PE65">
        <v>-56</v>
      </c>
      <c r="PG65"/>
      <c r="PI65">
        <v>-56</v>
      </c>
      <c r="PK65"/>
      <c r="PM65">
        <v>-56</v>
      </c>
      <c r="PO65"/>
      <c r="PQ65">
        <v>-56</v>
      </c>
      <c r="PS65"/>
      <c r="PU65">
        <v>-56</v>
      </c>
      <c r="PW65"/>
      <c r="PY65">
        <v>-56</v>
      </c>
      <c r="QA65"/>
      <c r="QC65">
        <v>-56</v>
      </c>
      <c r="QE65"/>
      <c r="QG65">
        <v>-56</v>
      </c>
      <c r="QI65"/>
      <c r="QK65">
        <v>-56</v>
      </c>
      <c r="QM65"/>
      <c r="QO65">
        <v>-56</v>
      </c>
      <c r="QQ65"/>
      <c r="QS65">
        <v>-56</v>
      </c>
      <c r="QU65"/>
      <c r="QW65">
        <v>-56</v>
      </c>
      <c r="QY65"/>
      <c r="RA65">
        <v>-56</v>
      </c>
      <c r="RC65"/>
      <c r="RE65">
        <v>-56</v>
      </c>
      <c r="RG65"/>
      <c r="RI65">
        <v>-56</v>
      </c>
      <c r="RK65"/>
      <c r="RM65">
        <v>-56</v>
      </c>
      <c r="RO65"/>
      <c r="RQ65">
        <v>-56</v>
      </c>
      <c r="RS65"/>
      <c r="RU65">
        <v>-56</v>
      </c>
      <c r="RW65"/>
      <c r="RY65">
        <v>-56</v>
      </c>
      <c r="SA65"/>
      <c r="SC65">
        <v>-56</v>
      </c>
      <c r="SE65"/>
      <c r="SG65">
        <v>-56</v>
      </c>
      <c r="SI65"/>
      <c r="SK65">
        <v>-56</v>
      </c>
      <c r="SM65"/>
      <c r="SO65">
        <v>-56</v>
      </c>
      <c r="SQ65"/>
      <c r="SS65">
        <v>-56</v>
      </c>
      <c r="SU65"/>
      <c r="SW65">
        <v>-56</v>
      </c>
      <c r="SY65"/>
      <c r="TA65">
        <v>-56</v>
      </c>
      <c r="TC65"/>
      <c r="TE65">
        <v>-56</v>
      </c>
      <c r="TG65"/>
      <c r="TI65">
        <v>-56</v>
      </c>
      <c r="TK65"/>
      <c r="TM65">
        <v>-56</v>
      </c>
      <c r="TO65"/>
      <c r="TQ65">
        <v>-56</v>
      </c>
      <c r="TS65"/>
      <c r="TU65">
        <v>-56</v>
      </c>
      <c r="TW65"/>
      <c r="TY65">
        <v>-56</v>
      </c>
      <c r="UA65"/>
      <c r="UC65">
        <v>-56</v>
      </c>
      <c r="UE65"/>
      <c r="UG65">
        <v>-56</v>
      </c>
      <c r="UI65"/>
      <c r="UK65">
        <v>-56</v>
      </c>
      <c r="UM65"/>
      <c r="UO65">
        <v>-56</v>
      </c>
      <c r="UQ65"/>
      <c r="US65">
        <v>-56</v>
      </c>
      <c r="UU65"/>
      <c r="UW65">
        <v>-56</v>
      </c>
      <c r="UY65"/>
      <c r="VA65">
        <v>-56</v>
      </c>
      <c r="VC65"/>
      <c r="VE65">
        <v>-56</v>
      </c>
      <c r="VG65"/>
      <c r="VI65">
        <v>-56</v>
      </c>
      <c r="VK65"/>
      <c r="VM65">
        <v>-56</v>
      </c>
      <c r="VO65"/>
      <c r="VQ65">
        <v>-56</v>
      </c>
      <c r="VS65"/>
      <c r="VU65">
        <v>-56</v>
      </c>
      <c r="VW65"/>
      <c r="VY65">
        <v>-56</v>
      </c>
      <c r="WA65"/>
      <c r="WC65">
        <v>-56</v>
      </c>
      <c r="WE65"/>
      <c r="WG65">
        <v>-56</v>
      </c>
      <c r="WI65"/>
      <c r="WK65">
        <v>-56</v>
      </c>
      <c r="WM65"/>
      <c r="WO65">
        <v>-56</v>
      </c>
      <c r="WQ65"/>
      <c r="WS65">
        <v>-56</v>
      </c>
      <c r="WU65"/>
      <c r="WW65">
        <v>-56</v>
      </c>
      <c r="WY65"/>
      <c r="XA65">
        <v>-56</v>
      </c>
      <c r="XC65"/>
      <c r="XE65">
        <v>-56</v>
      </c>
      <c r="XG65"/>
      <c r="XI65">
        <v>-56</v>
      </c>
      <c r="XK65"/>
      <c r="XM65">
        <v>-56</v>
      </c>
      <c r="XO65"/>
      <c r="XQ65">
        <v>-56</v>
      </c>
    </row>
    <row r="66" s="172" customFormat="true" ht="15" hidden="false" customHeight="false" outlineLevel="0" collapsed="false">
      <c r="A66" s="141" t="inlineStr">
        <is>
          <t xml:space="preserve">{letter.heldvoffset}</t>
        </is>
      </c>
      <c r="B66" s="142"/>
      <c r="C66" s="142"/>
      <c r="D66" s="142"/>
      <c r="E66">
        <v>-15</v>
      </c>
      <c r="F66" s="143"/>
      <c r="G66" s="143"/>
      <c r="H66" s="143"/>
      <c r="I66">
        <v>-15</v>
      </c>
      <c r="J66" s="144"/>
      <c r="K66" s="144"/>
      <c r="L66" s="144"/>
      <c r="M66">
        <v>-15</v>
      </c>
      <c r="N66" s="145"/>
      <c r="O66" s="145"/>
      <c r="P66" s="145"/>
      <c r="Q66">
        <v>-15</v>
      </c>
      <c r="R66" s="146"/>
      <c r="S66" s="146"/>
      <c r="T66" s="146"/>
      <c r="U66">
        <v>-15</v>
      </c>
      <c r="V66" s="147"/>
      <c r="W66" s="147"/>
      <c r="X66" s="147"/>
      <c r="Y66">
        <v>-15</v>
      </c>
      <c r="Z66" s="148"/>
      <c r="AA66" s="148"/>
      <c r="AB66" s="148"/>
      <c r="AC66">
        <v>-15</v>
      </c>
      <c r="AD66" s="149"/>
      <c r="AE66" s="149"/>
      <c r="AF66" s="149"/>
      <c r="AG66">
        <v>-15</v>
      </c>
      <c r="AH66" s="150"/>
      <c r="AI66" s="150"/>
      <c r="AJ66" s="150"/>
      <c r="AK66">
        <v>-15</v>
      </c>
      <c r="AL66" s="151"/>
      <c r="AM66" s="151"/>
      <c r="AN66" s="151"/>
      <c r="AO66">
        <v>-15</v>
      </c>
      <c r="AP66" s="152"/>
      <c r="AQ66" s="152"/>
      <c r="AR66" s="152"/>
      <c r="AS66">
        <v>-15</v>
      </c>
      <c r="AT66" s="153"/>
      <c r="AU66" s="153"/>
      <c r="AV66" s="153"/>
      <c r="AW66">
        <v>-15</v>
      </c>
      <c r="AX66" s="154"/>
      <c r="AY66" s="155"/>
      <c r="AZ66" s="154"/>
      <c r="BA66">
        <v>-15</v>
      </c>
      <c r="BB66" s="156"/>
      <c r="BC66" s="157"/>
      <c r="BD66" s="156"/>
      <c r="BE66">
        <v>-15</v>
      </c>
      <c r="BF66" s="158"/>
      <c r="BG66" s="159"/>
      <c r="BH66" s="158"/>
      <c r="BI66">
        <v>-15</v>
      </c>
      <c r="BJ66" s="160"/>
      <c r="BK66" s="161"/>
      <c r="BL66" s="160"/>
      <c r="BM66">
        <v>-15</v>
      </c>
      <c r="BN66" s="143"/>
      <c r="BO66" s="143"/>
      <c r="BP66" s="143"/>
      <c r="BQ66">
        <v>-15</v>
      </c>
      <c r="BR66" s="162"/>
      <c r="BS66" s="162"/>
      <c r="BT66" s="162"/>
      <c r="BU66">
        <v>-15</v>
      </c>
      <c r="BW66"/>
      <c r="BY66">
        <v>-15</v>
      </c>
      <c r="BZ66" s="164"/>
      <c r="CA66" s="164"/>
      <c r="CB66" s="164"/>
      <c r="CC66">
        <v>-15</v>
      </c>
      <c r="CD66" s="143"/>
      <c r="CE66" s="143"/>
      <c r="CF66" s="143"/>
      <c r="CG66">
        <v>-15</v>
      </c>
      <c r="CH66" s="166"/>
      <c r="CI66" s="166"/>
      <c r="CJ66" s="166"/>
      <c r="CK66">
        <v>-15</v>
      </c>
      <c r="CL66" s="167"/>
      <c r="CM66" s="167"/>
      <c r="CN66" s="167"/>
      <c r="CO66">
        <v>-15</v>
      </c>
      <c r="CP66" s="163"/>
      <c r="CQ66" s="163"/>
      <c r="CR66" s="163"/>
      <c r="CS66">
        <v>-15</v>
      </c>
      <c r="CT66" s="162"/>
      <c r="CU66" s="162"/>
      <c r="CV66" s="162"/>
      <c r="CW66">
        <v>-15</v>
      </c>
      <c r="CX66" s="169"/>
      <c r="CY66" s="169"/>
      <c r="CZ66" s="169"/>
      <c r="DA66">
        <v>-15</v>
      </c>
      <c r="DB66" s="171"/>
      <c r="DC66" s="171"/>
      <c r="DD66" s="171"/>
      <c r="DE66">
        <v>-15</v>
      </c>
      <c r="DG66"/>
      <c r="DI66">
        <v>-15</v>
      </c>
      <c r="DK66"/>
      <c r="DM66">
        <v>-15</v>
      </c>
      <c r="DO66"/>
      <c r="DQ66">
        <v>-15</v>
      </c>
      <c r="DS66"/>
      <c r="DU66">
        <v>-15</v>
      </c>
      <c r="DW66"/>
      <c r="DY66">
        <v>-15</v>
      </c>
      <c r="EA66"/>
      <c r="EC66">
        <v>-15</v>
      </c>
      <c r="EE66"/>
      <c r="EG66">
        <v>-15</v>
      </c>
      <c r="EI66"/>
      <c r="EK66">
        <v>-15</v>
      </c>
      <c r="EM66"/>
      <c r="EO66">
        <v>-15</v>
      </c>
      <c r="EQ66"/>
      <c r="ES66">
        <v>-15</v>
      </c>
      <c r="EU66"/>
      <c r="EW66">
        <v>-15</v>
      </c>
      <c r="EY66"/>
      <c r="FA66">
        <v>-15</v>
      </c>
      <c r="FC66"/>
      <c r="FE66">
        <v>-15</v>
      </c>
      <c r="FG66"/>
      <c r="FI66">
        <v>-15</v>
      </c>
      <c r="FK66"/>
      <c r="FM66">
        <v>-15</v>
      </c>
      <c r="FO66"/>
      <c r="FQ66">
        <v>-15</v>
      </c>
      <c r="FS66"/>
      <c r="FU66">
        <v>-15</v>
      </c>
      <c r="FW66"/>
      <c r="FY66">
        <v>-15</v>
      </c>
      <c r="GA66"/>
      <c r="GC66">
        <v>-15</v>
      </c>
      <c r="GE66"/>
      <c r="GG66">
        <v>-15</v>
      </c>
      <c r="GI66"/>
      <c r="GK66">
        <v>-15</v>
      </c>
      <c r="GM66"/>
      <c r="GO66">
        <v>-15</v>
      </c>
      <c r="GP66"/>
      <c r="GQ66"/>
      <c r="GS66">
        <v>-15</v>
      </c>
      <c r="GT66"/>
      <c r="GU66"/>
      <c r="GW66">
        <v>-15</v>
      </c>
      <c r="GY66"/>
      <c r="HA66">
        <v>-15</v>
      </c>
      <c r="HB66"/>
      <c r="HC66"/>
      <c r="HE66">
        <v>-15</v>
      </c>
      <c r="HG66"/>
      <c r="HI66">
        <v>-15</v>
      </c>
      <c r="HK66"/>
      <c r="HM66">
        <v>-15</v>
      </c>
      <c r="HO66"/>
      <c r="HQ66">
        <v>-15</v>
      </c>
      <c r="HS66"/>
      <c r="HU66">
        <v>-15</v>
      </c>
      <c r="HW66"/>
      <c r="HY66">
        <v>-15</v>
      </c>
      <c r="IA66"/>
      <c r="IC66">
        <v>-15</v>
      </c>
      <c r="IE66"/>
      <c r="IG66">
        <v>-15</v>
      </c>
      <c r="II66"/>
      <c r="IK66">
        <v>-15</v>
      </c>
      <c r="IM66"/>
      <c r="IO66">
        <v>-15</v>
      </c>
      <c r="IQ66"/>
      <c r="IS66">
        <v>-15</v>
      </c>
      <c r="IU66"/>
      <c r="IW66">
        <v>-15</v>
      </c>
      <c r="IY66"/>
      <c r="JA66">
        <v>-15</v>
      </c>
      <c r="JC66"/>
      <c r="JE66">
        <v>-15</v>
      </c>
      <c r="JG66"/>
      <c r="JI66">
        <v>-15</v>
      </c>
      <c r="JK66"/>
      <c r="JM66">
        <v>-15</v>
      </c>
      <c r="JO66"/>
      <c r="JQ66">
        <v>-15</v>
      </c>
      <c r="JS66"/>
      <c r="JU66">
        <v>-15</v>
      </c>
      <c r="JW66"/>
      <c r="JY66">
        <v>-15</v>
      </c>
      <c r="KA66"/>
      <c r="KC66">
        <v>-15</v>
      </c>
      <c r="KE66"/>
      <c r="KG66">
        <v>-15</v>
      </c>
      <c r="KI66"/>
      <c r="KK66">
        <v>-15</v>
      </c>
      <c r="KM66"/>
      <c r="KO66">
        <v>-15</v>
      </c>
      <c r="KQ66"/>
      <c r="KS66">
        <v>-15</v>
      </c>
      <c r="KU66"/>
      <c r="KW66">
        <v>-15</v>
      </c>
      <c r="KY66"/>
      <c r="LA66">
        <v>-15</v>
      </c>
      <c r="LC66"/>
      <c r="LE66">
        <v>-15</v>
      </c>
      <c r="LG66"/>
      <c r="LI66">
        <v>-15</v>
      </c>
      <c r="LK66"/>
      <c r="LM66">
        <v>-15</v>
      </c>
      <c r="LO66"/>
      <c r="LQ66">
        <v>-15</v>
      </c>
      <c r="LS66"/>
      <c r="LU66">
        <v>-15</v>
      </c>
      <c r="LW66"/>
      <c r="LY66">
        <v>-15</v>
      </c>
      <c r="MA66"/>
      <c r="MC66">
        <v>-15</v>
      </c>
      <c r="ME66"/>
      <c r="MG66">
        <v>-15</v>
      </c>
      <c r="MI66"/>
      <c r="MK66">
        <v>-15</v>
      </c>
      <c r="MM66"/>
      <c r="MO66">
        <v>-15</v>
      </c>
      <c r="MQ66"/>
      <c r="MS66">
        <v>-15</v>
      </c>
      <c r="MU66"/>
      <c r="MW66">
        <v>-15</v>
      </c>
      <c r="MY66"/>
      <c r="NA66">
        <v>-15</v>
      </c>
      <c r="NC66"/>
      <c r="NE66">
        <v>-15</v>
      </c>
      <c r="NG66"/>
      <c r="NI66">
        <v>-15</v>
      </c>
      <c r="NK66"/>
      <c r="NM66">
        <v>-15</v>
      </c>
      <c r="NO66"/>
      <c r="NQ66">
        <v>-15</v>
      </c>
      <c r="NS66"/>
      <c r="NU66">
        <v>-15</v>
      </c>
      <c r="NW66"/>
      <c r="NY66">
        <v>-15</v>
      </c>
      <c r="OA66"/>
      <c r="OC66">
        <v>-15</v>
      </c>
      <c r="OE66"/>
      <c r="OG66">
        <v>-15</v>
      </c>
      <c r="OI66"/>
      <c r="OK66">
        <v>-15</v>
      </c>
      <c r="OM66"/>
      <c r="OO66">
        <v>-15</v>
      </c>
      <c r="OQ66"/>
      <c r="OS66">
        <v>-15</v>
      </c>
      <c r="OU66"/>
      <c r="OW66">
        <v>-15</v>
      </c>
      <c r="OY66"/>
      <c r="PA66">
        <v>-15</v>
      </c>
      <c r="PC66"/>
      <c r="PE66">
        <v>-15</v>
      </c>
      <c r="PG66"/>
      <c r="PI66">
        <v>-15</v>
      </c>
      <c r="PK66"/>
      <c r="PM66">
        <v>-15</v>
      </c>
      <c r="PO66"/>
      <c r="PQ66">
        <v>-15</v>
      </c>
      <c r="PS66"/>
      <c r="PU66">
        <v>-15</v>
      </c>
      <c r="PW66"/>
      <c r="PY66">
        <v>-15</v>
      </c>
      <c r="QA66"/>
      <c r="QC66">
        <v>-15</v>
      </c>
      <c r="QE66"/>
      <c r="QG66">
        <v>-15</v>
      </c>
      <c r="QI66"/>
      <c r="QK66">
        <v>-15</v>
      </c>
      <c r="QM66"/>
      <c r="QO66">
        <v>-15</v>
      </c>
      <c r="QQ66"/>
      <c r="QS66">
        <v>-15</v>
      </c>
      <c r="QU66"/>
      <c r="QW66">
        <v>-15</v>
      </c>
      <c r="QY66"/>
      <c r="RA66">
        <v>-15</v>
      </c>
      <c r="RC66"/>
      <c r="RE66">
        <v>-15</v>
      </c>
      <c r="RG66"/>
      <c r="RI66">
        <v>-15</v>
      </c>
      <c r="RK66"/>
      <c r="RM66">
        <v>-15</v>
      </c>
      <c r="RO66"/>
      <c r="RQ66">
        <v>-15</v>
      </c>
      <c r="RS66"/>
      <c r="RU66">
        <v>-15</v>
      </c>
      <c r="RW66"/>
      <c r="RY66">
        <v>-15</v>
      </c>
      <c r="SA66"/>
      <c r="SC66">
        <v>-15</v>
      </c>
      <c r="SE66"/>
      <c r="SG66">
        <v>-15</v>
      </c>
      <c r="SI66"/>
      <c r="SK66">
        <v>-15</v>
      </c>
      <c r="SM66"/>
      <c r="SO66">
        <v>-15</v>
      </c>
      <c r="SQ66"/>
      <c r="SS66">
        <v>-15</v>
      </c>
      <c r="SU66"/>
      <c r="SW66">
        <v>-15</v>
      </c>
      <c r="SY66"/>
      <c r="TA66">
        <v>-15</v>
      </c>
      <c r="TC66"/>
      <c r="TE66">
        <v>-15</v>
      </c>
      <c r="TG66"/>
      <c r="TI66">
        <v>-15</v>
      </c>
      <c r="TK66"/>
      <c r="TM66">
        <v>-15</v>
      </c>
      <c r="TO66"/>
      <c r="TQ66">
        <v>-15</v>
      </c>
      <c r="TS66"/>
      <c r="TU66">
        <v>-15</v>
      </c>
      <c r="TW66"/>
      <c r="TY66">
        <v>-15</v>
      </c>
      <c r="UA66"/>
      <c r="UC66">
        <v>-15</v>
      </c>
      <c r="UE66"/>
      <c r="UG66">
        <v>-15</v>
      </c>
      <c r="UI66"/>
      <c r="UK66">
        <v>-15</v>
      </c>
      <c r="UM66"/>
      <c r="UO66">
        <v>-15</v>
      </c>
      <c r="UQ66"/>
      <c r="US66">
        <v>-15</v>
      </c>
      <c r="UU66"/>
      <c r="UW66">
        <v>-15</v>
      </c>
      <c r="UY66"/>
      <c r="VA66">
        <v>-15</v>
      </c>
      <c r="VC66"/>
      <c r="VE66">
        <v>-15</v>
      </c>
      <c r="VG66"/>
      <c r="VI66">
        <v>-15</v>
      </c>
      <c r="VK66"/>
      <c r="VM66">
        <v>-15</v>
      </c>
      <c r="VO66"/>
      <c r="VQ66">
        <v>-15</v>
      </c>
      <c r="VS66"/>
      <c r="VU66">
        <v>-15</v>
      </c>
      <c r="VW66"/>
      <c r="VY66">
        <v>-15</v>
      </c>
      <c r="WA66"/>
      <c r="WC66">
        <v>-15</v>
      </c>
      <c r="WE66"/>
      <c r="WG66">
        <v>-15</v>
      </c>
      <c r="WI66"/>
      <c r="WK66">
        <v>-15</v>
      </c>
      <c r="WM66"/>
      <c r="WO66">
        <v>-15</v>
      </c>
      <c r="WQ66"/>
      <c r="WS66">
        <v>-15</v>
      </c>
      <c r="WU66"/>
      <c r="WW66">
        <v>-15</v>
      </c>
      <c r="WY66"/>
      <c r="XA66">
        <v>-15</v>
      </c>
      <c r="XC66"/>
      <c r="XE66">
        <v>-15</v>
      </c>
      <c r="XG66"/>
      <c r="XI66">
        <v>-15</v>
      </c>
      <c r="XK66"/>
      <c r="XM66">
        <v>-15</v>
      </c>
      <c r="XO66"/>
      <c r="XQ66">
        <v>-15</v>
      </c>
    </row>
    <row r="67" s="172" customFormat="true" ht="15" hidden="false" customHeight="false" outlineLevel="0" collapsed="false">
      <c r="A67" s="141" t="inlineStr">
        <is>
          <t xml:space="preserve">{num.heldhoffset}</t>
        </is>
      </c>
      <c r="B67" s="142"/>
      <c r="C67" s="142"/>
      <c r="D67" s="142"/>
      <c r="E67">
        <v>-56</v>
      </c>
      <c r="F67" s="143"/>
      <c r="G67" s="143"/>
      <c r="H67" s="143"/>
      <c r="I67">
        <v>-56</v>
      </c>
      <c r="J67" s="144"/>
      <c r="K67" s="144"/>
      <c r="L67" s="144"/>
      <c r="M67">
        <v>-56</v>
      </c>
      <c r="N67" s="145"/>
      <c r="O67" s="145"/>
      <c r="P67" s="145"/>
      <c r="Q67">
        <v>-56</v>
      </c>
      <c r="R67" s="146"/>
      <c r="S67" s="146"/>
      <c r="T67" s="146"/>
      <c r="U67">
        <v>-56</v>
      </c>
      <c r="V67" s="147"/>
      <c r="W67" s="147"/>
      <c r="X67" s="147"/>
      <c r="Y67">
        <v>-56</v>
      </c>
      <c r="Z67" s="148"/>
      <c r="AA67" s="148"/>
      <c r="AB67" s="148"/>
      <c r="AC67">
        <v>-56</v>
      </c>
      <c r="AD67" s="149"/>
      <c r="AE67" s="149"/>
      <c r="AF67" s="149"/>
      <c r="AG67">
        <v>-56</v>
      </c>
      <c r="AH67" s="150"/>
      <c r="AI67" s="150"/>
      <c r="AJ67" s="150"/>
      <c r="AK67">
        <v>-56</v>
      </c>
      <c r="AL67" s="151"/>
      <c r="AM67" s="151"/>
      <c r="AN67" s="151"/>
      <c r="AO67">
        <v>-56</v>
      </c>
      <c r="AP67" s="152"/>
      <c r="AQ67" s="152"/>
      <c r="AR67" s="152"/>
      <c r="AS67">
        <v>-56</v>
      </c>
      <c r="AT67" s="153"/>
      <c r="AU67" s="153"/>
      <c r="AV67" s="153"/>
      <c r="AW67">
        <v>-56</v>
      </c>
      <c r="AX67" s="154"/>
      <c r="AY67" s="155"/>
      <c r="AZ67" s="154"/>
      <c r="BA67">
        <v>-56</v>
      </c>
      <c r="BB67" s="156"/>
      <c r="BC67" s="157"/>
      <c r="BD67" s="156"/>
      <c r="BE67">
        <v>-56</v>
      </c>
      <c r="BF67" s="158"/>
      <c r="BG67" s="159"/>
      <c r="BH67" s="158"/>
      <c r="BI67">
        <v>-56</v>
      </c>
      <c r="BJ67" s="160"/>
      <c r="BK67" s="161"/>
      <c r="BL67" s="160"/>
      <c r="BM67">
        <v>-56</v>
      </c>
      <c r="BN67" s="143"/>
      <c r="BO67" s="143"/>
      <c r="BP67" s="143"/>
      <c r="BQ67">
        <v>-56</v>
      </c>
      <c r="BR67" s="162"/>
      <c r="BS67" s="162"/>
      <c r="BT67" s="162"/>
      <c r="BU67">
        <v>-56</v>
      </c>
      <c r="BW67"/>
      <c r="BY67">
        <v>-56</v>
      </c>
      <c r="BZ67" s="164"/>
      <c r="CA67" s="164"/>
      <c r="CB67" s="164"/>
      <c r="CC67">
        <v>-56</v>
      </c>
      <c r="CD67" s="143"/>
      <c r="CE67" s="143"/>
      <c r="CF67" s="143"/>
      <c r="CG67">
        <v>-56</v>
      </c>
      <c r="CH67" s="166"/>
      <c r="CI67" s="166"/>
      <c r="CJ67" s="166"/>
      <c r="CK67">
        <v>-56</v>
      </c>
      <c r="CL67" s="167"/>
      <c r="CM67" s="167"/>
      <c r="CN67" s="167"/>
      <c r="CO67">
        <v>-56</v>
      </c>
      <c r="CP67" s="163"/>
      <c r="CQ67" s="163"/>
      <c r="CR67" s="163"/>
      <c r="CS67">
        <v>-56</v>
      </c>
      <c r="CT67" s="162"/>
      <c r="CU67" s="162"/>
      <c r="CV67" s="162"/>
      <c r="CW67">
        <v>-56</v>
      </c>
      <c r="CX67" s="169"/>
      <c r="CY67" s="169"/>
      <c r="CZ67" s="169"/>
      <c r="DA67">
        <v>-56</v>
      </c>
      <c r="DB67" s="171"/>
      <c r="DC67" s="171"/>
      <c r="DD67" s="171"/>
      <c r="DE67">
        <v>-56</v>
      </c>
      <c r="DG67"/>
      <c r="DI67">
        <v>-56</v>
      </c>
      <c r="DK67"/>
      <c r="DM67">
        <v>-56</v>
      </c>
      <c r="DO67"/>
      <c r="DQ67">
        <v>-56</v>
      </c>
      <c r="DS67"/>
      <c r="DU67">
        <v>-56</v>
      </c>
      <c r="DW67"/>
      <c r="DY67">
        <v>-56</v>
      </c>
      <c r="EA67"/>
      <c r="EC67">
        <v>-56</v>
      </c>
      <c r="EE67"/>
      <c r="EG67">
        <v>-56</v>
      </c>
      <c r="EI67"/>
      <c r="EK67">
        <v>-56</v>
      </c>
      <c r="EM67"/>
      <c r="EO67">
        <v>-56</v>
      </c>
      <c r="EQ67"/>
      <c r="ES67">
        <v>-56</v>
      </c>
      <c r="EU67"/>
      <c r="EW67">
        <v>-56</v>
      </c>
      <c r="EY67"/>
      <c r="FA67">
        <v>-56</v>
      </c>
      <c r="FC67"/>
      <c r="FE67">
        <v>-56</v>
      </c>
      <c r="FG67"/>
      <c r="FI67">
        <v>-56</v>
      </c>
      <c r="FK67"/>
      <c r="FM67">
        <v>-56</v>
      </c>
      <c r="FO67"/>
      <c r="FQ67">
        <v>-56</v>
      </c>
      <c r="FS67"/>
      <c r="FU67">
        <v>-56</v>
      </c>
      <c r="FW67"/>
      <c r="FY67">
        <v>-56</v>
      </c>
      <c r="GA67"/>
      <c r="GC67">
        <v>-56</v>
      </c>
      <c r="GE67"/>
      <c r="GG67">
        <v>-56</v>
      </c>
      <c r="GI67"/>
      <c r="GK67">
        <v>-56</v>
      </c>
      <c r="GM67"/>
      <c r="GO67">
        <v>-56</v>
      </c>
      <c r="GP67"/>
      <c r="GQ67"/>
      <c r="GS67">
        <v>-56</v>
      </c>
      <c r="GT67"/>
      <c r="GU67"/>
      <c r="GW67">
        <v>-56</v>
      </c>
      <c r="GY67"/>
      <c r="HA67">
        <v>-56</v>
      </c>
      <c r="HB67"/>
      <c r="HC67"/>
      <c r="HE67">
        <v>-56</v>
      </c>
      <c r="HG67"/>
      <c r="HI67">
        <v>-56</v>
      </c>
      <c r="HK67"/>
      <c r="HM67">
        <v>-56</v>
      </c>
      <c r="HO67"/>
      <c r="HQ67">
        <v>-56</v>
      </c>
      <c r="HS67"/>
      <c r="HU67">
        <v>-56</v>
      </c>
      <c r="HW67"/>
      <c r="HY67">
        <v>-56</v>
      </c>
      <c r="IA67"/>
      <c r="IC67">
        <v>-56</v>
      </c>
      <c r="IE67"/>
      <c r="IG67">
        <v>-56</v>
      </c>
      <c r="II67"/>
      <c r="IK67">
        <v>-56</v>
      </c>
      <c r="IM67"/>
      <c r="IO67">
        <v>-56</v>
      </c>
      <c r="IQ67"/>
      <c r="IS67">
        <v>-56</v>
      </c>
      <c r="IU67"/>
      <c r="IW67">
        <v>-56</v>
      </c>
      <c r="IY67"/>
      <c r="JA67">
        <v>-56</v>
      </c>
      <c r="JC67"/>
      <c r="JE67">
        <v>-56</v>
      </c>
      <c r="JG67"/>
      <c r="JI67">
        <v>-56</v>
      </c>
      <c r="JK67"/>
      <c r="JM67">
        <v>-56</v>
      </c>
      <c r="JO67"/>
      <c r="JQ67">
        <v>-56</v>
      </c>
      <c r="JS67"/>
      <c r="JU67">
        <v>-56</v>
      </c>
      <c r="JW67"/>
      <c r="JY67">
        <v>-56</v>
      </c>
      <c r="KA67"/>
      <c r="KC67">
        <v>-56</v>
      </c>
      <c r="KE67"/>
      <c r="KG67">
        <v>-56</v>
      </c>
      <c r="KI67"/>
      <c r="KK67">
        <v>-56</v>
      </c>
      <c r="KM67"/>
      <c r="KO67">
        <v>-56</v>
      </c>
      <c r="KQ67"/>
      <c r="KS67">
        <v>-56</v>
      </c>
      <c r="KU67"/>
      <c r="KW67">
        <v>-56</v>
      </c>
      <c r="KY67"/>
      <c r="LA67">
        <v>-56</v>
      </c>
      <c r="LC67"/>
      <c r="LE67">
        <v>-56</v>
      </c>
      <c r="LG67"/>
      <c r="LI67">
        <v>-56</v>
      </c>
      <c r="LK67"/>
      <c r="LM67">
        <v>-56</v>
      </c>
      <c r="LO67"/>
      <c r="LQ67">
        <v>-56</v>
      </c>
      <c r="LS67"/>
      <c r="LU67">
        <v>-56</v>
      </c>
      <c r="LW67"/>
      <c r="LY67">
        <v>-56</v>
      </c>
      <c r="MA67"/>
      <c r="MC67">
        <v>-56</v>
      </c>
      <c r="ME67"/>
      <c r="MG67">
        <v>-56</v>
      </c>
      <c r="MI67"/>
      <c r="MK67">
        <v>-56</v>
      </c>
      <c r="MM67"/>
      <c r="MO67">
        <v>-56</v>
      </c>
      <c r="MQ67"/>
      <c r="MS67">
        <v>-56</v>
      </c>
      <c r="MU67"/>
      <c r="MW67">
        <v>-56</v>
      </c>
      <c r="MY67"/>
      <c r="NA67">
        <v>-56</v>
      </c>
      <c r="NC67"/>
      <c r="NE67">
        <v>-56</v>
      </c>
      <c r="NG67"/>
      <c r="NI67">
        <v>-56</v>
      </c>
      <c r="NK67"/>
      <c r="NM67">
        <v>-56</v>
      </c>
      <c r="NO67"/>
      <c r="NQ67">
        <v>-56</v>
      </c>
      <c r="NS67"/>
      <c r="NU67">
        <v>-56</v>
      </c>
      <c r="NW67"/>
      <c r="NY67">
        <v>-56</v>
      </c>
      <c r="OA67"/>
      <c r="OC67">
        <v>-56</v>
      </c>
      <c r="OE67"/>
      <c r="OG67">
        <v>-56</v>
      </c>
      <c r="OI67"/>
      <c r="OK67">
        <v>-56</v>
      </c>
      <c r="OM67"/>
      <c r="OO67">
        <v>-56</v>
      </c>
      <c r="OQ67"/>
      <c r="OS67">
        <v>-56</v>
      </c>
      <c r="OU67"/>
      <c r="OW67">
        <v>-56</v>
      </c>
      <c r="OY67"/>
      <c r="PA67">
        <v>-56</v>
      </c>
      <c r="PC67"/>
      <c r="PE67">
        <v>-56</v>
      </c>
      <c r="PG67"/>
      <c r="PI67">
        <v>-56</v>
      </c>
      <c r="PK67"/>
      <c r="PM67">
        <v>-56</v>
      </c>
      <c r="PO67"/>
      <c r="PQ67">
        <v>-56</v>
      </c>
      <c r="PS67"/>
      <c r="PU67">
        <v>-56</v>
      </c>
      <c r="PW67"/>
      <c r="PY67">
        <v>-56</v>
      </c>
      <c r="QA67"/>
      <c r="QC67">
        <v>-56</v>
      </c>
      <c r="QE67"/>
      <c r="QG67">
        <v>-56</v>
      </c>
      <c r="QI67"/>
      <c r="QK67">
        <v>-56</v>
      </c>
      <c r="QM67"/>
      <c r="QO67">
        <v>-56</v>
      </c>
      <c r="QQ67"/>
      <c r="QS67">
        <v>-56</v>
      </c>
      <c r="QU67"/>
      <c r="QW67">
        <v>-56</v>
      </c>
      <c r="QY67"/>
      <c r="RA67">
        <v>-56</v>
      </c>
      <c r="RC67"/>
      <c r="RE67">
        <v>-56</v>
      </c>
      <c r="RG67"/>
      <c r="RI67">
        <v>-56</v>
      </c>
      <c r="RK67"/>
      <c r="RM67">
        <v>-56</v>
      </c>
      <c r="RO67"/>
      <c r="RQ67">
        <v>-56</v>
      </c>
      <c r="RS67"/>
      <c r="RU67">
        <v>-56</v>
      </c>
      <c r="RW67"/>
      <c r="RY67">
        <v>-56</v>
      </c>
      <c r="SA67"/>
      <c r="SC67">
        <v>-56</v>
      </c>
      <c r="SE67"/>
      <c r="SG67">
        <v>-56</v>
      </c>
      <c r="SI67"/>
      <c r="SK67">
        <v>-56</v>
      </c>
      <c r="SM67"/>
      <c r="SO67">
        <v>-56</v>
      </c>
      <c r="SQ67"/>
      <c r="SS67">
        <v>-56</v>
      </c>
      <c r="SU67"/>
      <c r="SW67">
        <v>-56</v>
      </c>
      <c r="SY67"/>
      <c r="TA67">
        <v>-56</v>
      </c>
      <c r="TC67"/>
      <c r="TE67">
        <v>-56</v>
      </c>
      <c r="TG67"/>
      <c r="TI67">
        <v>-56</v>
      </c>
      <c r="TK67"/>
      <c r="TM67">
        <v>-56</v>
      </c>
      <c r="TO67"/>
      <c r="TQ67">
        <v>-56</v>
      </c>
      <c r="TS67"/>
      <c r="TU67">
        <v>-56</v>
      </c>
      <c r="TW67"/>
      <c r="TY67">
        <v>-56</v>
      </c>
      <c r="UA67"/>
      <c r="UC67">
        <v>-56</v>
      </c>
      <c r="UE67"/>
      <c r="UG67">
        <v>-56</v>
      </c>
      <c r="UI67"/>
      <c r="UK67">
        <v>-56</v>
      </c>
      <c r="UM67"/>
      <c r="UO67">
        <v>-56</v>
      </c>
      <c r="UQ67"/>
      <c r="US67">
        <v>-56</v>
      </c>
      <c r="UU67"/>
      <c r="UW67">
        <v>-56</v>
      </c>
      <c r="UY67"/>
      <c r="VA67">
        <v>-56</v>
      </c>
      <c r="VC67"/>
      <c r="VE67">
        <v>-56</v>
      </c>
      <c r="VG67"/>
      <c r="VI67">
        <v>-56</v>
      </c>
      <c r="VK67"/>
      <c r="VM67">
        <v>-56</v>
      </c>
      <c r="VO67"/>
      <c r="VQ67">
        <v>-56</v>
      </c>
      <c r="VS67"/>
      <c r="VU67">
        <v>-56</v>
      </c>
      <c r="VW67"/>
      <c r="VY67">
        <v>-56</v>
      </c>
      <c r="WA67"/>
      <c r="WC67">
        <v>-56</v>
      </c>
      <c r="WE67"/>
      <c r="WG67">
        <v>-56</v>
      </c>
      <c r="WI67"/>
      <c r="WK67">
        <v>-56</v>
      </c>
      <c r="WM67"/>
      <c r="WO67">
        <v>-56</v>
      </c>
      <c r="WQ67"/>
      <c r="WS67">
        <v>-56</v>
      </c>
      <c r="WU67"/>
      <c r="WW67">
        <v>-56</v>
      </c>
      <c r="WY67"/>
      <c r="XA67">
        <v>-56</v>
      </c>
      <c r="XC67"/>
      <c r="XE67">
        <v>-56</v>
      </c>
      <c r="XG67"/>
      <c r="XI67">
        <v>-56</v>
      </c>
      <c r="XK67"/>
      <c r="XM67">
        <v>-56</v>
      </c>
      <c r="XO67"/>
      <c r="XQ67">
        <v>-56</v>
      </c>
    </row>
    <row r="68" s="172" customFormat="true" ht="15" hidden="false" customHeight="false" outlineLevel="0" collapsed="false">
      <c r="A68" s="141" t="inlineStr">
        <is>
          <t xml:space="preserve">{num.heldvoffset}</t>
        </is>
      </c>
      <c r="B68" s="142"/>
      <c r="C68" s="142"/>
      <c r="D68" s="142"/>
      <c r="E68">
        <v>-13</v>
      </c>
      <c r="F68" s="143"/>
      <c r="G68" s="143"/>
      <c r="H68" s="143"/>
      <c r="I68">
        <v>-13</v>
      </c>
      <c r="J68" s="144"/>
      <c r="K68" s="144"/>
      <c r="L68" s="144"/>
      <c r="M68">
        <v>-13</v>
      </c>
      <c r="N68" s="145"/>
      <c r="O68" s="145"/>
      <c r="P68" s="145"/>
      <c r="Q68">
        <v>-13</v>
      </c>
      <c r="R68" s="146"/>
      <c r="S68" s="146"/>
      <c r="T68" s="146"/>
      <c r="U68">
        <v>-13</v>
      </c>
      <c r="V68" s="147"/>
      <c r="W68" s="147"/>
      <c r="X68" s="147"/>
      <c r="Y68">
        <v>-13</v>
      </c>
      <c r="Z68" s="148"/>
      <c r="AA68" s="148"/>
      <c r="AB68" s="148"/>
      <c r="AC68">
        <v>-13</v>
      </c>
      <c r="AD68" s="149"/>
      <c r="AE68" s="149"/>
      <c r="AF68" s="149"/>
      <c r="AG68">
        <v>-13</v>
      </c>
      <c r="AH68" s="150"/>
      <c r="AI68" s="150"/>
      <c r="AJ68" s="150"/>
      <c r="AK68">
        <v>-13</v>
      </c>
      <c r="AL68" s="151"/>
      <c r="AM68" s="151"/>
      <c r="AN68" s="151"/>
      <c r="AO68">
        <v>-13</v>
      </c>
      <c r="AP68" s="152"/>
      <c r="AQ68" s="152"/>
      <c r="AR68" s="152"/>
      <c r="AS68">
        <v>-13</v>
      </c>
      <c r="AT68" s="153"/>
      <c r="AU68" s="153"/>
      <c r="AV68" s="153"/>
      <c r="AW68">
        <v>-13</v>
      </c>
      <c r="AX68" s="154"/>
      <c r="AY68" s="155"/>
      <c r="AZ68" s="154"/>
      <c r="BA68">
        <v>-13</v>
      </c>
      <c r="BB68" s="156"/>
      <c r="BC68" s="157"/>
      <c r="BD68" s="156"/>
      <c r="BE68">
        <v>-13</v>
      </c>
      <c r="BF68" s="158"/>
      <c r="BG68" s="159"/>
      <c r="BH68" s="158"/>
      <c r="BI68">
        <v>-13</v>
      </c>
      <c r="BJ68" s="160"/>
      <c r="BK68" s="161"/>
      <c r="BL68" s="160"/>
      <c r="BM68">
        <v>-13</v>
      </c>
      <c r="BN68" s="143"/>
      <c r="BO68" s="143"/>
      <c r="BP68" s="143"/>
      <c r="BQ68">
        <v>-13</v>
      </c>
      <c r="BR68" s="162"/>
      <c r="BS68" s="162"/>
      <c r="BT68" s="162"/>
      <c r="BU68">
        <v>-13</v>
      </c>
      <c r="BW68"/>
      <c r="BY68">
        <v>-13</v>
      </c>
      <c r="BZ68" s="164"/>
      <c r="CA68" s="164"/>
      <c r="CB68" s="164"/>
      <c r="CC68">
        <v>-13</v>
      </c>
      <c r="CD68" s="143"/>
      <c r="CE68" s="143"/>
      <c r="CF68" s="143"/>
      <c r="CG68">
        <v>-13</v>
      </c>
      <c r="CH68" s="166"/>
      <c r="CI68" s="166"/>
      <c r="CJ68" s="166"/>
      <c r="CK68">
        <v>-13</v>
      </c>
      <c r="CL68" s="167"/>
      <c r="CM68" s="167"/>
      <c r="CN68" s="167"/>
      <c r="CO68">
        <v>-13</v>
      </c>
      <c r="CP68" s="163"/>
      <c r="CQ68" s="163"/>
      <c r="CR68" s="163"/>
      <c r="CS68">
        <v>-13</v>
      </c>
      <c r="CT68" s="162"/>
      <c r="CU68" s="162"/>
      <c r="CV68" s="162"/>
      <c r="CW68">
        <v>-13</v>
      </c>
      <c r="CX68" s="169"/>
      <c r="CY68" s="169"/>
      <c r="CZ68" s="169"/>
      <c r="DA68">
        <v>-13</v>
      </c>
      <c r="DB68" s="171"/>
      <c r="DC68" s="171"/>
      <c r="DD68" s="171"/>
      <c r="DE68">
        <v>-13</v>
      </c>
      <c r="DG68"/>
      <c r="DI68">
        <v>-13</v>
      </c>
      <c r="DK68"/>
      <c r="DM68">
        <v>-13</v>
      </c>
      <c r="DO68"/>
      <c r="DQ68">
        <v>-13</v>
      </c>
      <c r="DS68"/>
      <c r="DU68">
        <v>-13</v>
      </c>
      <c r="DW68"/>
      <c r="DY68">
        <v>-13</v>
      </c>
      <c r="EA68"/>
      <c r="EC68">
        <v>-13</v>
      </c>
      <c r="EE68"/>
      <c r="EG68">
        <v>-13</v>
      </c>
      <c r="EI68"/>
      <c r="EK68">
        <v>-13</v>
      </c>
      <c r="EM68"/>
      <c r="EO68">
        <v>-13</v>
      </c>
      <c r="EQ68"/>
      <c r="ES68">
        <v>-13</v>
      </c>
      <c r="EU68"/>
      <c r="EW68">
        <v>-13</v>
      </c>
      <c r="EY68"/>
      <c r="FA68">
        <v>-13</v>
      </c>
      <c r="FC68"/>
      <c r="FE68">
        <v>-13</v>
      </c>
      <c r="FG68"/>
      <c r="FI68">
        <v>-13</v>
      </c>
      <c r="FK68"/>
      <c r="FM68">
        <v>-13</v>
      </c>
      <c r="FO68"/>
      <c r="FQ68">
        <v>-13</v>
      </c>
      <c r="FS68"/>
      <c r="FU68">
        <v>-13</v>
      </c>
      <c r="FW68"/>
      <c r="FY68">
        <v>-13</v>
      </c>
      <c r="GA68"/>
      <c r="GC68">
        <v>-13</v>
      </c>
      <c r="GE68"/>
      <c r="GG68">
        <v>-13</v>
      </c>
      <c r="GI68"/>
      <c r="GK68">
        <v>-13</v>
      </c>
      <c r="GM68"/>
      <c r="GO68">
        <v>-13</v>
      </c>
      <c r="GP68"/>
      <c r="GQ68"/>
      <c r="GS68">
        <v>-13</v>
      </c>
      <c r="GT68"/>
      <c r="GU68"/>
      <c r="GW68">
        <v>-13</v>
      </c>
      <c r="GY68"/>
      <c r="HA68">
        <v>-13</v>
      </c>
      <c r="HB68"/>
      <c r="HC68"/>
      <c r="HE68">
        <v>-13</v>
      </c>
      <c r="HG68"/>
      <c r="HI68">
        <v>-13</v>
      </c>
      <c r="HK68"/>
      <c r="HM68">
        <v>-13</v>
      </c>
      <c r="HO68"/>
      <c r="HQ68">
        <v>-13</v>
      </c>
      <c r="HS68"/>
      <c r="HU68">
        <v>-13</v>
      </c>
      <c r="HW68"/>
      <c r="HY68">
        <v>-13</v>
      </c>
      <c r="IA68"/>
      <c r="IC68">
        <v>-13</v>
      </c>
      <c r="IE68"/>
      <c r="IG68">
        <v>-13</v>
      </c>
      <c r="II68"/>
      <c r="IK68">
        <v>-13</v>
      </c>
      <c r="IM68"/>
      <c r="IO68">
        <v>-13</v>
      </c>
      <c r="IQ68"/>
      <c r="IS68">
        <v>-13</v>
      </c>
      <c r="IU68"/>
      <c r="IW68">
        <v>-13</v>
      </c>
      <c r="IY68"/>
      <c r="JA68">
        <v>-13</v>
      </c>
      <c r="JC68"/>
      <c r="JE68">
        <v>-13</v>
      </c>
      <c r="JG68"/>
      <c r="JI68">
        <v>-13</v>
      </c>
      <c r="JK68"/>
      <c r="JM68">
        <v>-13</v>
      </c>
      <c r="JO68"/>
      <c r="JQ68">
        <v>-13</v>
      </c>
      <c r="JS68"/>
      <c r="JU68">
        <v>-13</v>
      </c>
      <c r="JW68"/>
      <c r="JY68">
        <v>-13</v>
      </c>
      <c r="KA68"/>
      <c r="KC68">
        <v>-13</v>
      </c>
      <c r="KE68"/>
      <c r="KG68">
        <v>-13</v>
      </c>
      <c r="KI68"/>
      <c r="KK68">
        <v>-13</v>
      </c>
      <c r="KM68"/>
      <c r="KO68">
        <v>-13</v>
      </c>
      <c r="KQ68"/>
      <c r="KS68">
        <v>-13</v>
      </c>
      <c r="KU68"/>
      <c r="KW68">
        <v>-13</v>
      </c>
      <c r="KY68"/>
      <c r="LA68">
        <v>-13</v>
      </c>
      <c r="LC68"/>
      <c r="LE68">
        <v>-13</v>
      </c>
      <c r="LG68"/>
      <c r="LI68">
        <v>-13</v>
      </c>
      <c r="LK68"/>
      <c r="LM68">
        <v>-13</v>
      </c>
      <c r="LO68"/>
      <c r="LQ68">
        <v>-13</v>
      </c>
      <c r="LS68"/>
      <c r="LU68">
        <v>-13</v>
      </c>
      <c r="LW68"/>
      <c r="LY68">
        <v>-13</v>
      </c>
      <c r="MA68"/>
      <c r="MC68">
        <v>-13</v>
      </c>
      <c r="ME68"/>
      <c r="MG68">
        <v>-13</v>
      </c>
      <c r="MI68"/>
      <c r="MK68">
        <v>-13</v>
      </c>
      <c r="MM68"/>
      <c r="MO68">
        <v>-13</v>
      </c>
      <c r="MQ68"/>
      <c r="MS68">
        <v>-13</v>
      </c>
      <c r="MU68"/>
      <c r="MW68">
        <v>-13</v>
      </c>
      <c r="MY68"/>
      <c r="NA68">
        <v>-13</v>
      </c>
      <c r="NC68"/>
      <c r="NE68">
        <v>-13</v>
      </c>
      <c r="NG68"/>
      <c r="NI68">
        <v>-13</v>
      </c>
      <c r="NK68"/>
      <c r="NM68">
        <v>-13</v>
      </c>
      <c r="NO68"/>
      <c r="NQ68">
        <v>-13</v>
      </c>
      <c r="NS68"/>
      <c r="NU68">
        <v>-13</v>
      </c>
      <c r="NW68"/>
      <c r="NY68">
        <v>-13</v>
      </c>
      <c r="OA68"/>
      <c r="OC68">
        <v>-13</v>
      </c>
      <c r="OE68"/>
      <c r="OG68">
        <v>-13</v>
      </c>
      <c r="OI68"/>
      <c r="OK68">
        <v>-13</v>
      </c>
      <c r="OM68"/>
      <c r="OO68">
        <v>-13</v>
      </c>
      <c r="OQ68"/>
      <c r="OS68">
        <v>-13</v>
      </c>
      <c r="OU68"/>
      <c r="OW68">
        <v>-13</v>
      </c>
      <c r="OY68"/>
      <c r="PA68">
        <v>-13</v>
      </c>
      <c r="PC68"/>
      <c r="PE68">
        <v>-13</v>
      </c>
      <c r="PG68"/>
      <c r="PI68">
        <v>-13</v>
      </c>
      <c r="PK68"/>
      <c r="PM68">
        <v>-13</v>
      </c>
      <c r="PO68"/>
      <c r="PQ68">
        <v>-13</v>
      </c>
      <c r="PS68"/>
      <c r="PU68">
        <v>-13</v>
      </c>
      <c r="PW68"/>
      <c r="PY68">
        <v>-13</v>
      </c>
      <c r="QA68"/>
      <c r="QC68">
        <v>-13</v>
      </c>
      <c r="QE68"/>
      <c r="QG68">
        <v>-13</v>
      </c>
      <c r="QI68"/>
      <c r="QK68">
        <v>-13</v>
      </c>
      <c r="QM68"/>
      <c r="QO68">
        <v>-13</v>
      </c>
      <c r="QQ68"/>
      <c r="QS68">
        <v>-13</v>
      </c>
      <c r="QU68"/>
      <c r="QW68">
        <v>-13</v>
      </c>
      <c r="QY68"/>
      <c r="RA68">
        <v>-13</v>
      </c>
      <c r="RC68"/>
      <c r="RE68">
        <v>-13</v>
      </c>
      <c r="RG68"/>
      <c r="RI68">
        <v>-13</v>
      </c>
      <c r="RK68"/>
      <c r="RM68">
        <v>-13</v>
      </c>
      <c r="RO68"/>
      <c r="RQ68">
        <v>-13</v>
      </c>
      <c r="RS68"/>
      <c r="RU68">
        <v>-13</v>
      </c>
      <c r="RW68"/>
      <c r="RY68">
        <v>-13</v>
      </c>
      <c r="SA68"/>
      <c r="SC68">
        <v>-13</v>
      </c>
      <c r="SE68"/>
      <c r="SG68">
        <v>-13</v>
      </c>
      <c r="SI68"/>
      <c r="SK68">
        <v>-13</v>
      </c>
      <c r="SM68"/>
      <c r="SO68">
        <v>-13</v>
      </c>
      <c r="SQ68"/>
      <c r="SS68">
        <v>-13</v>
      </c>
      <c r="SU68"/>
      <c r="SW68">
        <v>-13</v>
      </c>
      <c r="SY68"/>
      <c r="TA68">
        <v>-13</v>
      </c>
      <c r="TC68"/>
      <c r="TE68">
        <v>-13</v>
      </c>
      <c r="TG68"/>
      <c r="TI68">
        <v>-13</v>
      </c>
      <c r="TK68"/>
      <c r="TM68">
        <v>-13</v>
      </c>
      <c r="TO68"/>
      <c r="TQ68">
        <v>-13</v>
      </c>
      <c r="TS68"/>
      <c r="TU68">
        <v>-13</v>
      </c>
      <c r="TW68"/>
      <c r="TY68">
        <v>-13</v>
      </c>
      <c r="UA68"/>
      <c r="UC68">
        <v>-13</v>
      </c>
      <c r="UE68"/>
      <c r="UG68">
        <v>-13</v>
      </c>
      <c r="UI68"/>
      <c r="UK68">
        <v>-13</v>
      </c>
      <c r="UM68"/>
      <c r="UO68">
        <v>-13</v>
      </c>
      <c r="UQ68"/>
      <c r="US68">
        <v>-13</v>
      </c>
      <c r="UU68"/>
      <c r="UW68">
        <v>-13</v>
      </c>
      <c r="UY68"/>
      <c r="VA68">
        <v>-13</v>
      </c>
      <c r="VC68"/>
      <c r="VE68">
        <v>-13</v>
      </c>
      <c r="VG68"/>
      <c r="VI68">
        <v>-13</v>
      </c>
      <c r="VK68"/>
      <c r="VM68">
        <v>-13</v>
      </c>
      <c r="VO68"/>
      <c r="VQ68">
        <v>-13</v>
      </c>
      <c r="VS68"/>
      <c r="VU68">
        <v>-13</v>
      </c>
      <c r="VW68"/>
      <c r="VY68">
        <v>-13</v>
      </c>
      <c r="WA68"/>
      <c r="WC68">
        <v>-13</v>
      </c>
      <c r="WE68"/>
      <c r="WG68">
        <v>-13</v>
      </c>
      <c r="WI68"/>
      <c r="WK68">
        <v>-13</v>
      </c>
      <c r="WM68"/>
      <c r="WO68">
        <v>-13</v>
      </c>
      <c r="WQ68"/>
      <c r="WS68">
        <v>-13</v>
      </c>
      <c r="WU68"/>
      <c r="WW68">
        <v>-13</v>
      </c>
      <c r="WY68"/>
      <c r="XA68">
        <v>-13</v>
      </c>
      <c r="XC68"/>
      <c r="XE68">
        <v>-13</v>
      </c>
      <c r="XG68"/>
      <c r="XI68">
        <v>-13</v>
      </c>
      <c r="XK68"/>
      <c r="XM68">
        <v>-13</v>
      </c>
      <c r="XO68"/>
      <c r="XQ68">
        <v>-13</v>
      </c>
    </row>
    <row r="69" s="172" customFormat="true" ht="15" hidden="false" customHeight="false" outlineLevel="0" collapsed="false">
      <c r="A69" s="141" t="inlineStr">
        <is>
          <t xml:space="preserve">{sym.heldhoffset}</t>
        </is>
      </c>
      <c r="B69" s="142"/>
      <c r="C69" s="142"/>
      <c r="D69" s="142"/>
      <c r="E69">
        <v>-56</v>
      </c>
      <c r="F69" s="143"/>
      <c r="G69" s="143"/>
      <c r="H69" s="143"/>
      <c r="I69">
        <v>-56</v>
      </c>
      <c r="J69" s="144"/>
      <c r="K69" s="144"/>
      <c r="L69" s="144"/>
      <c r="M69">
        <v>-56</v>
      </c>
      <c r="N69" s="145"/>
      <c r="O69" s="145"/>
      <c r="P69" s="145"/>
      <c r="Q69">
        <v>-56</v>
      </c>
      <c r="R69" s="146"/>
      <c r="S69" s="146"/>
      <c r="T69" s="146"/>
      <c r="U69">
        <v>-56</v>
      </c>
      <c r="V69" s="147"/>
      <c r="W69" s="147"/>
      <c r="X69" s="147"/>
      <c r="Y69">
        <v>-56</v>
      </c>
      <c r="Z69" s="148"/>
      <c r="AA69" s="148"/>
      <c r="AB69" s="148"/>
      <c r="AC69">
        <v>-56</v>
      </c>
      <c r="AD69" s="149"/>
      <c r="AE69" s="149"/>
      <c r="AF69" s="149"/>
      <c r="AG69">
        <v>-56</v>
      </c>
      <c r="AH69" s="150"/>
      <c r="AI69" s="150"/>
      <c r="AJ69" s="150"/>
      <c r="AK69">
        <v>-56</v>
      </c>
      <c r="AL69" s="151"/>
      <c r="AM69" s="151"/>
      <c r="AN69" s="151"/>
      <c r="AO69">
        <v>-56</v>
      </c>
      <c r="AP69" s="152"/>
      <c r="AQ69" s="152"/>
      <c r="AR69" s="152"/>
      <c r="AS69">
        <v>-56</v>
      </c>
      <c r="AT69" s="153"/>
      <c r="AU69" s="153"/>
      <c r="AV69" s="153"/>
      <c r="AW69">
        <v>-56</v>
      </c>
      <c r="AX69" s="154"/>
      <c r="AY69" s="155"/>
      <c r="AZ69" s="154"/>
      <c r="BA69">
        <v>-56</v>
      </c>
      <c r="BB69" s="156"/>
      <c r="BC69" s="157"/>
      <c r="BD69" s="156"/>
      <c r="BE69">
        <v>-56</v>
      </c>
      <c r="BF69" s="158"/>
      <c r="BG69" s="159"/>
      <c r="BH69" s="158"/>
      <c r="BI69">
        <v>-56</v>
      </c>
      <c r="BJ69" s="160"/>
      <c r="BK69" s="161"/>
      <c r="BL69" s="160"/>
      <c r="BM69">
        <v>-56</v>
      </c>
      <c r="BN69" s="143"/>
      <c r="BO69" s="143"/>
      <c r="BP69" s="143"/>
      <c r="BQ69">
        <v>-56</v>
      </c>
      <c r="BR69" s="162"/>
      <c r="BS69" s="162"/>
      <c r="BT69" s="162"/>
      <c r="BU69">
        <v>-56</v>
      </c>
      <c r="BW69"/>
      <c r="BY69">
        <v>-56</v>
      </c>
      <c r="BZ69" s="164"/>
      <c r="CA69" s="164"/>
      <c r="CB69" s="164"/>
      <c r="CC69">
        <v>-56</v>
      </c>
      <c r="CD69" s="143"/>
      <c r="CE69" s="143"/>
      <c r="CF69" s="143"/>
      <c r="CG69">
        <v>-56</v>
      </c>
      <c r="CH69" s="166"/>
      <c r="CI69" s="166"/>
      <c r="CJ69" s="166"/>
      <c r="CK69">
        <v>-56</v>
      </c>
      <c r="CL69" s="167"/>
      <c r="CM69" s="167"/>
      <c r="CN69" s="167"/>
      <c r="CO69">
        <v>-56</v>
      </c>
      <c r="CP69" s="163"/>
      <c r="CQ69" s="163"/>
      <c r="CR69" s="163"/>
      <c r="CS69">
        <v>-56</v>
      </c>
      <c r="CT69" s="162"/>
      <c r="CU69" s="162"/>
      <c r="CV69" s="162"/>
      <c r="CW69">
        <v>-56</v>
      </c>
      <c r="CX69" s="169"/>
      <c r="CY69" s="169"/>
      <c r="CZ69" s="169"/>
      <c r="DA69">
        <v>-56</v>
      </c>
      <c r="DB69" s="171"/>
      <c r="DC69" s="171"/>
      <c r="DD69" s="171"/>
      <c r="DE69">
        <v>-56</v>
      </c>
      <c r="DG69"/>
      <c r="DI69">
        <v>-56</v>
      </c>
      <c r="DK69"/>
      <c r="DM69">
        <v>-56</v>
      </c>
      <c r="DO69"/>
      <c r="DQ69">
        <v>-56</v>
      </c>
      <c r="DS69"/>
      <c r="DU69">
        <v>-56</v>
      </c>
      <c r="DW69"/>
      <c r="DY69">
        <v>-56</v>
      </c>
      <c r="EA69"/>
      <c r="EC69">
        <v>-56</v>
      </c>
      <c r="EE69"/>
      <c r="EG69">
        <v>-56</v>
      </c>
      <c r="EI69"/>
      <c r="EK69">
        <v>-56</v>
      </c>
      <c r="EM69"/>
      <c r="EO69">
        <v>-56</v>
      </c>
      <c r="EQ69"/>
      <c r="ES69">
        <v>-56</v>
      </c>
      <c r="EU69"/>
      <c r="EW69">
        <v>-56</v>
      </c>
      <c r="EY69"/>
      <c r="FA69">
        <v>-56</v>
      </c>
      <c r="FC69"/>
      <c r="FE69">
        <v>-56</v>
      </c>
      <c r="FG69"/>
      <c r="FI69">
        <v>-56</v>
      </c>
      <c r="FK69"/>
      <c r="FM69">
        <v>-56</v>
      </c>
      <c r="FO69"/>
      <c r="FQ69">
        <v>-56</v>
      </c>
      <c r="FS69"/>
      <c r="FU69">
        <v>-56</v>
      </c>
      <c r="FW69"/>
      <c r="FY69">
        <v>-56</v>
      </c>
      <c r="GA69"/>
      <c r="GC69">
        <v>-56</v>
      </c>
      <c r="GE69"/>
      <c r="GG69">
        <v>-56</v>
      </c>
      <c r="GI69"/>
      <c r="GK69">
        <v>-56</v>
      </c>
      <c r="GM69"/>
      <c r="GO69">
        <v>-56</v>
      </c>
      <c r="GP69"/>
      <c r="GQ69"/>
      <c r="GS69">
        <v>-56</v>
      </c>
      <c r="GT69"/>
      <c r="GU69"/>
      <c r="GW69">
        <v>-56</v>
      </c>
      <c r="GY69"/>
      <c r="HA69">
        <v>-56</v>
      </c>
      <c r="HB69"/>
      <c r="HC69"/>
      <c r="HE69">
        <v>-56</v>
      </c>
      <c r="HG69"/>
      <c r="HI69">
        <v>-56</v>
      </c>
      <c r="HK69"/>
      <c r="HM69">
        <v>-56</v>
      </c>
      <c r="HO69"/>
      <c r="HQ69">
        <v>-56</v>
      </c>
      <c r="HS69"/>
      <c r="HU69">
        <v>-56</v>
      </c>
      <c r="HW69"/>
      <c r="HY69">
        <v>-56</v>
      </c>
      <c r="IA69"/>
      <c r="IC69">
        <v>-56</v>
      </c>
      <c r="IE69"/>
      <c r="IG69">
        <v>-56</v>
      </c>
      <c r="II69"/>
      <c r="IK69">
        <v>-56</v>
      </c>
      <c r="IM69"/>
      <c r="IO69">
        <v>-56</v>
      </c>
      <c r="IQ69"/>
      <c r="IS69">
        <v>-56</v>
      </c>
      <c r="IU69"/>
      <c r="IW69">
        <v>-56</v>
      </c>
      <c r="IY69"/>
      <c r="JA69">
        <v>-56</v>
      </c>
      <c r="JC69"/>
      <c r="JE69">
        <v>-56</v>
      </c>
      <c r="JG69"/>
      <c r="JI69">
        <v>-56</v>
      </c>
      <c r="JK69"/>
      <c r="JM69">
        <v>-56</v>
      </c>
      <c r="JO69"/>
      <c r="JQ69">
        <v>-56</v>
      </c>
      <c r="JS69"/>
      <c r="JU69">
        <v>-56</v>
      </c>
      <c r="JW69"/>
      <c r="JY69">
        <v>-56</v>
      </c>
      <c r="KA69"/>
      <c r="KC69">
        <v>-56</v>
      </c>
      <c r="KE69"/>
      <c r="KG69">
        <v>-56</v>
      </c>
      <c r="KI69"/>
      <c r="KK69">
        <v>-56</v>
      </c>
      <c r="KM69"/>
      <c r="KO69">
        <v>-56</v>
      </c>
      <c r="KQ69"/>
      <c r="KS69">
        <v>-56</v>
      </c>
      <c r="KU69"/>
      <c r="KW69">
        <v>-56</v>
      </c>
      <c r="KY69"/>
      <c r="LA69">
        <v>-56</v>
      </c>
      <c r="LC69"/>
      <c r="LE69">
        <v>-56</v>
      </c>
      <c r="LG69"/>
      <c r="LI69">
        <v>-56</v>
      </c>
      <c r="LK69"/>
      <c r="LM69">
        <v>-56</v>
      </c>
      <c r="LO69"/>
      <c r="LQ69">
        <v>-56</v>
      </c>
      <c r="LS69"/>
      <c r="LU69">
        <v>-56</v>
      </c>
      <c r="LW69"/>
      <c r="LY69">
        <v>-56</v>
      </c>
      <c r="MA69"/>
      <c r="MC69">
        <v>-56</v>
      </c>
      <c r="ME69"/>
      <c r="MG69">
        <v>-56</v>
      </c>
      <c r="MI69"/>
      <c r="MK69">
        <v>-56</v>
      </c>
      <c r="MM69"/>
      <c r="MO69">
        <v>-56</v>
      </c>
      <c r="MQ69"/>
      <c r="MS69">
        <v>-56</v>
      </c>
      <c r="MU69"/>
      <c r="MW69">
        <v>-56</v>
      </c>
      <c r="MY69"/>
      <c r="NA69">
        <v>-56</v>
      </c>
      <c r="NC69"/>
      <c r="NE69">
        <v>-56</v>
      </c>
      <c r="NG69"/>
      <c r="NI69">
        <v>-56</v>
      </c>
      <c r="NK69"/>
      <c r="NM69">
        <v>-56</v>
      </c>
      <c r="NO69"/>
      <c r="NQ69">
        <v>-56</v>
      </c>
      <c r="NS69"/>
      <c r="NU69">
        <v>-56</v>
      </c>
      <c r="NW69"/>
      <c r="NY69">
        <v>-56</v>
      </c>
      <c r="OA69"/>
      <c r="OC69">
        <v>-56</v>
      </c>
      <c r="OE69"/>
      <c r="OG69">
        <v>-56</v>
      </c>
      <c r="OI69"/>
      <c r="OK69">
        <v>-56</v>
      </c>
      <c r="OM69"/>
      <c r="OO69">
        <v>-56</v>
      </c>
      <c r="OQ69"/>
      <c r="OS69">
        <v>-56</v>
      </c>
      <c r="OU69"/>
      <c r="OW69">
        <v>-56</v>
      </c>
      <c r="OY69"/>
      <c r="PA69">
        <v>-56</v>
      </c>
      <c r="PC69"/>
      <c r="PE69">
        <v>-56</v>
      </c>
      <c r="PG69"/>
      <c r="PI69">
        <v>-56</v>
      </c>
      <c r="PK69"/>
      <c r="PM69">
        <v>-56</v>
      </c>
      <c r="PO69"/>
      <c r="PQ69">
        <v>-56</v>
      </c>
      <c r="PS69"/>
      <c r="PU69">
        <v>-56</v>
      </c>
      <c r="PW69"/>
      <c r="PY69">
        <v>-56</v>
      </c>
      <c r="QA69"/>
      <c r="QC69">
        <v>-56</v>
      </c>
      <c r="QE69"/>
      <c r="QG69">
        <v>-56</v>
      </c>
      <c r="QI69"/>
      <c r="QK69">
        <v>-56</v>
      </c>
      <c r="QM69"/>
      <c r="QO69">
        <v>-56</v>
      </c>
      <c r="QQ69"/>
      <c r="QS69">
        <v>-56</v>
      </c>
      <c r="QU69"/>
      <c r="QW69">
        <v>-56</v>
      </c>
      <c r="QY69"/>
      <c r="RA69">
        <v>-56</v>
      </c>
      <c r="RC69"/>
      <c r="RE69">
        <v>-56</v>
      </c>
      <c r="RG69"/>
      <c r="RI69">
        <v>-56</v>
      </c>
      <c r="RK69"/>
      <c r="RM69">
        <v>-56</v>
      </c>
      <c r="RO69"/>
      <c r="RQ69">
        <v>-56</v>
      </c>
      <c r="RS69"/>
      <c r="RU69">
        <v>-56</v>
      </c>
      <c r="RW69"/>
      <c r="RY69">
        <v>-56</v>
      </c>
      <c r="SA69"/>
      <c r="SC69">
        <v>-56</v>
      </c>
      <c r="SE69"/>
      <c r="SG69">
        <v>-56</v>
      </c>
      <c r="SI69"/>
      <c r="SK69">
        <v>-56</v>
      </c>
      <c r="SM69"/>
      <c r="SO69">
        <v>-56</v>
      </c>
      <c r="SQ69"/>
      <c r="SS69">
        <v>-56</v>
      </c>
      <c r="SU69"/>
      <c r="SW69">
        <v>-56</v>
      </c>
      <c r="SY69"/>
      <c r="TA69">
        <v>-56</v>
      </c>
      <c r="TC69"/>
      <c r="TE69">
        <v>-56</v>
      </c>
      <c r="TG69"/>
      <c r="TI69">
        <v>-56</v>
      </c>
      <c r="TK69"/>
      <c r="TM69">
        <v>-56</v>
      </c>
      <c r="TO69"/>
      <c r="TQ69">
        <v>-56</v>
      </c>
      <c r="TS69"/>
      <c r="TU69">
        <v>-56</v>
      </c>
      <c r="TW69"/>
      <c r="TY69">
        <v>-56</v>
      </c>
      <c r="UA69"/>
      <c r="UC69">
        <v>-56</v>
      </c>
      <c r="UE69"/>
      <c r="UG69">
        <v>-56</v>
      </c>
      <c r="UI69"/>
      <c r="UK69">
        <v>-56</v>
      </c>
      <c r="UM69"/>
      <c r="UO69">
        <v>-56</v>
      </c>
      <c r="UQ69"/>
      <c r="US69">
        <v>-56</v>
      </c>
      <c r="UU69"/>
      <c r="UW69">
        <v>-56</v>
      </c>
      <c r="UY69"/>
      <c r="VA69">
        <v>-56</v>
      </c>
      <c r="VC69"/>
      <c r="VE69">
        <v>-56</v>
      </c>
      <c r="VG69"/>
      <c r="VI69">
        <v>-56</v>
      </c>
      <c r="VK69"/>
      <c r="VM69">
        <v>-56</v>
      </c>
      <c r="VO69"/>
      <c r="VQ69">
        <v>-56</v>
      </c>
      <c r="VS69"/>
      <c r="VU69">
        <v>-56</v>
      </c>
      <c r="VW69"/>
      <c r="VY69">
        <v>-56</v>
      </c>
      <c r="WA69"/>
      <c r="WC69">
        <v>-56</v>
      </c>
      <c r="WE69"/>
      <c r="WG69">
        <v>-56</v>
      </c>
      <c r="WI69"/>
      <c r="WK69">
        <v>-56</v>
      </c>
      <c r="WM69"/>
      <c r="WO69">
        <v>-56</v>
      </c>
      <c r="WQ69"/>
      <c r="WS69">
        <v>-56</v>
      </c>
      <c r="WU69"/>
      <c r="WW69">
        <v>-56</v>
      </c>
      <c r="WY69"/>
      <c r="XA69">
        <v>-56</v>
      </c>
      <c r="XC69"/>
      <c r="XE69">
        <v>-56</v>
      </c>
      <c r="XG69"/>
      <c r="XI69">
        <v>-56</v>
      </c>
      <c r="XK69"/>
      <c r="XM69">
        <v>-56</v>
      </c>
      <c r="XO69"/>
      <c r="XQ69">
        <v>-56</v>
      </c>
    </row>
    <row r="70" s="172" customFormat="true" ht="15" hidden="false" customHeight="false" outlineLevel="0" collapsed="false">
      <c r="A70" s="141" t="inlineStr">
        <is>
          <t xml:space="preserve">{sym.heldvoffset}</t>
        </is>
      </c>
      <c r="B70" s="142"/>
      <c r="C70" s="142"/>
      <c r="D70" s="142"/>
      <c r="E70">
        <v>-15</v>
      </c>
      <c r="F70" s="143"/>
      <c r="G70" s="143"/>
      <c r="H70" s="143"/>
      <c r="I70">
        <v>-15</v>
      </c>
      <c r="J70" s="144"/>
      <c r="K70" s="144"/>
      <c r="L70" s="144"/>
      <c r="M70">
        <v>-15</v>
      </c>
      <c r="N70" s="145"/>
      <c r="O70" s="145"/>
      <c r="P70" s="145"/>
      <c r="Q70">
        <v>-15</v>
      </c>
      <c r="R70" s="146"/>
      <c r="S70" s="146"/>
      <c r="T70" s="146"/>
      <c r="U70">
        <v>-15</v>
      </c>
      <c r="V70" s="147"/>
      <c r="W70" s="147"/>
      <c r="X70" s="147"/>
      <c r="Y70">
        <v>-15</v>
      </c>
      <c r="Z70" s="148"/>
      <c r="AA70" s="148"/>
      <c r="AB70" s="148"/>
      <c r="AC70">
        <v>-15</v>
      </c>
      <c r="AD70" s="149"/>
      <c r="AE70" s="149"/>
      <c r="AF70" s="149"/>
      <c r="AG70">
        <v>-15</v>
      </c>
      <c r="AH70" s="150"/>
      <c r="AI70" s="150"/>
      <c r="AJ70" s="150"/>
      <c r="AK70">
        <v>-15</v>
      </c>
      <c r="AL70" s="151"/>
      <c r="AM70" s="151"/>
      <c r="AN70" s="151"/>
      <c r="AO70">
        <v>-15</v>
      </c>
      <c r="AP70" s="152"/>
      <c r="AQ70" s="152"/>
      <c r="AR70" s="152"/>
      <c r="AS70">
        <v>-15</v>
      </c>
      <c r="AT70" s="153"/>
      <c r="AU70" s="153"/>
      <c r="AV70" s="153"/>
      <c r="AW70">
        <v>-15</v>
      </c>
      <c r="AX70" s="154"/>
      <c r="AY70" s="155"/>
      <c r="AZ70" s="154"/>
      <c r="BA70">
        <v>-15</v>
      </c>
      <c r="BB70" s="156"/>
      <c r="BC70" s="157"/>
      <c r="BD70" s="156"/>
      <c r="BE70">
        <v>-15</v>
      </c>
      <c r="BF70" s="158"/>
      <c r="BG70" s="159"/>
      <c r="BH70" s="158"/>
      <c r="BI70">
        <v>-15</v>
      </c>
      <c r="BJ70" s="160"/>
      <c r="BK70" s="161"/>
      <c r="BL70" s="160"/>
      <c r="BM70">
        <v>-15</v>
      </c>
      <c r="BN70" s="143"/>
      <c r="BO70" s="143"/>
      <c r="BP70" s="143"/>
      <c r="BQ70">
        <v>-15</v>
      </c>
      <c r="BR70" s="162"/>
      <c r="BS70" s="162"/>
      <c r="BT70" s="162"/>
      <c r="BU70">
        <v>-15</v>
      </c>
      <c r="BW70"/>
      <c r="BY70">
        <v>-15</v>
      </c>
      <c r="BZ70" s="164"/>
      <c r="CA70" s="164"/>
      <c r="CB70" s="164"/>
      <c r="CC70">
        <v>-15</v>
      </c>
      <c r="CD70" s="143"/>
      <c r="CE70" s="143"/>
      <c r="CF70" s="143"/>
      <c r="CG70">
        <v>-15</v>
      </c>
      <c r="CH70" s="166"/>
      <c r="CI70" s="166"/>
      <c r="CJ70" s="166"/>
      <c r="CK70">
        <v>-15</v>
      </c>
      <c r="CL70" s="167"/>
      <c r="CM70" s="167"/>
      <c r="CN70" s="167"/>
      <c r="CO70">
        <v>-15</v>
      </c>
      <c r="CP70" s="163"/>
      <c r="CQ70" s="163"/>
      <c r="CR70" s="163"/>
      <c r="CS70">
        <v>-15</v>
      </c>
      <c r="CT70" s="162"/>
      <c r="CU70" s="162"/>
      <c r="CV70" s="162"/>
      <c r="CW70">
        <v>-15</v>
      </c>
      <c r="CX70" s="169"/>
      <c r="CY70" s="169"/>
      <c r="CZ70" s="169"/>
      <c r="DA70">
        <v>-15</v>
      </c>
      <c r="DB70" s="171"/>
      <c r="DC70" s="171"/>
      <c r="DD70" s="171"/>
      <c r="DE70">
        <v>-15</v>
      </c>
      <c r="DG70"/>
      <c r="DI70">
        <v>-15</v>
      </c>
      <c r="DK70"/>
      <c r="DM70">
        <v>-15</v>
      </c>
      <c r="DO70"/>
      <c r="DQ70">
        <v>-15</v>
      </c>
      <c r="DS70"/>
      <c r="DU70">
        <v>-15</v>
      </c>
      <c r="DW70"/>
      <c r="DY70">
        <v>-15</v>
      </c>
      <c r="EA70"/>
      <c r="EC70">
        <v>-15</v>
      </c>
      <c r="EE70"/>
      <c r="EG70">
        <v>-15</v>
      </c>
      <c r="EI70"/>
      <c r="EK70">
        <v>-15</v>
      </c>
      <c r="EM70"/>
      <c r="EO70">
        <v>-15</v>
      </c>
      <c r="EQ70"/>
      <c r="ES70">
        <v>-15</v>
      </c>
      <c r="EU70"/>
      <c r="EW70">
        <v>-15</v>
      </c>
      <c r="EY70"/>
      <c r="FA70">
        <v>-15</v>
      </c>
      <c r="FC70"/>
      <c r="FE70">
        <v>-15</v>
      </c>
      <c r="FG70"/>
      <c r="FI70">
        <v>-15</v>
      </c>
      <c r="FK70"/>
      <c r="FM70">
        <v>-15</v>
      </c>
      <c r="FO70"/>
      <c r="FQ70">
        <v>-15</v>
      </c>
      <c r="FS70"/>
      <c r="FU70">
        <v>-15</v>
      </c>
      <c r="FW70"/>
      <c r="FY70">
        <v>-15</v>
      </c>
      <c r="GA70"/>
      <c r="GC70">
        <v>-15</v>
      </c>
      <c r="GE70"/>
      <c r="GG70">
        <v>-15</v>
      </c>
      <c r="GI70"/>
      <c r="GK70">
        <v>-15</v>
      </c>
      <c r="GM70"/>
      <c r="GO70">
        <v>-15</v>
      </c>
      <c r="GP70"/>
      <c r="GQ70"/>
      <c r="GS70">
        <v>-15</v>
      </c>
      <c r="GT70"/>
      <c r="GU70"/>
      <c r="GW70">
        <v>-15</v>
      </c>
      <c r="GY70"/>
      <c r="HA70">
        <v>-15</v>
      </c>
      <c r="HB70"/>
      <c r="HC70"/>
      <c r="HE70">
        <v>-15</v>
      </c>
      <c r="HG70"/>
      <c r="HI70">
        <v>-15</v>
      </c>
      <c r="HK70"/>
      <c r="HM70">
        <v>-15</v>
      </c>
      <c r="HO70"/>
      <c r="HQ70">
        <v>-15</v>
      </c>
      <c r="HS70"/>
      <c r="HU70">
        <v>-15</v>
      </c>
      <c r="HW70"/>
      <c r="HY70">
        <v>-15</v>
      </c>
      <c r="IA70"/>
      <c r="IC70">
        <v>-15</v>
      </c>
      <c r="IE70"/>
      <c r="IG70">
        <v>-15</v>
      </c>
      <c r="II70"/>
      <c r="IK70">
        <v>-15</v>
      </c>
      <c r="IM70"/>
      <c r="IO70">
        <v>-15</v>
      </c>
      <c r="IQ70"/>
      <c r="IS70">
        <v>-15</v>
      </c>
      <c r="IU70"/>
      <c r="IW70">
        <v>-15</v>
      </c>
      <c r="IY70"/>
      <c r="JA70">
        <v>-15</v>
      </c>
      <c r="JC70"/>
      <c r="JE70">
        <v>-15</v>
      </c>
      <c r="JG70"/>
      <c r="JI70">
        <v>-15</v>
      </c>
      <c r="JK70"/>
      <c r="JM70">
        <v>-15</v>
      </c>
      <c r="JO70"/>
      <c r="JQ70">
        <v>-15</v>
      </c>
      <c r="JS70"/>
      <c r="JU70">
        <v>-15</v>
      </c>
      <c r="JW70"/>
      <c r="JY70">
        <v>-15</v>
      </c>
      <c r="KA70"/>
      <c r="KC70">
        <v>-15</v>
      </c>
      <c r="KE70"/>
      <c r="KG70">
        <v>-15</v>
      </c>
      <c r="KI70"/>
      <c r="KK70">
        <v>-15</v>
      </c>
      <c r="KM70"/>
      <c r="KO70">
        <v>-15</v>
      </c>
      <c r="KQ70"/>
      <c r="KS70">
        <v>-15</v>
      </c>
      <c r="KU70"/>
      <c r="KW70">
        <v>-15</v>
      </c>
      <c r="KY70"/>
      <c r="LA70">
        <v>-15</v>
      </c>
      <c r="LC70"/>
      <c r="LE70">
        <v>-15</v>
      </c>
      <c r="LG70"/>
      <c r="LI70">
        <v>-15</v>
      </c>
      <c r="LK70"/>
      <c r="LM70">
        <v>-15</v>
      </c>
      <c r="LO70"/>
      <c r="LQ70">
        <v>-15</v>
      </c>
      <c r="LS70"/>
      <c r="LU70">
        <v>-15</v>
      </c>
      <c r="LW70"/>
      <c r="LY70">
        <v>-15</v>
      </c>
      <c r="MA70"/>
      <c r="MC70">
        <v>-15</v>
      </c>
      <c r="ME70"/>
      <c r="MG70">
        <v>-15</v>
      </c>
      <c r="MI70"/>
      <c r="MK70">
        <v>-15</v>
      </c>
      <c r="MM70"/>
      <c r="MO70">
        <v>-15</v>
      </c>
      <c r="MQ70"/>
      <c r="MS70">
        <v>-15</v>
      </c>
      <c r="MU70"/>
      <c r="MW70">
        <v>-15</v>
      </c>
      <c r="MY70"/>
      <c r="NA70">
        <v>-15</v>
      </c>
      <c r="NC70"/>
      <c r="NE70">
        <v>-15</v>
      </c>
      <c r="NG70"/>
      <c r="NI70">
        <v>-15</v>
      </c>
      <c r="NK70"/>
      <c r="NM70">
        <v>-15</v>
      </c>
      <c r="NO70"/>
      <c r="NQ70">
        <v>-15</v>
      </c>
      <c r="NS70"/>
      <c r="NU70">
        <v>-15</v>
      </c>
      <c r="NW70"/>
      <c r="NY70">
        <v>-15</v>
      </c>
      <c r="OA70"/>
      <c r="OC70">
        <v>-15</v>
      </c>
      <c r="OE70"/>
      <c r="OG70">
        <v>-15</v>
      </c>
      <c r="OI70"/>
      <c r="OK70">
        <v>-15</v>
      </c>
      <c r="OM70"/>
      <c r="OO70">
        <v>-15</v>
      </c>
      <c r="OQ70"/>
      <c r="OS70">
        <v>-15</v>
      </c>
      <c r="OU70"/>
      <c r="OW70">
        <v>-15</v>
      </c>
      <c r="OY70"/>
      <c r="PA70">
        <v>-15</v>
      </c>
      <c r="PC70"/>
      <c r="PE70">
        <v>-15</v>
      </c>
      <c r="PG70"/>
      <c r="PI70">
        <v>-15</v>
      </c>
      <c r="PK70"/>
      <c r="PM70">
        <v>-15</v>
      </c>
      <c r="PO70"/>
      <c r="PQ70">
        <v>-15</v>
      </c>
      <c r="PS70"/>
      <c r="PU70">
        <v>-15</v>
      </c>
      <c r="PW70"/>
      <c r="PY70">
        <v>-15</v>
      </c>
      <c r="QA70"/>
      <c r="QC70">
        <v>-15</v>
      </c>
      <c r="QE70"/>
      <c r="QG70">
        <v>-15</v>
      </c>
      <c r="QI70"/>
      <c r="QK70">
        <v>-15</v>
      </c>
      <c r="QM70"/>
      <c r="QO70">
        <v>-15</v>
      </c>
      <c r="QQ70"/>
      <c r="QS70">
        <v>-15</v>
      </c>
      <c r="QU70"/>
      <c r="QW70">
        <v>-15</v>
      </c>
      <c r="QY70"/>
      <c r="RA70">
        <v>-15</v>
      </c>
      <c r="RC70"/>
      <c r="RE70">
        <v>-15</v>
      </c>
      <c r="RG70"/>
      <c r="RI70">
        <v>-15</v>
      </c>
      <c r="RK70"/>
      <c r="RM70">
        <v>-15</v>
      </c>
      <c r="RO70"/>
      <c r="RQ70">
        <v>-15</v>
      </c>
      <c r="RS70"/>
      <c r="RU70">
        <v>-15</v>
      </c>
      <c r="RW70"/>
      <c r="RY70">
        <v>-15</v>
      </c>
      <c r="SA70"/>
      <c r="SC70">
        <v>-15</v>
      </c>
      <c r="SE70"/>
      <c r="SG70">
        <v>-15</v>
      </c>
      <c r="SI70"/>
      <c r="SK70">
        <v>-15</v>
      </c>
      <c r="SM70"/>
      <c r="SO70">
        <v>-15</v>
      </c>
      <c r="SQ70"/>
      <c r="SS70">
        <v>-15</v>
      </c>
      <c r="SU70"/>
      <c r="SW70">
        <v>-15</v>
      </c>
      <c r="SY70"/>
      <c r="TA70">
        <v>-15</v>
      </c>
      <c r="TC70"/>
      <c r="TE70">
        <v>-15</v>
      </c>
      <c r="TG70"/>
      <c r="TI70">
        <v>-15</v>
      </c>
      <c r="TK70"/>
      <c r="TM70">
        <v>-15</v>
      </c>
      <c r="TO70"/>
      <c r="TQ70">
        <v>-15</v>
      </c>
      <c r="TS70"/>
      <c r="TU70">
        <v>-15</v>
      </c>
      <c r="TW70"/>
      <c r="TY70">
        <v>-15</v>
      </c>
      <c r="UA70"/>
      <c r="UC70">
        <v>-15</v>
      </c>
      <c r="UE70"/>
      <c r="UG70">
        <v>-15</v>
      </c>
      <c r="UI70"/>
      <c r="UK70">
        <v>-15</v>
      </c>
      <c r="UM70"/>
      <c r="UO70">
        <v>-15</v>
      </c>
      <c r="UQ70"/>
      <c r="US70">
        <v>-15</v>
      </c>
      <c r="UU70"/>
      <c r="UW70">
        <v>-15</v>
      </c>
      <c r="UY70"/>
      <c r="VA70">
        <v>-15</v>
      </c>
      <c r="VC70"/>
      <c r="VE70">
        <v>-15</v>
      </c>
      <c r="VG70"/>
      <c r="VI70">
        <v>-15</v>
      </c>
      <c r="VK70"/>
      <c r="VM70">
        <v>-15</v>
      </c>
      <c r="VO70"/>
      <c r="VQ70">
        <v>-15</v>
      </c>
      <c r="VS70"/>
      <c r="VU70">
        <v>-15</v>
      </c>
      <c r="VW70"/>
      <c r="VY70">
        <v>-15</v>
      </c>
      <c r="WA70"/>
      <c r="WC70">
        <v>-15</v>
      </c>
      <c r="WE70"/>
      <c r="WG70">
        <v>-15</v>
      </c>
      <c r="WI70"/>
      <c r="WK70">
        <v>-15</v>
      </c>
      <c r="WM70"/>
      <c r="WO70">
        <v>-15</v>
      </c>
      <c r="WQ70"/>
      <c r="WS70">
        <v>-15</v>
      </c>
      <c r="WU70"/>
      <c r="WW70">
        <v>-15</v>
      </c>
      <c r="WY70"/>
      <c r="XA70">
        <v>-15</v>
      </c>
      <c r="XC70"/>
      <c r="XE70">
        <v>-15</v>
      </c>
      <c r="XG70"/>
      <c r="XI70">
        <v>-15</v>
      </c>
      <c r="XK70"/>
      <c r="XM70">
        <v>-15</v>
      </c>
      <c r="XO70"/>
      <c r="XQ70">
        <v>-15</v>
      </c>
    </row>
    <row r="71" customFormat="false" ht="15" hidden="false" customHeight="false" outlineLevel="0" collapsed="false">
      <c r="A71" s="173"/>
      <c r="B71" s="173" t="s">
        <v>1360</v>
      </c>
      <c r="C71" s="173" t="s">
        <v>1361</v>
      </c>
      <c r="D71" s="173" t="s">
        <v>1362</v>
      </c>
      <c r="E71" s="173" t="s">
        <v>1363</v>
      </c>
      <c r="F71" s="173" t="s">
        <v>1360</v>
      </c>
      <c r="G71" s="173" t="s">
        <v>1361</v>
      </c>
      <c r="H71" s="173" t="s">
        <v>1362</v>
      </c>
      <c r="I71" s="173" t="s">
        <v>1363</v>
      </c>
      <c r="J71" s="173" t="s">
        <v>1360</v>
      </c>
      <c r="K71" s="173" t="s">
        <v>1361</v>
      </c>
      <c r="L71" s="173" t="s">
        <v>1362</v>
      </c>
      <c r="M71" s="173" t="s">
        <v>1363</v>
      </c>
      <c r="N71" s="173" t="s">
        <v>1360</v>
      </c>
      <c r="O71" s="173" t="s">
        <v>1361</v>
      </c>
      <c r="P71" s="173" t="s">
        <v>1362</v>
      </c>
      <c r="Q71" s="173" t="s">
        <v>1363</v>
      </c>
      <c r="R71" s="173" t="s">
        <v>1360</v>
      </c>
      <c r="S71" s="173" t="s">
        <v>1361</v>
      </c>
      <c r="T71" s="173" t="s">
        <v>1362</v>
      </c>
      <c r="U71" s="173" t="s">
        <v>1363</v>
      </c>
      <c r="V71" s="173" t="s">
        <v>1360</v>
      </c>
      <c r="W71" s="173" t="s">
        <v>1361</v>
      </c>
      <c r="X71" s="173" t="s">
        <v>1362</v>
      </c>
      <c r="Y71" s="173" t="s">
        <v>1363</v>
      </c>
      <c r="Z71" s="173" t="s">
        <v>1360</v>
      </c>
      <c r="AA71" s="173" t="s">
        <v>1361</v>
      </c>
      <c r="AB71" s="173" t="s">
        <v>1362</v>
      </c>
      <c r="AC71" s="173" t="s">
        <v>1363</v>
      </c>
      <c r="AD71" s="173" t="s">
        <v>1360</v>
      </c>
      <c r="AE71" s="173" t="s">
        <v>1361</v>
      </c>
      <c r="AF71" s="173" t="s">
        <v>1362</v>
      </c>
      <c r="AG71" s="173" t="s">
        <v>1363</v>
      </c>
      <c r="AH71" s="173" t="s">
        <v>1360</v>
      </c>
      <c r="AI71" s="173" t="s">
        <v>1361</v>
      </c>
      <c r="AJ71" s="173" t="s">
        <v>1362</v>
      </c>
      <c r="AK71" s="173" t="s">
        <v>1363</v>
      </c>
      <c r="AL71" s="173" t="s">
        <v>1360</v>
      </c>
      <c r="AM71" s="173" t="s">
        <v>1361</v>
      </c>
      <c r="AN71" s="173" t="s">
        <v>1362</v>
      </c>
      <c r="AO71" s="173" t="s">
        <v>1363</v>
      </c>
      <c r="AP71" s="173" t="s">
        <v>1360</v>
      </c>
      <c r="AQ71" s="173" t="s">
        <v>1361</v>
      </c>
      <c r="AR71" s="173" t="s">
        <v>1362</v>
      </c>
      <c r="AS71" s="173" t="s">
        <v>1363</v>
      </c>
      <c r="AT71" s="173" t="s">
        <v>1360</v>
      </c>
      <c r="AU71" s="173" t="s">
        <v>1361</v>
      </c>
      <c r="AV71" s="173" t="s">
        <v>1362</v>
      </c>
      <c r="AW71" s="173" t="s">
        <v>1363</v>
      </c>
      <c r="AX71" s="173" t="s">
        <v>1360</v>
      </c>
      <c r="AY71" s="173" t="s">
        <v>1361</v>
      </c>
      <c r="AZ71" s="173" t="s">
        <v>1362</v>
      </c>
      <c r="BA71" s="173" t="s">
        <v>1363</v>
      </c>
      <c r="BB71" s="173" t="s">
        <v>1360</v>
      </c>
      <c r="BC71" s="173" t="s">
        <v>1361</v>
      </c>
      <c r="BD71" s="173" t="s">
        <v>1362</v>
      </c>
      <c r="BE71" s="173" t="s">
        <v>1363</v>
      </c>
      <c r="BF71" s="173" t="s">
        <v>1360</v>
      </c>
      <c r="BG71" s="173" t="s">
        <v>1361</v>
      </c>
      <c r="BH71" s="173" t="s">
        <v>1362</v>
      </c>
      <c r="BI71" s="173" t="s">
        <v>1363</v>
      </c>
      <c r="BJ71" s="173" t="s">
        <v>1360</v>
      </c>
      <c r="BK71" s="173" t="s">
        <v>1361</v>
      </c>
      <c r="BL71" s="173" t="s">
        <v>1362</v>
      </c>
      <c r="BM71" s="173" t="s">
        <v>1363</v>
      </c>
      <c r="BN71" s="173" t="s">
        <v>1360</v>
      </c>
      <c r="BO71" s="173" t="s">
        <v>1361</v>
      </c>
      <c r="BP71" s="173" t="s">
        <v>1362</v>
      </c>
      <c r="BQ71" s="173" t="s">
        <v>1363</v>
      </c>
      <c r="BR71" s="173" t="s">
        <v>1360</v>
      </c>
      <c r="BS71" s="173" t="s">
        <v>1361</v>
      </c>
      <c r="BT71" s="173" t="s">
        <v>1362</v>
      </c>
      <c r="BU71" s="173" t="s">
        <v>1363</v>
      </c>
      <c r="BV71" s="173" t="s">
        <v>1360</v>
      </c>
      <c r="BW71" s="173" t="s">
        <v>1361</v>
      </c>
      <c r="BX71" s="173" t="s">
        <v>1362</v>
      </c>
      <c r="BY71" s="173"/>
      <c r="BZ71" s="173" t="s">
        <v>1360</v>
      </c>
      <c r="CA71" s="173" t="s">
        <v>1361</v>
      </c>
      <c r="CB71" s="173" t="s">
        <v>1362</v>
      </c>
      <c r="CC71" s="173"/>
      <c r="CD71" s="173" t="s">
        <v>1360</v>
      </c>
      <c r="CE71" s="173" t="s">
        <v>1361</v>
      </c>
      <c r="CF71" s="173" t="s">
        <v>1362</v>
      </c>
      <c r="CG71" s="173" t="s">
        <v>1363</v>
      </c>
      <c r="CH71" s="173" t="s">
        <v>1360</v>
      </c>
      <c r="CI71" s="173" t="s">
        <v>1361</v>
      </c>
      <c r="CJ71" s="173" t="s">
        <v>1362</v>
      </c>
      <c r="CK71" s="173" t="s">
        <v>1363</v>
      </c>
      <c r="CL71" s="173" t="s">
        <v>1360</v>
      </c>
      <c r="CM71" s="173" t="s">
        <v>1361</v>
      </c>
      <c r="CN71" s="173" t="s">
        <v>1362</v>
      </c>
      <c r="CO71" s="173" t="s">
        <v>1363</v>
      </c>
      <c r="CP71" s="173" t="s">
        <v>1360</v>
      </c>
      <c r="CQ71" s="173" t="s">
        <v>1361</v>
      </c>
      <c r="CR71" s="173" t="s">
        <v>1362</v>
      </c>
      <c r="CS71" s="173" t="s">
        <v>1363</v>
      </c>
      <c r="CT71" s="173" t="s">
        <v>1360</v>
      </c>
      <c r="CU71" s="173" t="s">
        <v>1361</v>
      </c>
      <c r="CV71" s="173" t="s">
        <v>1362</v>
      </c>
      <c r="CW71" s="173" t="s">
        <v>1363</v>
      </c>
      <c r="CX71" s="173" t="s">
        <v>1360</v>
      </c>
      <c r="CY71" s="173" t="s">
        <v>1361</v>
      </c>
      <c r="CZ71" s="173" t="s">
        <v>1362</v>
      </c>
      <c r="DA71" s="173" t="s">
        <v>1363</v>
      </c>
      <c r="DB71" s="173" t="s">
        <v>1360</v>
      </c>
      <c r="DC71" s="173" t="s">
        <v>1361</v>
      </c>
      <c r="DD71" s="173" t="s">
        <v>1362</v>
      </c>
      <c r="DE71" s="173" t="s">
        <v>1363</v>
      </c>
    </row>
    <row r="72" customFormat="false" ht="34.8" hidden="false" customHeight="true" outlineLevel="0" collapsed="false">
      <c r="A72" s="173"/>
      <c r="B72" s="173"/>
      <c r="C72" s="173"/>
      <c r="D72" s="174" t="s">
        <v>1364</v>
      </c>
      <c r="E72" s="174"/>
      <c r="F72" s="173"/>
      <c r="G72" s="173"/>
      <c r="H72" s="174" t="s">
        <v>1364</v>
      </c>
      <c r="I72" s="174"/>
      <c r="J72" s="173"/>
      <c r="K72" s="173"/>
      <c r="L72" s="174" t="s">
        <v>1364</v>
      </c>
      <c r="M72" s="174"/>
      <c r="N72" s="173"/>
      <c r="O72" s="173"/>
      <c r="P72" s="174" t="s">
        <v>1364</v>
      </c>
      <c r="Q72" s="174"/>
      <c r="R72" s="173"/>
      <c r="S72" s="173"/>
      <c r="T72" s="174" t="s">
        <v>1364</v>
      </c>
      <c r="U72" s="174"/>
      <c r="V72" s="173"/>
      <c r="W72" s="173"/>
      <c r="X72" s="174" t="s">
        <v>1364</v>
      </c>
      <c r="Y72" s="174"/>
      <c r="Z72" s="173"/>
      <c r="AA72" s="173"/>
      <c r="AB72" s="174" t="s">
        <v>1364</v>
      </c>
      <c r="AC72" s="174"/>
      <c r="AD72" s="173"/>
      <c r="AE72" s="173"/>
      <c r="AF72" s="174" t="s">
        <v>1364</v>
      </c>
      <c r="AG72" s="174"/>
      <c r="AH72" s="173"/>
      <c r="AI72" s="173"/>
      <c r="AJ72" s="174" t="s">
        <v>1364</v>
      </c>
      <c r="AK72" s="174"/>
      <c r="AL72" s="173"/>
      <c r="AM72" s="173"/>
      <c r="AN72" s="174" t="s">
        <v>1364</v>
      </c>
      <c r="AO72" s="174"/>
      <c r="AP72" s="173"/>
      <c r="AQ72" s="173"/>
      <c r="AR72" s="174" t="s">
        <v>1364</v>
      </c>
      <c r="AS72" s="174"/>
      <c r="AT72" s="173"/>
      <c r="AU72" s="173"/>
      <c r="AV72" s="174" t="s">
        <v>1364</v>
      </c>
      <c r="AW72" s="174"/>
      <c r="AX72" s="173"/>
      <c r="AY72" s="173"/>
      <c r="AZ72" s="174" t="s">
        <v>1364</v>
      </c>
      <c r="BA72" s="174"/>
      <c r="BB72" s="173"/>
      <c r="BC72" s="173"/>
      <c r="BD72" s="174" t="s">
        <v>1364</v>
      </c>
      <c r="BE72" s="174"/>
      <c r="BF72" s="173"/>
      <c r="BG72" s="173"/>
      <c r="BH72" s="174" t="s">
        <v>1364</v>
      </c>
      <c r="BI72" s="174"/>
      <c r="BJ72" s="173"/>
      <c r="BK72" s="173"/>
      <c r="BL72" s="174" t="s">
        <v>1364</v>
      </c>
      <c r="BM72" s="174"/>
      <c r="BN72" s="173"/>
      <c r="BO72" s="173"/>
      <c r="BP72" s="174" t="s">
        <v>1364</v>
      </c>
      <c r="BQ72" s="174"/>
      <c r="BR72" s="173"/>
      <c r="BS72" s="173"/>
      <c r="BT72" s="174" t="s">
        <v>1364</v>
      </c>
      <c r="BU72" s="174"/>
      <c r="BV72" s="173"/>
      <c r="BW72" s="173"/>
      <c r="BX72" s="174" t="s">
        <v>1364</v>
      </c>
      <c r="BY72" s="174"/>
      <c r="BZ72" s="173"/>
      <c r="CA72" s="173"/>
      <c r="CB72" s="174" t="s">
        <v>1364</v>
      </c>
      <c r="CC72" s="174"/>
      <c r="CD72" s="173"/>
      <c r="CE72" s="173"/>
      <c r="CF72" s="174" t="s">
        <v>1364</v>
      </c>
      <c r="CG72" s="174"/>
      <c r="CH72" s="173"/>
      <c r="CI72" s="173"/>
      <c r="CJ72" s="174" t="s">
        <v>1364</v>
      </c>
      <c r="CK72" s="174"/>
      <c r="CL72" s="173"/>
      <c r="CM72" s="173"/>
      <c r="CN72" s="174" t="s">
        <v>1364</v>
      </c>
      <c r="CO72" s="174"/>
      <c r="CP72" s="173"/>
      <c r="CQ72" s="173"/>
      <c r="CR72" s="174" t="s">
        <v>1364</v>
      </c>
      <c r="CS72" s="174"/>
      <c r="CT72" s="173"/>
      <c r="CU72" s="173"/>
      <c r="CV72" s="174" t="s">
        <v>1364</v>
      </c>
      <c r="CW72" s="174"/>
      <c r="CX72" s="173"/>
      <c r="CY72" s="173"/>
      <c r="CZ72" s="174" t="s">
        <v>1364</v>
      </c>
      <c r="DA72" s="174"/>
      <c r="DB72" s="173"/>
      <c r="DC72" s="173"/>
      <c r="DD72" s="174" t="s">
        <v>1364</v>
      </c>
      <c r="DE72" s="174"/>
    </row>
    <row r="73" customFormat="false" ht="15" hidden="false" customHeight="false" outlineLevel="0" collapsed="false">
      <c r="A73" s="173"/>
      <c r="B73" s="173"/>
      <c r="C73" s="173"/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73"/>
      <c r="P73" s="173"/>
      <c r="Q73" s="173"/>
      <c r="R73" s="173"/>
      <c r="S73" s="173"/>
      <c r="T73" s="173"/>
      <c r="U73" s="173"/>
      <c r="V73" s="173"/>
      <c r="W73" s="173"/>
      <c r="X73" s="173"/>
      <c r="Y73" s="173"/>
      <c r="Z73" s="173"/>
      <c r="AA73" s="173"/>
      <c r="AB73" s="173"/>
      <c r="AC73" s="173"/>
      <c r="AD73" s="173"/>
      <c r="AE73" s="173"/>
      <c r="AF73" s="173"/>
      <c r="AG73" s="173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/>
      <c r="AR73" s="173"/>
      <c r="AS73" s="173"/>
      <c r="AT73" s="173"/>
      <c r="AU73" s="173"/>
      <c r="AV73" s="173"/>
      <c r="AW73" s="173"/>
      <c r="AX73" s="173"/>
      <c r="AY73" s="173"/>
      <c r="AZ73" s="173"/>
      <c r="BA73" s="173"/>
      <c r="BB73" s="173"/>
      <c r="BC73" s="173"/>
      <c r="BD73" s="173"/>
      <c r="BE73" s="173"/>
      <c r="BF73" s="173"/>
      <c r="BG73" s="173"/>
      <c r="BH73" s="173"/>
      <c r="BI73" s="173"/>
      <c r="BJ73" s="173"/>
      <c r="BK73" s="173"/>
      <c r="BL73" s="173"/>
      <c r="BM73" s="173"/>
      <c r="BN73" s="173"/>
      <c r="BO73" s="173"/>
      <c r="BP73" s="173"/>
      <c r="BQ73" s="173"/>
      <c r="BR73" s="173"/>
      <c r="BS73" s="173"/>
      <c r="BT73" s="173"/>
      <c r="BU73" s="173"/>
      <c r="BV73" s="173"/>
      <c r="BW73" s="173"/>
      <c r="BX73" s="173"/>
      <c r="BY73" s="173"/>
      <c r="BZ73" s="173"/>
      <c r="CA73" s="173"/>
      <c r="CB73" s="173"/>
      <c r="CC73" s="173"/>
      <c r="CD73" s="173"/>
      <c r="CE73" s="173"/>
      <c r="CF73" s="173"/>
      <c r="CG73" s="173"/>
      <c r="CH73" s="173"/>
      <c r="CI73" s="173"/>
      <c r="CJ73" s="173"/>
      <c r="CK73" s="173"/>
      <c r="CL73" s="173"/>
      <c r="CM73" s="173"/>
      <c r="CN73" s="173"/>
      <c r="CO73" s="173"/>
      <c r="CP73" s="173"/>
      <c r="CQ73" s="173"/>
      <c r="CR73" s="173"/>
      <c r="CS73" s="173"/>
      <c r="CT73" s="173"/>
      <c r="CU73" s="173"/>
      <c r="CV73" s="173"/>
      <c r="CW73" s="173"/>
      <c r="CX73" s="173"/>
      <c r="CY73" s="173"/>
      <c r="CZ73" s="173"/>
      <c r="DA73" s="173"/>
      <c r="DB73" s="173"/>
      <c r="DC73" s="173"/>
      <c r="DD73" s="173"/>
      <c r="DE73" s="173"/>
    </row>
    <row r="74" customFormat="false" ht="15" hidden="false" customHeight="false" outlineLevel="0" collapsed="false">
      <c r="A74" s="173"/>
      <c r="B74" s="175" t="s">
        <v>1365</v>
      </c>
      <c r="C74" s="175"/>
      <c r="D74" s="175"/>
      <c r="E74" s="175"/>
      <c r="F74" s="175" t="s">
        <v>1366</v>
      </c>
      <c r="G74" s="175"/>
      <c r="H74" s="175"/>
      <c r="I74" s="175"/>
      <c r="J74" s="175" t="s">
        <v>1367</v>
      </c>
      <c r="K74" s="175"/>
      <c r="L74" s="175"/>
      <c r="M74" s="175"/>
      <c r="N74" s="175" t="s">
        <v>1368</v>
      </c>
      <c r="O74" s="175"/>
      <c r="P74" s="175"/>
      <c r="Q74" s="175"/>
      <c r="R74" s="175" t="s">
        <v>1369</v>
      </c>
      <c r="S74" s="175"/>
      <c r="T74" s="175"/>
      <c r="U74" s="175"/>
      <c r="V74" s="175" t="s">
        <v>1370</v>
      </c>
      <c r="W74" s="175"/>
      <c r="X74" s="175"/>
      <c r="Y74" s="175"/>
      <c r="Z74" s="175" t="s">
        <v>1371</v>
      </c>
      <c r="AA74" s="175"/>
      <c r="AB74" s="175"/>
      <c r="AC74" s="175"/>
      <c r="AD74" s="175" t="s">
        <v>1372</v>
      </c>
      <c r="AE74" s="175"/>
      <c r="AF74" s="175"/>
      <c r="AG74" s="175"/>
      <c r="AH74" s="175" t="s">
        <v>1373</v>
      </c>
      <c r="AI74" s="175"/>
      <c r="AJ74" s="175"/>
      <c r="AK74" s="175"/>
      <c r="AL74" s="175" t="s">
        <v>1374</v>
      </c>
      <c r="AM74" s="175"/>
      <c r="AN74" s="175"/>
      <c r="AO74" s="175"/>
      <c r="AP74" s="175" t="s">
        <v>1375</v>
      </c>
      <c r="AQ74" s="175"/>
      <c r="AR74" s="175"/>
      <c r="AS74" s="175"/>
      <c r="AT74" s="175" t="s">
        <v>1376</v>
      </c>
      <c r="AU74" s="175"/>
      <c r="AV74" s="175"/>
      <c r="AW74" s="175"/>
      <c r="AX74" s="175" t="s">
        <v>1377</v>
      </c>
      <c r="AY74" s="175"/>
      <c r="AZ74" s="175"/>
      <c r="BA74" s="175"/>
      <c r="BB74" s="175" t="s">
        <v>1378</v>
      </c>
      <c r="BC74" s="175"/>
      <c r="BD74" s="175"/>
      <c r="BE74" s="175"/>
      <c r="BF74" s="175" t="s">
        <v>1379</v>
      </c>
      <c r="BG74" s="175"/>
      <c r="BH74" s="175"/>
      <c r="BI74" s="175"/>
      <c r="BJ74" s="175" t="s">
        <v>1380</v>
      </c>
      <c r="BK74" s="175"/>
      <c r="BL74" s="175"/>
      <c r="BM74" s="175"/>
      <c r="BN74" s="175" t="s">
        <v>1381</v>
      </c>
      <c r="BO74" s="175"/>
      <c r="BP74" s="175"/>
      <c r="BQ74" s="175"/>
      <c r="BR74" s="175" t="s">
        <v>1382</v>
      </c>
      <c r="BS74" s="175"/>
      <c r="BT74" s="175"/>
      <c r="BU74" s="175"/>
      <c r="BV74" s="175" t="s">
        <v>1383</v>
      </c>
      <c r="BW74" s="175"/>
      <c r="BX74" s="175"/>
      <c r="BY74" s="175"/>
      <c r="BZ74" s="175" t="s">
        <v>1384</v>
      </c>
      <c r="CA74" s="175"/>
      <c r="CB74" s="175"/>
      <c r="CC74" s="175"/>
      <c r="CD74" s="175" t="s">
        <v>1385</v>
      </c>
      <c r="CE74" s="175"/>
      <c r="CF74" s="175"/>
      <c r="CG74" s="175"/>
      <c r="CH74" s="175" t="s">
        <v>1386</v>
      </c>
      <c r="CI74" s="175"/>
      <c r="CJ74" s="175"/>
      <c r="CK74" s="175"/>
      <c r="CL74" s="175" t="s">
        <v>1387</v>
      </c>
      <c r="CM74" s="175"/>
      <c r="CN74" s="175"/>
      <c r="CO74" s="175"/>
      <c r="CP74" s="175" t="s">
        <v>1388</v>
      </c>
      <c r="CQ74" s="175"/>
      <c r="CR74" s="175"/>
      <c r="CS74" s="175"/>
      <c r="CT74" s="175" t="s">
        <v>1388</v>
      </c>
      <c r="CU74" s="175"/>
      <c r="CV74" s="175"/>
      <c r="CW74" s="175"/>
      <c r="CX74" s="175" t="s">
        <v>1389</v>
      </c>
      <c r="CY74" s="175"/>
      <c r="CZ74" s="175"/>
      <c r="DA74" s="175"/>
      <c r="DB74" s="175" t="s">
        <v>1382</v>
      </c>
      <c r="DC74" s="175"/>
      <c r="DD74" s="175"/>
      <c r="DE74" s="175"/>
    </row>
    <row r="75" customFormat="false" ht="15" hidden="false" customHeight="false" outlineLevel="0" collapsed="false">
      <c r="A75" s="173"/>
      <c r="B75" s="173"/>
      <c r="C75" s="173"/>
      <c r="D75" s="173"/>
      <c r="E75" s="173"/>
      <c r="F75" s="173"/>
      <c r="G75" s="173"/>
      <c r="H75" s="173"/>
      <c r="I75" s="173"/>
      <c r="J75" s="173"/>
      <c r="K75" s="173"/>
      <c r="L75" s="173"/>
      <c r="M75" s="173"/>
      <c r="N75" s="173"/>
      <c r="O75" s="173"/>
      <c r="P75" s="173"/>
      <c r="Q75" s="173"/>
      <c r="R75" s="173"/>
      <c r="S75" s="173"/>
      <c r="T75" s="173"/>
      <c r="U75" s="173"/>
      <c r="V75" s="173"/>
      <c r="W75" s="173"/>
      <c r="X75" s="173"/>
      <c r="Y75" s="173"/>
      <c r="Z75" s="173"/>
      <c r="AA75" s="173"/>
      <c r="AB75" s="173"/>
      <c r="AC75" s="173"/>
      <c r="AD75" s="173"/>
      <c r="AE75" s="173"/>
      <c r="AF75" s="173"/>
      <c r="AG75" s="173"/>
      <c r="AH75" s="173"/>
      <c r="AI75" s="173"/>
      <c r="AJ75" s="173"/>
      <c r="AK75" s="173"/>
      <c r="AL75" s="173"/>
      <c r="AM75" s="173"/>
      <c r="AN75" s="173"/>
      <c r="AO75" s="173"/>
      <c r="AP75" s="173"/>
      <c r="AQ75" s="173"/>
      <c r="AR75" s="173"/>
      <c r="AS75" s="173"/>
      <c r="AT75" s="173"/>
      <c r="AU75" s="173"/>
      <c r="AV75" s="173"/>
      <c r="AW75" s="173"/>
      <c r="AX75" s="173"/>
      <c r="AY75" s="173"/>
      <c r="AZ75" s="173"/>
      <c r="BA75" s="173"/>
      <c r="BB75" s="173"/>
      <c r="BC75" s="173"/>
      <c r="BD75" s="173"/>
      <c r="BE75" s="173"/>
      <c r="BF75" s="173"/>
      <c r="BG75" s="173"/>
      <c r="BH75" s="173"/>
      <c r="BI75" s="173"/>
      <c r="BJ75" s="173"/>
      <c r="BK75" s="173"/>
      <c r="BL75" s="173"/>
      <c r="BM75" s="173"/>
      <c r="BN75" s="173"/>
      <c r="BO75" s="173"/>
      <c r="BP75" s="173"/>
      <c r="BQ75" s="173"/>
      <c r="BR75" s="173"/>
      <c r="BS75" s="173"/>
      <c r="BT75" s="173"/>
      <c r="BU75" s="173"/>
      <c r="BV75" s="173"/>
      <c r="BW75" s="173" t="s">
        <v>1390</v>
      </c>
      <c r="BX75" s="173"/>
      <c r="BY75" s="173"/>
      <c r="BZ75" s="173"/>
      <c r="CA75" s="173"/>
      <c r="CB75" s="173"/>
      <c r="CC75" s="173"/>
      <c r="CD75" s="173"/>
      <c r="CE75" s="173"/>
      <c r="CF75" s="173"/>
      <c r="CG75" s="173"/>
      <c r="CH75" s="173"/>
      <c r="CI75" s="173"/>
      <c r="CJ75" s="173"/>
      <c r="CK75" s="173"/>
      <c r="CL75" s="173"/>
      <c r="CM75" s="173"/>
      <c r="CN75" s="173"/>
      <c r="CO75" s="173"/>
      <c r="CP75" s="173"/>
      <c r="CQ75" s="173"/>
      <c r="CR75" s="173"/>
      <c r="CS75" s="173"/>
      <c r="CT75" s="173"/>
      <c r="CU75" s="173"/>
      <c r="CV75" s="173"/>
      <c r="CW75" s="173"/>
      <c r="CX75" s="173"/>
      <c r="CY75" s="173"/>
      <c r="CZ75" s="173"/>
      <c r="DA75" s="173"/>
      <c r="DB75" s="173"/>
      <c r="DC75" s="173"/>
      <c r="DD75" s="173"/>
      <c r="DE75" s="173"/>
    </row>
    <row r="76" customFormat="false" ht="15" hidden="false" customHeight="false" outlineLevel="0" collapsed="false">
      <c r="A76" s="173"/>
      <c r="B76" s="173"/>
      <c r="C76" s="173"/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3"/>
      <c r="O76" s="173"/>
      <c r="P76" s="173"/>
      <c r="Q76" s="173"/>
      <c r="R76" s="173"/>
      <c r="S76" s="173"/>
      <c r="T76" s="173"/>
      <c r="U76" s="173"/>
      <c r="V76" s="173"/>
      <c r="W76" s="173"/>
      <c r="X76" s="173"/>
      <c r="Y76" s="173"/>
      <c r="Z76" s="173"/>
      <c r="AA76" s="173"/>
      <c r="AB76" s="173"/>
      <c r="AC76" s="173"/>
      <c r="AD76" s="173"/>
      <c r="AE76" s="173"/>
      <c r="AF76" s="173"/>
      <c r="AG76" s="173"/>
      <c r="AH76" s="173"/>
      <c r="AI76" s="173"/>
      <c r="AJ76" s="173"/>
      <c r="AK76" s="173"/>
      <c r="AL76" s="173"/>
      <c r="AM76" s="173"/>
      <c r="AN76" s="173"/>
      <c r="AO76" s="173"/>
      <c r="AP76" s="173"/>
      <c r="AQ76" s="173"/>
      <c r="AR76" s="173"/>
      <c r="AS76" s="173"/>
      <c r="AT76" s="173"/>
      <c r="AU76" s="173"/>
      <c r="AV76" s="173"/>
      <c r="AW76" s="173"/>
      <c r="AX76" s="173"/>
      <c r="AY76" s="173"/>
      <c r="AZ76" s="173"/>
      <c r="BA76" s="173"/>
      <c r="BB76" s="173"/>
      <c r="BC76" s="173"/>
      <c r="BD76" s="173"/>
      <c r="BE76" s="173"/>
      <c r="BF76" s="173"/>
      <c r="BG76" s="173"/>
      <c r="BH76" s="173"/>
      <c r="BI76" s="173"/>
      <c r="BJ76" s="173"/>
      <c r="BK76" s="173"/>
      <c r="BL76" s="173"/>
      <c r="BM76" s="173"/>
      <c r="BN76" s="173"/>
      <c r="BO76" s="173"/>
      <c r="BP76" s="173"/>
      <c r="BQ76" s="173"/>
      <c r="BR76" s="173"/>
      <c r="BS76" s="173"/>
      <c r="BT76" s="173"/>
      <c r="BU76" s="173"/>
      <c r="BV76" s="173"/>
      <c r="BW76" s="173"/>
      <c r="BX76" s="173"/>
      <c r="BY76" s="173"/>
      <c r="BZ76" s="173"/>
      <c r="CA76" s="173"/>
      <c r="CB76" s="173"/>
      <c r="CC76" s="173"/>
      <c r="CD76" s="173"/>
      <c r="CE76" s="173"/>
      <c r="CF76" s="173"/>
      <c r="CG76" s="173"/>
      <c r="CH76" s="173"/>
      <c r="CI76" s="173"/>
      <c r="CJ76" s="173"/>
      <c r="CK76" s="173"/>
      <c r="CL76" s="173"/>
      <c r="CM76" s="173"/>
      <c r="CN76" s="173"/>
      <c r="CO76" s="173"/>
      <c r="CP76" s="173"/>
      <c r="CQ76" s="173"/>
      <c r="CR76" s="173"/>
      <c r="CS76" s="173"/>
      <c r="CT76" s="173"/>
      <c r="CU76" s="173"/>
      <c r="CV76" s="173"/>
      <c r="CW76" s="173"/>
      <c r="CX76" s="173"/>
      <c r="CY76" s="173"/>
      <c r="CZ76" s="173"/>
      <c r="DA76" s="173"/>
      <c r="DB76" s="173"/>
      <c r="DC76" s="173"/>
      <c r="DD76" s="173"/>
      <c r="DE76" s="173"/>
    </row>
    <row r="77" customFormat="false" ht="15" hidden="false" customHeight="false" outlineLevel="0" collapsed="false">
      <c r="A77" s="173"/>
      <c r="B77" s="173"/>
      <c r="C77" s="173"/>
      <c r="D77" s="173"/>
      <c r="E77" s="173"/>
      <c r="F77" s="173"/>
      <c r="G77" s="173"/>
      <c r="H77" s="173"/>
      <c r="I77" s="173"/>
      <c r="J77" s="173"/>
      <c r="K77" s="173"/>
      <c r="L77" s="173"/>
      <c r="M77" s="173"/>
      <c r="N77" s="173"/>
      <c r="O77" s="173"/>
      <c r="P77" s="173"/>
      <c r="Q77" s="173"/>
      <c r="R77" s="173"/>
      <c r="S77" s="173"/>
      <c r="T77" s="173"/>
      <c r="U77" s="173"/>
      <c r="V77" s="173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3"/>
      <c r="AI77" s="173"/>
      <c r="AJ77" s="173"/>
      <c r="AK77" s="173"/>
      <c r="AL77" s="173"/>
      <c r="AM77" s="173"/>
      <c r="AN77" s="173"/>
      <c r="AO77" s="173"/>
      <c r="AP77" s="173"/>
      <c r="AQ77" s="173"/>
      <c r="AR77" s="173"/>
      <c r="AS77" s="173"/>
      <c r="AT77" s="173"/>
      <c r="AU77" s="173"/>
      <c r="AV77" s="173"/>
      <c r="AW77" s="173"/>
      <c r="AX77" s="173"/>
      <c r="AY77" s="173"/>
      <c r="AZ77" s="173"/>
      <c r="BA77" s="173"/>
      <c r="BB77" s="173"/>
      <c r="BC77" s="173"/>
      <c r="BD77" s="173"/>
      <c r="BE77" s="173"/>
      <c r="BF77" s="173"/>
      <c r="BG77" s="173"/>
      <c r="BH77" s="173"/>
      <c r="BI77" s="173"/>
      <c r="BJ77" s="173"/>
      <c r="BK77" s="173"/>
      <c r="BL77" s="173"/>
      <c r="BM77" s="173"/>
      <c r="BN77" s="173"/>
      <c r="BO77" s="173"/>
      <c r="BP77" s="173"/>
      <c r="BQ77" s="173"/>
      <c r="BR77" s="173"/>
      <c r="BS77" s="173"/>
      <c r="BT77" s="173"/>
      <c r="BU77" s="173"/>
      <c r="BV77" s="173"/>
      <c r="BW77" s="173"/>
      <c r="BX77" s="173"/>
      <c r="BY77" s="173"/>
      <c r="BZ77" s="173"/>
      <c r="CA77" s="173"/>
      <c r="CB77" s="173"/>
      <c r="CC77" s="173"/>
      <c r="CD77" s="173"/>
      <c r="CE77" s="173"/>
      <c r="CF77" s="173"/>
      <c r="CG77" s="173"/>
      <c r="CH77" s="173"/>
      <c r="CI77" s="173"/>
      <c r="CJ77" s="173"/>
      <c r="CK77" s="173"/>
      <c r="CL77" s="173"/>
      <c r="CM77" s="173"/>
      <c r="CN77" s="173"/>
      <c r="CO77" s="173"/>
      <c r="CP77" s="173"/>
      <c r="CQ77" s="173"/>
      <c r="CR77" s="173"/>
      <c r="CS77" s="173"/>
      <c r="CT77" s="173"/>
      <c r="CU77" s="173"/>
      <c r="CV77" s="173"/>
      <c r="CW77" s="173"/>
      <c r="CX77" s="173"/>
      <c r="CY77" s="173"/>
      <c r="CZ77" s="173"/>
      <c r="DA77" s="173"/>
      <c r="DB77" s="173"/>
      <c r="DC77" s="173"/>
      <c r="DD77" s="173"/>
      <c r="DE77" s="173"/>
    </row>
    <row r="78" customFormat="false" ht="15" hidden="false" customHeight="false" outlineLevel="0" collapsed="false">
      <c r="A78" s="173"/>
      <c r="B78" s="173"/>
      <c r="C78" s="173"/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3"/>
      <c r="O78" s="173"/>
      <c r="P78" s="173"/>
      <c r="Q78" s="173"/>
      <c r="R78" s="173"/>
      <c r="S78" s="173"/>
      <c r="T78" s="173"/>
      <c r="U78" s="173"/>
      <c r="V78" s="173"/>
      <c r="W78" s="173"/>
      <c r="X78" s="173"/>
      <c r="Y78" s="173"/>
      <c r="Z78" s="173"/>
      <c r="AA78" s="173"/>
      <c r="AB78" s="173"/>
      <c r="AC78" s="173"/>
      <c r="AD78" s="173"/>
      <c r="AE78" s="173"/>
      <c r="AF78" s="173"/>
      <c r="AG78" s="173"/>
      <c r="AH78" s="173"/>
      <c r="AI78" s="173"/>
      <c r="AJ78" s="173"/>
      <c r="AK78" s="173"/>
      <c r="AL78" s="173"/>
      <c r="AM78" s="173"/>
      <c r="AN78" s="173"/>
      <c r="AO78" s="173"/>
      <c r="AP78" s="173"/>
      <c r="AQ78" s="173"/>
      <c r="AR78" s="173"/>
      <c r="AS78" s="173"/>
      <c r="AT78" s="173"/>
      <c r="AU78" s="173"/>
      <c r="AV78" s="173"/>
      <c r="AW78" s="173"/>
      <c r="AX78" s="173"/>
      <c r="AY78" s="173"/>
      <c r="AZ78" s="173"/>
      <c r="BA78" s="173"/>
      <c r="BB78" s="173"/>
      <c r="BC78" s="173"/>
      <c r="BD78" s="173"/>
      <c r="BE78" s="173"/>
      <c r="BF78" s="173"/>
      <c r="BG78" s="173"/>
      <c r="BH78" s="173"/>
      <c r="BI78" s="173"/>
      <c r="BJ78" s="173"/>
      <c r="BK78" s="173"/>
      <c r="BL78" s="173"/>
      <c r="BM78" s="173"/>
      <c r="BN78" s="173"/>
      <c r="BO78" s="173"/>
      <c r="BP78" s="173"/>
      <c r="BQ78" s="173"/>
      <c r="BR78" s="173"/>
      <c r="BS78" s="173"/>
      <c r="BT78" s="173"/>
      <c r="BU78" s="173"/>
      <c r="BV78" s="173"/>
      <c r="BW78" s="173"/>
      <c r="BX78" s="173"/>
      <c r="BY78" s="173"/>
      <c r="BZ78" s="173"/>
      <c r="CA78" s="173"/>
      <c r="CB78" s="173"/>
      <c r="CC78" s="173"/>
      <c r="CD78" s="173"/>
      <c r="CE78" s="173"/>
      <c r="CF78" s="173"/>
      <c r="CG78" s="173"/>
      <c r="CH78" s="173"/>
      <c r="CI78" s="173"/>
      <c r="CJ78" s="173"/>
      <c r="CK78" s="173"/>
      <c r="CL78" s="173"/>
      <c r="CM78" s="173"/>
      <c r="CN78" s="173"/>
      <c r="CO78" s="173"/>
      <c r="CP78" s="173"/>
      <c r="CQ78" s="173"/>
      <c r="CR78" s="173"/>
      <c r="CS78" s="173"/>
      <c r="CT78" s="173"/>
      <c r="CU78" s="173"/>
      <c r="CV78" s="173"/>
      <c r="CW78" s="173"/>
      <c r="CX78" s="173"/>
      <c r="CY78" s="173"/>
      <c r="CZ78" s="173"/>
      <c r="DA78" s="173"/>
      <c r="DB78" s="173"/>
      <c r="DC78" s="173"/>
      <c r="DD78" s="173"/>
      <c r="DE78" s="173"/>
    </row>
    <row r="81" customFormat="false" ht="15" hidden="false" customHeight="false" outlineLevel="0" collapsed="false">
      <c r="A81" s="17" t="s">
        <v>1391</v>
      </c>
      <c r="B81" s="18" t="s">
        <v>1392</v>
      </c>
      <c r="C81" s="18" t="s">
        <v>1393</v>
      </c>
    </row>
    <row r="82" customFormat="false" ht="15" hidden="false" customHeight="false" outlineLevel="0" collapsed="false">
      <c r="B82" s="18" t="s">
        <v>1394</v>
      </c>
      <c r="C82" s="18" t="s">
        <v>1395</v>
      </c>
    </row>
    <row r="83" customFormat="false" ht="15" hidden="false" customHeight="false" outlineLevel="0" collapsed="false">
      <c r="B83" s="18" t="s">
        <v>1396</v>
      </c>
      <c r="C83" s="18" t="s">
        <v>1397</v>
      </c>
    </row>
    <row r="84" customFormat="false" ht="15" hidden="false" customHeight="false" outlineLevel="0" collapsed="false">
      <c r="B84" s="18" t="s">
        <v>1398</v>
      </c>
      <c r="C84" s="18" t="s">
        <v>1399</v>
      </c>
    </row>
    <row r="85" customFormat="false" ht="15" hidden="false" customHeight="false" outlineLevel="0" collapsed="false">
      <c r="B85" s="18" t="s">
        <v>1400</v>
      </c>
      <c r="C85" s="18" t="s">
        <v>1401</v>
      </c>
    </row>
    <row r="86" customFormat="false" ht="15" hidden="false" customHeight="false" outlineLevel="0" collapsed="false">
      <c r="B86" s="18" t="s">
        <v>1402</v>
      </c>
      <c r="C86" s="18" t="s">
        <v>1403</v>
      </c>
    </row>
    <row r="87" customFormat="false" ht="15" hidden="false" customHeight="false" outlineLevel="0" collapsed="false">
      <c r="B87" s="18" t="s">
        <v>1404</v>
      </c>
      <c r="C87" s="18" t="s">
        <v>1405</v>
      </c>
    </row>
    <row r="88" customFormat="false" ht="15" hidden="false" customHeight="false" outlineLevel="0" collapsed="false">
      <c r="B88" s="18" t="s">
        <v>1406</v>
      </c>
      <c r="C88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71:D71"/>
    <mergeCell ref="F71:H71"/>
    <mergeCell ref="J71:L71"/>
    <mergeCell ref="N71:P71"/>
    <mergeCell ref="R71:T71"/>
    <mergeCell ref="V71:X71"/>
    <mergeCell ref="Z71:AB71"/>
    <mergeCell ref="AD71:AF71"/>
    <mergeCell ref="AH71:AJ71"/>
    <mergeCell ref="AL71:AN71"/>
    <mergeCell ref="AP71:AR71"/>
    <mergeCell ref="AT71:AV71"/>
    <mergeCell ref="AX71:AZ71"/>
    <mergeCell ref="BB71:BD71"/>
    <mergeCell ref="BF71:BH71"/>
    <mergeCell ref="BJ71:BL71"/>
    <mergeCell ref="BN71:BP71"/>
    <mergeCell ref="BR71:BT71"/>
    <mergeCell ref="BV71:BX71"/>
    <mergeCell ref="BZ71:CB71"/>
    <mergeCell ref="CD71:CF71"/>
    <mergeCell ref="CH71:CJ71"/>
    <mergeCell ref="CL71:CN71"/>
    <mergeCell ref="CP71:CR71"/>
    <mergeCell ref="CT71:CV71"/>
    <mergeCell ref="CX71:CZ71"/>
    <mergeCell ref="DB71:DD71"/>
  </mergeCells>
  <hyperlinks>
    <hyperlink ref="B71" r:id="rId1" display="https://www.branah.com/english"/>
    <hyperlink ref="R71" r:id="rId2" display="https://www.branah.com/portuguese"/>
    <hyperlink ref="V71" r:id="rId3" display="https://www.branah.com/italian"/>
    <hyperlink ref="AP71" r:id="rId4" display="https://www.branah.com/greek"/>
    <hyperlink ref="AT71" r:id="rId5" display="https://www.branah.com/ukrainian"/>
    <hyperlink ref="AX71" r:id="rId6" display="https://www.branah.com/russian"/>
    <hyperlink ref="BB71" r:id="rId7" display="https://www.branah.com/belarusian"/>
    <hyperlink ref="BF71" r:id="rId8" display="https://www.branah.com/kazakh"/>
    <hyperlink ref="BJ71" r:id="rId9" display="https://www.branah.com/bulgarian"/>
    <hyperlink ref="BR71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L1" s="177" t="inlineStr">
        <is>
          <t xml:space="preserve">Ȁ</t>
        </is>
      </c>
      <c r="M1" s="177" t="inlineStr">
        <is>
          <t xml:space="preserve">Ȃ</t>
        </is>
      </c>
      <c r="N1" s="177" t="inlineStr">
        <is>
          <t xml:space="preserve">Ǎ</t>
        </is>
      </c>
      <c r="O1" s="177" t="inlineStr">
        <is>
          <t xml:space="preserve">Ǟ</t>
        </is>
      </c>
      <c r="P1" s="177" t="inlineStr">
        <is>
          <t xml:space="preserve">Ǡ</t>
        </is>
      </c>
      <c r="Q1" s="177" t="inlineStr">
        <is>
          <t xml:space="preserve">Ǻ</t>
        </is>
      </c>
      <c r="R1" s="177" t="inlineStr">
        <is>
          <t xml:space="preserve">Ȧ</t>
        </is>
      </c>
      <c r="S1" s="177" t="inlineStr">
        <is>
          <t xml:space="preserve">Ḁ</t>
        </is>
      </c>
      <c r="T1" s="177" t="inlineStr">
        <is>
          <t xml:space="preserve">Ạ</t>
        </is>
      </c>
      <c r="U1" s="177" t="inlineStr">
        <is>
          <t xml:space="preserve">Ả</t>
        </is>
      </c>
      <c r="V1" s="177" t="inlineStr">
        <is>
          <t xml:space="preserve">Ấ</t>
        </is>
      </c>
      <c r="W1" s="177" t="inlineStr">
        <is>
          <t xml:space="preserve">Ầ</t>
        </is>
      </c>
      <c r="X1" s="177" t="inlineStr">
        <is>
          <t xml:space="preserve">Ẩ</t>
        </is>
      </c>
      <c r="Y1" s="177" t="inlineStr">
        <is>
          <t xml:space="preserve">Ẫ</t>
        </is>
      </c>
      <c r="Z1" s="177" t="inlineStr">
        <is>
          <t xml:space="preserve">Ậ</t>
        </is>
      </c>
      <c r="AA1" s="177" t="inlineStr">
        <is>
          <t xml:space="preserve">Ắ</t>
        </is>
      </c>
      <c r="AB1" s="177" t="inlineStr">
        <is>
          <t xml:space="preserve">Ằ</t>
        </is>
      </c>
      <c r="AC1" s="177" t="inlineStr">
        <is>
          <t xml:space="preserve">Ẳ</t>
        </is>
      </c>
      <c r="AD1" s="177" t="inlineStr">
        <is>
          <t xml:space="preserve">Ẵ</t>
        </is>
      </c>
      <c r="AE1" s="177" t="inlineStr">
        <is>
          <t xml:space="preserve">Ặ</t>
        </is>
      </c>
      <c r="BN1" s="1" t="s">
        <v>1418</v>
      </c>
      <c r="B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L2" s="177" t="str">
        <f aca="false">DEC2HEX(_xlfn.UNICODE(L1))</f>
        <v>200</v>
      </c>
      <c r="M2" s="177" t="str">
        <f aca="false">DEC2HEX(_xlfn.UNICODE(M1))</f>
        <v>202</v>
      </c>
      <c r="N2" s="177" t="str">
        <f aca="false">DEC2HEX(_xlfn.UNICODE(N1))</f>
        <v>1CD</v>
      </c>
      <c r="O2" s="177" t="str">
        <f aca="false">DEC2HEX(_xlfn.UNICODE(O1))</f>
        <v>1DE</v>
      </c>
      <c r="P2" s="177" t="str">
        <f aca="false">DEC2HEX(_xlfn.UNICODE(P1))</f>
        <v>1E0</v>
      </c>
      <c r="Q2" s="177" t="str">
        <f aca="false">DEC2HEX(_xlfn.UNICODE(Q1))</f>
        <v>1FA</v>
      </c>
      <c r="R2" s="177" t="str">
        <f aca="false">DEC2HEX(_xlfn.UNICODE(R1))</f>
        <v>226</v>
      </c>
      <c r="S2" s="177" t="str">
        <f aca="false">DEC2HEX(_xlfn.UNICODE(S1))</f>
        <v>1E00</v>
      </c>
      <c r="T2" s="177" t="str">
        <f aca="false">DEC2HEX(_xlfn.UNICODE(T1))</f>
        <v>1EA0</v>
      </c>
      <c r="U2" s="177" t="str">
        <f aca="false">DEC2HEX(_xlfn.UNICODE(U1))</f>
        <v>1EA2</v>
      </c>
      <c r="V2" s="177" t="str">
        <f aca="false">DEC2HEX(_xlfn.UNICODE(V1))</f>
        <v>1EA4</v>
      </c>
      <c r="W2" s="177" t="str">
        <f aca="false">DEC2HEX(_xlfn.UNICODE(W1))</f>
        <v>1EA6</v>
      </c>
      <c r="X2" s="177" t="str">
        <f aca="false">DEC2HEX(_xlfn.UNICODE(X1))</f>
        <v>1EA8</v>
      </c>
      <c r="Y2" s="177" t="str">
        <f aca="false">DEC2HEX(_xlfn.UNICODE(Y1))</f>
        <v>1EAA</v>
      </c>
      <c r="Z2" s="177" t="str">
        <f aca="false">DEC2HEX(_xlfn.UNICODE(Z1))</f>
        <v>1EAC</v>
      </c>
      <c r="AA2" s="177" t="str">
        <f aca="false">DEC2HEX(_xlfn.UNICODE(AA1))</f>
        <v>1EAE</v>
      </c>
      <c r="AB2" s="177" t="str">
        <f aca="false">DEC2HEX(_xlfn.UNICODE(AB1))</f>
        <v>1EB0</v>
      </c>
      <c r="AC2" s="177" t="str">
        <f aca="false">DEC2HEX(_xlfn.UNICODE(AC1))</f>
        <v>1EB2</v>
      </c>
      <c r="AD2" s="177" t="str">
        <f aca="false">DEC2HEX(_xlfn.UNICODE(AD1))</f>
        <v>1EB4</v>
      </c>
      <c r="AE2" s="177" t="str">
        <f aca="false">DEC2HEX(_xlfn.UNICODE(AE1))</f>
        <v>1EB6</v>
      </c>
      <c r="BN2" s="1" t="n">
        <f aca="false">MIN(HEX2DEC(B2),HEX2DEC(C2),HEX2DEC(D2),HEX2DEC(E2),HEX2DEC(F2),HEX2DEC(G2),HEX2DEC(H2),HEX2DEC(I2),HEX2DEC(J2),HEX2DEC(K2),HEX2DEC(L2),HEX2DEC(M2),HEX2DEC(N2),HEX2DEC(O2),HEX2DEC(P2),HEX2DEC(Q2),HEX2DEC(R2),HEX2DEC(S2),HEX2DEC(T2),HEX2DEC(U2),HEX2DEC(V2),HEX2DEC(W2),HEX2DEC(X2),HEX2DEC(Y2),HEX2DEC(Z2),HEX2DEC(AA2),HEX2DEC(AB2),HEX2DEC(AC2),HEX2DEC(AD2),HEX2DEC(AE2))</f>
        <v>192</v>
      </c>
      <c r="BO2" s="1" t="n">
        <f aca="false">MAX(HEX2DEC(B2),HEX2DEC(C2),HEX2DEC(D2),HEX2DEC(E2),HEX2DEC(F2),HEX2DEC(G2),HEX2DEC(H2),HEX2DEC(I2),HEX2DEC(J2),HEX2DEC(K2))</f>
        <v>7862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  <c r="L3" s="177" t="inlineStr">
        <is>
          <t xml:space="preserve">ȁ</t>
        </is>
      </c>
      <c r="M3" s="177" t="inlineStr">
        <is>
          <t xml:space="preserve">ȃ</t>
        </is>
      </c>
      <c r="N3" s="177" t="inlineStr">
        <is>
          <t xml:space="preserve">ǎ</t>
        </is>
      </c>
      <c r="O3" s="177" t="inlineStr">
        <is>
          <t xml:space="preserve">ǟ</t>
        </is>
      </c>
      <c r="P3" s="177" t="inlineStr">
        <is>
          <t xml:space="preserve">ǡ</t>
        </is>
      </c>
      <c r="Q3" s="177" t="inlineStr">
        <is>
          <t xml:space="preserve">ǻ</t>
        </is>
      </c>
      <c r="R3" s="177" t="inlineStr">
        <is>
          <t xml:space="preserve">ȧ</t>
        </is>
      </c>
      <c r="S3" s="177" t="inlineStr">
        <is>
          <t xml:space="preserve">ḁ</t>
        </is>
      </c>
      <c r="T3" s="177" t="inlineStr">
        <is>
          <t xml:space="preserve">ạ</t>
        </is>
      </c>
      <c r="U3" s="177" t="inlineStr">
        <is>
          <t xml:space="preserve">ả</t>
        </is>
      </c>
      <c r="V3" s="177" t="inlineStr">
        <is>
          <t xml:space="preserve">ấ</t>
        </is>
      </c>
      <c r="W3" s="177" t="inlineStr">
        <is>
          <t xml:space="preserve">ầ</t>
        </is>
      </c>
      <c r="X3" s="177" t="inlineStr">
        <is>
          <t xml:space="preserve">ẩ</t>
        </is>
      </c>
      <c r="Y3" s="177" t="inlineStr">
        <is>
          <t xml:space="preserve">ẫ</t>
        </is>
      </c>
      <c r="Z3" s="177" t="inlineStr">
        <is>
          <t xml:space="preserve">ậ</t>
        </is>
      </c>
      <c r="AA3" s="177" t="inlineStr">
        <is>
          <t xml:space="preserve">ắ</t>
        </is>
      </c>
      <c r="AB3" s="177" t="inlineStr">
        <is>
          <t xml:space="preserve">ằ</t>
        </is>
      </c>
      <c r="AC3" s="177" t="inlineStr">
        <is>
          <t xml:space="preserve">ẳ</t>
        </is>
      </c>
      <c r="AD3" s="177" t="inlineStr">
        <is>
          <t xml:space="preserve">ẵ</t>
        </is>
      </c>
      <c r="AE3" s="177" t="inlineStr">
        <is>
          <t xml:space="preserve">ặ</t>
        </is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L4" s="177" t="str">
        <f aca="false">DEC2HEX(_xlfn.UNICODE(L3))</f>
        <v>201</v>
      </c>
      <c r="M4" s="177" t="str">
        <f aca="false">DEC2HEX(_xlfn.UNICODE(M3))</f>
        <v>203</v>
      </c>
      <c r="N4" s="177" t="str">
        <f aca="false">DEC2HEX(_xlfn.UNICODE(N3))</f>
        <v>1CE</v>
      </c>
      <c r="O4" s="177" t="str">
        <f aca="false">DEC2HEX(_xlfn.UNICODE(O3))</f>
        <v>1DF</v>
      </c>
      <c r="P4" s="177" t="str">
        <f aca="false">DEC2HEX(_xlfn.UNICODE(P3))</f>
        <v>1E1</v>
      </c>
      <c r="Q4" s="177" t="str">
        <f aca="false">DEC2HEX(_xlfn.UNICODE(Q3))</f>
        <v>1FB</v>
      </c>
      <c r="R4" s="177" t="str">
        <f aca="false">DEC2HEX(_xlfn.UNICODE(R3))</f>
        <v>227</v>
      </c>
      <c r="S4" s="177" t="str">
        <f aca="false">DEC2HEX(_xlfn.UNICODE(S3))</f>
        <v>1E01</v>
      </c>
      <c r="T4" s="177" t="str">
        <f aca="false">DEC2HEX(_xlfn.UNICODE(T3))</f>
        <v>1EA1</v>
      </c>
      <c r="U4" s="177" t="str">
        <f aca="false">DEC2HEX(_xlfn.UNICODE(U3))</f>
        <v>1EA3</v>
      </c>
      <c r="V4" s="177" t="str">
        <f aca="false">DEC2HEX(_xlfn.UNICODE(V3))</f>
        <v>1EA5</v>
      </c>
      <c r="W4" s="177" t="str">
        <f aca="false">DEC2HEX(_xlfn.UNICODE(W3))</f>
        <v>1EA7</v>
      </c>
      <c r="X4" s="177" t="str">
        <f aca="false">DEC2HEX(_xlfn.UNICODE(X3))</f>
        <v>1EA9</v>
      </c>
      <c r="Y4" s="177" t="str">
        <f aca="false">DEC2HEX(_xlfn.UNICODE(Y3))</f>
        <v>1EAB</v>
      </c>
      <c r="Z4" s="177" t="str">
        <f aca="false">DEC2HEX(_xlfn.UNICODE(Z3))</f>
        <v>1EAD</v>
      </c>
      <c r="AA4" s="177" t="str">
        <f aca="false">DEC2HEX(_xlfn.UNICODE(AA3))</f>
        <v>1EAF</v>
      </c>
      <c r="AB4" s="177" t="str">
        <f aca="false">DEC2HEX(_xlfn.UNICODE(AB3))</f>
        <v>1EB1</v>
      </c>
      <c r="AC4" s="177" t="str">
        <f aca="false">DEC2HEX(_xlfn.UNICODE(AC3))</f>
        <v>1EB3</v>
      </c>
      <c r="AD4" s="177" t="str">
        <f aca="false">DEC2HEX(_xlfn.UNICODE(AD3))</f>
        <v>1EB5</v>
      </c>
      <c r="AE4" s="177" t="str">
        <f aca="false">DEC2HEX(_xlfn.UNICODE(AE3))</f>
        <v>1EB7</v>
      </c>
      <c r="BN4" s="1" t="n">
        <f aca="false">MIN(HEX2DEC(B4),HEX2DEC(C4),HEX2DEC(D4),HEX2DEC(E4),HEX2DEC(F4),HEX2DEC(G4),HEX2DEC(H4),HEX2DEC(I4),HEX2DEC(J4),HEX2DEC(K4),HEX2DEC(L4),HEX2DEC(M4),HEX2DEC(N4),HEX2DEC(O4),HEX2DEC(P4),HEX2DEC(Q4),HEX2DEC(R4),HEX2DEC(S4),HEX2DEC(T4),HEX2DEC(U4),HEX2DEC(V4),HEX2DEC(W4),HEX2DEC(X4),HEX2DEC(Y4),HEX2DEC(Z4),HEX2DEC(AA4),HEX2DEC(AB4),HEX2DEC(AC4),HEX2DEC(AD4),HEX2DEC(AE4))</f>
        <v>224</v>
      </c>
      <c r="BO4" s="1" t="n">
        <f aca="false">MAX(HEX2DEC(B4),HEX2DEC(C4),HEX2DEC(D4),HEX2DEC(E4),HEX2DEC(F4),HEX2DEC(G4),HEX2DEC(H4),HEX2DEC(I4),HEX2DEC(J4),HEX2DEC(K4))</f>
        <v>7863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G5" s="177" t="inlineStr">
        <is>
          <t xml:space="preserve">Ƈ</t>
        </is>
      </c>
      <c r="H5" s="177" t="inlineStr">
        <is>
          <t xml:space="preserve">Ḉ</t>
        </is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G6" s="177" t="str">
        <f aca="false">DEC2HEX(_xlfn.UNICODE(G5))</f>
        <v>187</v>
      </c>
      <c r="H6" s="177" t="str">
        <f aca="false">DEC2HEX(_xlfn.UNICODE(H5))</f>
        <v>1E08</v>
      </c>
      <c r="J6" s="177"/>
      <c r="BN6" s="1" t="n">
        <f aca="false">MIN(HEX2DEC(B6),HEX2DEC(C6),HEX2DEC(D6),HEX2DEC(E6),HEX2DEC(F6),HEX2DEC(G6),HEX2DEC(H6))</f>
        <v>199</v>
      </c>
      <c r="BO6" s="1" t="n">
        <f aca="false">MAX(HEX2DEC(B6),HEX2DEC(C6),HEX2DEC(D6),HEX2DEC(E6),HEX2DEC(F6),HEX2DEC(G6),HEX2DEC(H6),HEX2DEC(I6),HEX2DEC(J6),HEX2DEC(K6))</f>
        <v>7688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  <c r="G7" s="177" t="inlineStr">
        <is>
          <t xml:space="preserve">ƈ</t>
        </is>
      </c>
      <c r="H7" s="177" t="inlineStr">
        <is>
          <t xml:space="preserve">ḉ</t>
        </is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G8" s="177" t="str">
        <f aca="false">DEC2HEX(_xlfn.UNICODE(G7))</f>
        <v>188</v>
      </c>
      <c r="H8" s="177" t="str">
        <f aca="false">DEC2HEX(_xlfn.UNICODE(H7))</f>
        <v>1E09</v>
      </c>
      <c r="BN8" s="1" t="n">
        <f aca="false">MIN(HEX2DEC(B8),HEX2DEC(C8),HEX2DEC(D8),HEX2DEC(E8),HEX2DEC(F8),HEX2DEC(G8),HEX2DEC(H8))</f>
        <v>231</v>
      </c>
      <c r="BO8" s="1" t="n">
        <f aca="false">MAX(HEX2DEC(B8),HEX2DEC(C8),HEX2DEC(D8),HEX2DEC(E8),HEX2DEC(F8),HEX2DEC(G8),HEX2DEC(H8),HEX2DEC(I8),HEX2DEC(J8),HEX2DEC(K8))</f>
        <v>7689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E9" s="177" t="inlineStr">
        <is>
          <t xml:space="preserve">Ḋ</t>
        </is>
      </c>
      <c r="F9" s="177" t="inlineStr">
        <is>
          <t xml:space="preserve">Ɗ</t>
        </is>
      </c>
      <c r="G9" s="177" t="inlineStr">
        <is>
          <t xml:space="preserve">Ƌ</t>
        </is>
      </c>
      <c r="H9" s="177" t="inlineStr">
        <is>
          <t xml:space="preserve">Ḍ</t>
        </is>
      </c>
      <c r="I9" s="177" t="inlineStr">
        <is>
          <t xml:space="preserve">Ḏ</t>
        </is>
      </c>
      <c r="J9" s="177" t="inlineStr">
        <is>
          <t xml:space="preserve">Ḑ</t>
        </is>
      </c>
      <c r="K9" s="177" t="inlineStr">
        <is>
          <t xml:space="preserve">Ḓ</t>
        </is>
      </c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E10" s="177" t="str">
        <f aca="false">DEC2HEX(_xlfn.UNICODE(E9))</f>
        <v>1E0A</v>
      </c>
      <c r="F10" s="177" t="str">
        <f aca="false">DEC2HEX(_xlfn.UNICODE(F9))</f>
        <v>18A</v>
      </c>
      <c r="G10" s="177" t="str">
        <f aca="false">DEC2HEX(_xlfn.UNICODE(G9))</f>
        <v>18B</v>
      </c>
      <c r="H10" s="177" t="str">
        <f aca="false">DEC2HEX(_xlfn.UNICODE(H9))</f>
        <v>1E0C</v>
      </c>
      <c r="I10" s="177" t="str">
        <f aca="false">DEC2HEX(_xlfn.UNICODE(I9))</f>
        <v>1E0E</v>
      </c>
      <c r="J10" s="177" t="str">
        <f aca="false">DEC2HEX(_xlfn.UNICODE(J9))</f>
        <v>1E10</v>
      </c>
      <c r="K10" s="177" t="str">
        <f aca="false">DEC2HEX(_xlfn.UNICODE(K9))</f>
        <v>1E12</v>
      </c>
      <c r="BN10" s="1" t="n">
        <f aca="false">MIN(HEX2DEC(B10),HEX2DEC(C10),HEX2DEC(D10),HEX2DEC(E10),HEX2DEC(F10),HEX2DEC(G10),HEX2DEC(H10),HEX2DEC(I10),HEX2DEC(J10),HEX2DEC(K10))</f>
        <v>208</v>
      </c>
      <c r="BO10" s="1" t="n">
        <f aca="false">MAX(HEX2DEC(B10),HEX2DEC(C10),HEX2DEC(D10),HEX2DEC(E10),HEX2DEC(F10),HEX2DEC(G10),HEX2DEC(H10),HEX2DEC(I10),HEX2DEC(J10),HEX2DEC(K10))</f>
        <v>7698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 t="inlineStr">
        <is>
          <t xml:space="preserve">ḋ</t>
        </is>
      </c>
      <c r="F11" s="177" t="inlineStr">
        <is>
          <t xml:space="preserve">ɗ</t>
        </is>
      </c>
      <c r="G11" s="177" t="inlineStr">
        <is>
          <t xml:space="preserve">ƌ</t>
        </is>
      </c>
      <c r="H11" s="177" t="inlineStr">
        <is>
          <t xml:space="preserve">ḍ</t>
        </is>
      </c>
      <c r="I11" s="177" t="inlineStr">
        <is>
          <t xml:space="preserve">ḏ</t>
        </is>
      </c>
      <c r="J11" s="177" t="inlineStr">
        <is>
          <t xml:space="preserve">ḑ</t>
        </is>
      </c>
      <c r="K11" s="177" t="inlineStr">
        <is>
          <t xml:space="preserve">ḓ</t>
        </is>
      </c>
      <c r="BN11" s="12"/>
      <c r="BO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 t="str">
        <f aca="false">DEC2HEX(_xlfn.UNICODE(E11))</f>
        <v>1E0B</v>
      </c>
      <c r="F12" s="177" t="str">
        <f aca="false">DEC2HEX(_xlfn.UNICODE(F11))</f>
        <v>257</v>
      </c>
      <c r="G12" s="177" t="str">
        <f aca="false">DEC2HEX(_xlfn.UNICODE(G11))</f>
        <v>18C</v>
      </c>
      <c r="H12" s="177" t="str">
        <f aca="false">DEC2HEX(_xlfn.UNICODE(H11))</f>
        <v>1E0D</v>
      </c>
      <c r="I12" s="177" t="str">
        <f aca="false">DEC2HEX(_xlfn.UNICODE(I11))</f>
        <v>1E0F</v>
      </c>
      <c r="J12" s="177" t="str">
        <f aca="false">DEC2HEX(_xlfn.UNICODE(J11))</f>
        <v>1E11</v>
      </c>
      <c r="K12" s="177" t="str">
        <f aca="false">DEC2HEX(_xlfn.UNICODE(K11))</f>
        <v>1E13</v>
      </c>
      <c r="BN12" s="1" t="n">
        <f aca="false">MIN(HEX2DEC(B12),HEX2DEC(C12),HEX2DEC(D12),HEX2DEC(E12),HEX2DEC(F12),HEX2DEC(G12),HEX2DEC(H12),HEX2DEC(I12),HEX2DEC(J12),HEX2DEC(K12))</f>
        <v>240</v>
      </c>
      <c r="BN12" s="12"/>
      <c r="BO12" s="1" t="n">
        <f aca="false">MAX(HEX2DEC(B12),HEX2DEC(C12),HEX2DEC(D12),HEX2DEC(E12),HEX2DEC(F12),HEX2DEC(G12),HEX2DEC(H12),HEX2DEC(I12),HEX2DEC(J12),HEX2DEC(K12))</f>
        <v>7699</v>
      </c>
      <c r="BO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  <c r="K13" s="177" t="inlineStr">
        <is>
          <t xml:space="preserve">Ȅ</t>
        </is>
      </c>
      <c r="L13" s="177" t="inlineStr">
        <is>
          <t xml:space="preserve">Ȇ</t>
        </is>
      </c>
      <c r="M13" s="177" t="inlineStr">
        <is>
          <t xml:space="preserve">Ẹ</t>
        </is>
      </c>
      <c r="N13" s="177" t="inlineStr">
        <is>
          <t xml:space="preserve">Ẽ</t>
        </is>
      </c>
      <c r="O13" s="177" t="inlineStr">
        <is>
          <t xml:space="preserve">Ȩ</t>
        </is>
      </c>
      <c r="P13" s="177" t="inlineStr">
        <is>
          <t xml:space="preserve">Ḕ</t>
        </is>
      </c>
      <c r="Q13" s="177" t="inlineStr">
        <is>
          <t xml:space="preserve">Ḗ</t>
        </is>
      </c>
      <c r="R13" s="177" t="inlineStr">
        <is>
          <t xml:space="preserve">Ḙ</t>
        </is>
      </c>
      <c r="S13" s="177" t="inlineStr">
        <is>
          <t xml:space="preserve">Ḛ</t>
        </is>
      </c>
      <c r="T13" s="177" t="inlineStr">
        <is>
          <t xml:space="preserve">Ḝ</t>
        </is>
      </c>
      <c r="U13" s="177" t="inlineStr">
        <is>
          <t xml:space="preserve">Ẻ</t>
        </is>
      </c>
      <c r="V13" s="177" t="inlineStr">
        <is>
          <t xml:space="preserve">Ế</t>
        </is>
      </c>
      <c r="W13" s="177" t="inlineStr">
        <is>
          <t xml:space="preserve">Ề</t>
        </is>
      </c>
      <c r="X13" s="177" t="inlineStr">
        <is>
          <t xml:space="preserve">Ể</t>
        </is>
      </c>
      <c r="Y13" s="177" t="inlineStr">
        <is>
          <t xml:space="preserve">Ễ</t>
        </is>
      </c>
      <c r="Z13" s="177" t="inlineStr">
        <is>
          <t xml:space="preserve">Ệ</t>
        </is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K14" s="177" t="str">
        <f aca="false">DEC2HEX(_xlfn.UNICODE(K13))</f>
        <v>204</v>
      </c>
      <c r="L14" s="177" t="str">
        <f aca="false">DEC2HEX(_xlfn.UNICODE(L13))</f>
        <v>206</v>
      </c>
      <c r="M14" s="177" t="str">
        <f aca="false">DEC2HEX(_xlfn.UNICODE(M13))</f>
        <v>1EB8</v>
      </c>
      <c r="N14" s="177" t="str">
        <f aca="false">DEC2HEX(_xlfn.UNICODE(N13))</f>
        <v>1EBC</v>
      </c>
      <c r="O14" s="177" t="str">
        <f aca="false">DEC2HEX(_xlfn.UNICODE(O13))</f>
        <v>228</v>
      </c>
      <c r="P14" s="177" t="str">
        <f aca="false">DEC2HEX(_xlfn.UNICODE(P13))</f>
        <v>1E14</v>
      </c>
      <c r="Q14" s="177" t="str">
        <f aca="false">DEC2HEX(_xlfn.UNICODE(Q13))</f>
        <v>1E16</v>
      </c>
      <c r="R14" s="177" t="str">
        <f aca="false">DEC2HEX(_xlfn.UNICODE(R13))</f>
        <v>1E18</v>
      </c>
      <c r="S14" s="177" t="str">
        <f aca="false">DEC2HEX(_xlfn.UNICODE(S13))</f>
        <v>1E1A</v>
      </c>
      <c r="T14" s="177" t="str">
        <f aca="false">DEC2HEX(_xlfn.UNICODE(T13))</f>
        <v>1E1C</v>
      </c>
      <c r="U14" s="177" t="str">
        <f aca="false">DEC2HEX(_xlfn.UNICODE(U13))</f>
        <v>1EBA</v>
      </c>
      <c r="V14" s="177" t="str">
        <f aca="false">DEC2HEX(_xlfn.UNICODE(V13))</f>
        <v>1EBE</v>
      </c>
      <c r="W14" s="177" t="str">
        <f aca="false">DEC2HEX(_xlfn.UNICODE(W13))</f>
        <v>1EC0</v>
      </c>
      <c r="X14" s="177" t="str">
        <f aca="false">DEC2HEX(_xlfn.UNICODE(X13))</f>
        <v>1EC2</v>
      </c>
      <c r="Y14" s="177" t="str">
        <f aca="false">DEC2HEX(_xlfn.UNICODE(Y13))</f>
        <v>1EC4</v>
      </c>
      <c r="Z14" s="177" t="str">
        <f aca="false">DEC2HEX(_xlfn.UNICODE(Z13))</f>
        <v>1EC6</v>
      </c>
      <c r="BN14" s="1" t="n">
        <f aca="false">MIN(HEX2DEC(B14),HEX2DEC(C14),HEX2DEC(D14),HEX2DEC(E14),HEX2DEC(F14),HEX2DEC(G14),HEX2DEC(H14),HEX2DEC(I14),HEX2DEC(J14),HEX2DEC(K14),HEX2DEC(L14),HEX2DEC(M14),HEX2DEC(N14),HEX2DEC(O14),HEX2DEC(P14),HEX2DEC(Q14),HEX2DEC(R14),HEX2DEC(S14),HEX2DEC(T14),HEX2DEC(U14),HEX2DEC(V14),HEX2DEC(W14),HEX2DEC(X14),HEX2DEC(Y14),HEX2DEC(Z14))</f>
        <v>200</v>
      </c>
      <c r="BO14" s="1" t="n">
        <f aca="false">MAX(HEX2DEC(B14),HEX2DEC(C14),HEX2DEC(D14),HEX2DEC(E14),HEX2DEC(F14),HEX2DEC(G14),HEX2DEC(H14),HEX2DEC(I14),HEX2DEC(J14),HEX2DEC(K14))</f>
        <v>7878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  <c r="K15" s="177" t="inlineStr">
        <is>
          <t xml:space="preserve">ȅ</t>
        </is>
      </c>
      <c r="L15" s="177" t="inlineStr">
        <is>
          <t xml:space="preserve">ȇ</t>
        </is>
      </c>
      <c r="M15" s="177" t="inlineStr">
        <is>
          <t xml:space="preserve">ẹ</t>
        </is>
      </c>
      <c r="N15" s="177" t="inlineStr">
        <is>
          <t xml:space="preserve">ẽ</t>
        </is>
      </c>
      <c r="O15" s="177" t="inlineStr">
        <is>
          <t xml:space="preserve">ȩ</t>
        </is>
      </c>
      <c r="P15" s="177" t="inlineStr">
        <is>
          <t xml:space="preserve">ḕ</t>
        </is>
      </c>
      <c r="Q15" s="177" t="inlineStr">
        <is>
          <t xml:space="preserve">ḗ</t>
        </is>
      </c>
      <c r="R15" s="177" t="inlineStr">
        <is>
          <t xml:space="preserve">ḙ</t>
        </is>
      </c>
      <c r="S15" s="177" t="inlineStr">
        <is>
          <t xml:space="preserve">ḛ</t>
        </is>
      </c>
      <c r="T15" s="177" t="inlineStr">
        <is>
          <t xml:space="preserve">ḝ</t>
        </is>
      </c>
      <c r="U15" s="177" t="inlineStr">
        <is>
          <t xml:space="preserve">ẻ</t>
        </is>
      </c>
      <c r="V15" s="177" t="inlineStr">
        <is>
          <t xml:space="preserve">ế</t>
        </is>
      </c>
      <c r="W15" s="177" t="inlineStr">
        <is>
          <t xml:space="preserve">ề</t>
        </is>
      </c>
      <c r="X15" s="177" t="inlineStr">
        <is>
          <t xml:space="preserve">ể</t>
        </is>
      </c>
      <c r="Y15" s="177" t="inlineStr">
        <is>
          <t xml:space="preserve">ễ</t>
        </is>
      </c>
      <c r="Z15" s="177" t="inlineStr">
        <is>
          <t xml:space="preserve">ệ</t>
        </is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K16" s="177" t="str">
        <f aca="false">DEC2HEX(_xlfn.UNICODE(K15))</f>
        <v>205</v>
      </c>
      <c r="L16" s="177" t="str">
        <f aca="false">DEC2HEX(_xlfn.UNICODE(L15))</f>
        <v>207</v>
      </c>
      <c r="M16" s="177" t="str">
        <f aca="false">DEC2HEX(_xlfn.UNICODE(M15))</f>
        <v>1EB9</v>
      </c>
      <c r="N16" s="177" t="str">
        <f aca="false">DEC2HEX(_xlfn.UNICODE(N15))</f>
        <v>1EBD</v>
      </c>
      <c r="O16" s="177" t="str">
        <f aca="false">DEC2HEX(_xlfn.UNICODE(O15))</f>
        <v>229</v>
      </c>
      <c r="P16" s="177" t="str">
        <f aca="false">DEC2HEX(_xlfn.UNICODE(P15))</f>
        <v>1E15</v>
      </c>
      <c r="Q16" s="177" t="str">
        <f aca="false">DEC2HEX(_xlfn.UNICODE(Q15))</f>
        <v>1E17</v>
      </c>
      <c r="R16" s="177" t="str">
        <f aca="false">DEC2HEX(_xlfn.UNICODE(R15))</f>
        <v>1E19</v>
      </c>
      <c r="S16" s="177" t="str">
        <f aca="false">DEC2HEX(_xlfn.UNICODE(S15))</f>
        <v>1E1B</v>
      </c>
      <c r="T16" s="177" t="str">
        <f aca="false">DEC2HEX(_xlfn.UNICODE(T15))</f>
        <v>1E1D</v>
      </c>
      <c r="U16" s="177" t="str">
        <f aca="false">DEC2HEX(_xlfn.UNICODE(U15))</f>
        <v>1EBB</v>
      </c>
      <c r="V16" s="177" t="str">
        <f aca="false">DEC2HEX(_xlfn.UNICODE(V15))</f>
        <v>1EBF</v>
      </c>
      <c r="W16" s="177" t="str">
        <f aca="false">DEC2HEX(_xlfn.UNICODE(W15))</f>
        <v>1EC1</v>
      </c>
      <c r="X16" s="177" t="str">
        <f aca="false">DEC2HEX(_xlfn.UNICODE(X15))</f>
        <v>1EC3</v>
      </c>
      <c r="Y16" s="177" t="str">
        <f aca="false">DEC2HEX(_xlfn.UNICODE(Y15))</f>
        <v>1EC5</v>
      </c>
      <c r="Z16" s="177" t="str">
        <f aca="false">DEC2HEX(_xlfn.UNICODE(Z15))</f>
        <v>1EC7</v>
      </c>
      <c r="BN16" s="1" t="n">
        <f aca="false">MIN(HEX2DEC(B16),HEX2DEC(C16),HEX2DEC(D16),HEX2DEC(E16),HEX2DEC(F16),HEX2DEC(G16),HEX2DEC(H16),HEX2DEC(I16),HEX2DEC(J16),HEX2DEC(K16),HEX2DEC(L16),HEX2DEC(M16),HEX2DEC(N16),HEX2DEC(O16),HEX2DEC(P16),HEX2DEC(Q16),HEX2DEC(R16),HEX2DEC(S16),HEX2DEC(T16),HEX2DEC(U16),HEX2DEC(V16),HEX2DEC(W16),HEX2DEC(X16),HEX2DEC(Y16),HEX2DEC(Z16))</f>
        <v>232</v>
      </c>
      <c r="BO16" s="1" t="n">
        <f aca="false">MAX(HEX2DEC(B16),HEX2DEC(C16),HEX2DEC(D16),HEX2DEC(E16),HEX2DEC(F16),HEX2DEC(G16),HEX2DEC(H16),HEX2DEC(I16),HEX2DEC(J16),HEX2DEC(K16))</f>
        <v>7879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  <c r="F17" s="177" t="inlineStr">
        <is>
          <t xml:space="preserve">Ǧ</t>
        </is>
      </c>
      <c r="G17" s="177" t="inlineStr">
        <is>
          <t xml:space="preserve">Ǵ</t>
        </is>
      </c>
      <c r="H17" s="177" t="inlineStr">
        <is>
          <t xml:space="preserve">Ɠ</t>
        </is>
      </c>
      <c r="I17" s="177" t="inlineStr">
        <is>
          <t xml:space="preserve">Ḡ</t>
        </is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F18" s="177" t="str">
        <f aca="false">DEC2HEX(_xlfn.UNICODE(F17))</f>
        <v>1E6</v>
      </c>
      <c r="G18" s="177" t="str">
        <f aca="false">DEC2HEX(_xlfn.UNICODE(G17))</f>
        <v>1F4</v>
      </c>
      <c r="H18" s="177" t="str">
        <f aca="false">DEC2HEX(_xlfn.UNICODE(H17))</f>
        <v>193</v>
      </c>
      <c r="I18" s="177" t="str">
        <f aca="false">DEC2HEX(_xlfn.UNICODE(I17))</f>
        <v>1E20</v>
      </c>
      <c r="BN18" s="1" t="n">
        <f aca="false">MIN(HEX2DEC(B18),HEX2DEC(C18),HEX2DEC(D18),HEX2DEC(E18),HEX2DEC(F18),HEX2DEC(G18),HEX2DEC(H18),HEX2DEC(I18))</f>
        <v>284</v>
      </c>
      <c r="BO18" s="1" t="n">
        <f aca="false">MAX(HEX2DEC(B18),HEX2DEC(C18),HEX2DEC(D18),HEX2DEC(E18),HEX2DEC(F18),HEX2DEC(G18),HEX2DEC(H18),HEX2DEC(I18),HEX2DEC(J18),HEX2DEC(K18))</f>
        <v>7712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  <c r="F19" s="177" t="inlineStr">
        <is>
          <t xml:space="preserve">ǧ</t>
        </is>
      </c>
      <c r="G19" s="177" t="inlineStr">
        <is>
          <t xml:space="preserve">ǵ</t>
        </is>
      </c>
      <c r="H19" s="177" t="inlineStr">
        <is>
          <t xml:space="preserve">ɠ</t>
        </is>
      </c>
      <c r="I19" s="177" t="inlineStr">
        <is>
          <t xml:space="preserve">ḡ</t>
        </is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F20" s="177" t="str">
        <f aca="false">DEC2HEX(_xlfn.UNICODE(F19))</f>
        <v>1E7</v>
      </c>
      <c r="G20" s="177" t="str">
        <f aca="false">DEC2HEX(_xlfn.UNICODE(G19))</f>
        <v>1F5</v>
      </c>
      <c r="H20" s="177" t="str">
        <f aca="false">DEC2HEX(_xlfn.UNICODE(H19))</f>
        <v>260</v>
      </c>
      <c r="I20" s="177" t="str">
        <f aca="false">DEC2HEX(_xlfn.UNICODE(I19))</f>
        <v>1E21</v>
      </c>
      <c r="BN20" s="1" t="n">
        <f aca="false">MIN(HEX2DEC(B20),HEX2DEC(C20),HEX2DEC(D20),HEX2DEC(E20),HEX2DEC(F20),HEX2DEC(G20),HEX2DEC(H20),HEX2DEC(I20))</f>
        <v>285</v>
      </c>
      <c r="BO20" s="1" t="n">
        <f aca="false">MAX(HEX2DEC(B20),HEX2DEC(C20),HEX2DEC(D20),HEX2DEC(E20),HEX2DEC(F20),HEX2DEC(G20),HEX2DEC(H20),HEX2DEC(I20),HEX2DEC(J20),HEX2DEC(K20))</f>
        <v>7713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D21" s="177" t="inlineStr">
        <is>
          <t xml:space="preserve">Ȟ</t>
        </is>
      </c>
      <c r="E21" s="177" t="inlineStr">
        <is>
          <t xml:space="preserve">Ḣ</t>
        </is>
      </c>
      <c r="F21" s="177" t="inlineStr">
        <is>
          <t xml:space="preserve">Ḥ</t>
        </is>
      </c>
      <c r="G21" s="177" t="inlineStr">
        <is>
          <t xml:space="preserve">Ḧ</t>
        </is>
      </c>
      <c r="H21" s="177" t="inlineStr">
        <is>
          <t xml:space="preserve">Ḩ</t>
        </is>
      </c>
      <c r="I21" s="177" t="inlineStr">
        <is>
          <t xml:space="preserve">Ḫ</t>
        </is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D22" s="177" t="str">
        <f aca="false">DEC2HEX(_xlfn.UNICODE(D21))</f>
        <v>21E</v>
      </c>
      <c r="E22" s="177" t="str">
        <f aca="false">DEC2HEX(_xlfn.UNICODE(E21))</f>
        <v>1E22</v>
      </c>
      <c r="F22" s="177" t="str">
        <f aca="false">DEC2HEX(_xlfn.UNICODE(F21))</f>
        <v>1E24</v>
      </c>
      <c r="G22" s="177" t="str">
        <f aca="false">DEC2HEX(_xlfn.UNICODE(G21))</f>
        <v>1E26</v>
      </c>
      <c r="H22" s="177" t="str">
        <f aca="false">DEC2HEX(_xlfn.UNICODE(H21))</f>
        <v>1E28</v>
      </c>
      <c r="I22" s="177" t="str">
        <f aca="false">DEC2HEX(_xlfn.UNICODE(I21))</f>
        <v>1E2A</v>
      </c>
      <c r="R22" s="177"/>
      <c r="BN22" s="1" t="n">
        <f aca="false">MIN(HEX2DEC(B22),HEX2DEC(C22),HEX2DEC(D22),HEX2DEC(E22),HEX2DEC(F22),HEX2DEC(G22),HEX2DEC(H22),HEX2DEC(I22))</f>
        <v>292</v>
      </c>
      <c r="BO22" s="1" t="n">
        <f aca="false">MAX(HEX2DEC(B22),HEX2DEC(C22),HEX2DEC(D22),HEX2DEC(E22),HEX2DEC(F22),HEX2DEC(G22),HEX2DEC(H22),HEX2DEC(I22),HEX2DEC(J22),HEX2DEC(K22))</f>
        <v>7722</v>
      </c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  <c r="D23" s="177" t="inlineStr">
        <is>
          <t xml:space="preserve">ȟ</t>
        </is>
      </c>
      <c r="E23" s="177" t="inlineStr">
        <is>
          <t xml:space="preserve">ḣ</t>
        </is>
      </c>
      <c r="F23" s="177" t="inlineStr">
        <is>
          <t xml:space="preserve">ḥ</t>
        </is>
      </c>
      <c r="G23" s="177" t="inlineStr">
        <is>
          <t xml:space="preserve">ḧ</t>
        </is>
      </c>
      <c r="H23" s="177" t="inlineStr">
        <is>
          <t xml:space="preserve">ḩ</t>
        </is>
      </c>
      <c r="I23" s="177" t="inlineStr">
        <is>
          <t xml:space="preserve">ḫ</t>
        </is>
      </c>
      <c r="J23" s="177" t="inlineStr">
        <is>
          <t xml:space="preserve">ẖ</t>
        </is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D24" s="177" t="str">
        <f aca="false">DEC2HEX(_xlfn.UNICODE(D23))</f>
        <v>21F</v>
      </c>
      <c r="E24" s="177" t="str">
        <f aca="false">DEC2HEX(_xlfn.UNICODE(E23))</f>
        <v>1E23</v>
      </c>
      <c r="F24" s="177" t="str">
        <f aca="false">DEC2HEX(_xlfn.UNICODE(F23))</f>
        <v>1E25</v>
      </c>
      <c r="G24" s="177" t="str">
        <f aca="false">DEC2HEX(_xlfn.UNICODE(G23))</f>
        <v>1E27</v>
      </c>
      <c r="H24" s="177" t="str">
        <f aca="false">DEC2HEX(_xlfn.UNICODE(H23))</f>
        <v>1E29</v>
      </c>
      <c r="I24" s="177" t="str">
        <f aca="false">DEC2HEX(_xlfn.UNICODE(I23))</f>
        <v>1E2B</v>
      </c>
      <c r="J24" s="177" t="str">
        <f aca="false">DEC2HEX(_xlfn.UNICODE(J23))</f>
        <v>1E96</v>
      </c>
      <c r="BN24" s="1" t="n">
        <f aca="false">MIN(HEX2DEC(B24),HEX2DEC(C24),HEX2DEC(D24),HEX2DEC(E24),HEX2DEC(F24),HEX2DEC(G24),HEX2DEC(H24),HEX2DEC(I24),HEX2DEC(J24))</f>
        <v>293</v>
      </c>
      <c r="BO24" s="1" t="n">
        <f aca="false">MAX(HEX2DEC(B24),HEX2DEC(C24),HEX2DEC(D24),HEX2DEC(E24),HEX2DEC(F24),HEX2DEC(G24),HEX2DEC(H24),HEX2DEC(I24),HEX2DEC(J24),HEX2DEC(K24))</f>
        <v>7830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  <c r="L25" s="177" t="inlineStr">
        <is>
          <t xml:space="preserve">Ȉ</t>
        </is>
      </c>
      <c r="M25" s="177" t="inlineStr">
        <is>
          <t xml:space="preserve">Ȋ</t>
        </is>
      </c>
      <c r="N25" s="177" t="inlineStr">
        <is>
          <t xml:space="preserve">Ǐ</t>
        </is>
      </c>
      <c r="O25" s="177" t="inlineStr">
        <is>
          <t xml:space="preserve">Ḭ</t>
        </is>
      </c>
      <c r="P25" s="177" t="inlineStr">
        <is>
          <t xml:space="preserve">Ḯ</t>
        </is>
      </c>
      <c r="Q25" s="177" t="inlineStr">
        <is>
          <t xml:space="preserve">Ỉ</t>
        </is>
      </c>
      <c r="R25" s="177" t="inlineStr">
        <is>
          <t xml:space="preserve">Ị</t>
        </is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L26" s="177" t="str">
        <f aca="false">DEC2HEX(_xlfn.UNICODE(L25))</f>
        <v>208</v>
      </c>
      <c r="M26" s="177" t="str">
        <f aca="false">DEC2HEX(_xlfn.UNICODE(M25))</f>
        <v>20A</v>
      </c>
      <c r="N26" s="177" t="str">
        <f aca="false">DEC2HEX(_xlfn.UNICODE(N25))</f>
        <v>1CF</v>
      </c>
      <c r="O26" s="177" t="str">
        <f aca="false">DEC2HEX(_xlfn.UNICODE(O25))</f>
        <v>1E2C</v>
      </c>
      <c r="P26" s="177" t="str">
        <f aca="false">DEC2HEX(_xlfn.UNICODE(P25))</f>
        <v>1E2E</v>
      </c>
      <c r="Q26" s="177" t="str">
        <f aca="false">DEC2HEX(_xlfn.UNICODE(Q25))</f>
        <v>1EC8</v>
      </c>
      <c r="R26" s="177" t="str">
        <f aca="false">DEC2HEX(_xlfn.UNICODE(R25))</f>
        <v>1ECA</v>
      </c>
      <c r="BN26" s="1" t="n">
        <f aca="false">MIN(HEX2DEC(B26),HEX2DEC(C26),HEX2DEC(D26),HEX2DEC(E26),HEX2DEC(F26),HEX2DEC(G26),HEX2DEC(H26),HEX2DEC(I26),HEX2DEC(J26),HEX2DEC(K26),HEX2DEC(L26),HEX2DEC(M26),HEX2DEC(N26),HEX2DEC(O26),HEX2DEC(P26),HEX2DEC(Q26),HEX2DEC(R26))</f>
        <v>204</v>
      </c>
      <c r="BO26" s="1" t="n">
        <f aca="false">MAX(HEX2DEC(B26),HEX2DEC(C26),HEX2DEC(D26),HEX2DEC(E26),HEX2DEC(F26),HEX2DEC(G26),HEX2DEC(H26),HEX2DEC(I26),HEX2DEC(J26),HEX2DEC(K26))</f>
        <v>7882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  <c r="L27" s="177" t="inlineStr">
        <is>
          <t xml:space="preserve">ȉ</t>
        </is>
      </c>
      <c r="M27" s="177" t="inlineStr">
        <is>
          <t xml:space="preserve">ȋ</t>
        </is>
      </c>
      <c r="N27" s="177" t="inlineStr">
        <is>
          <t xml:space="preserve">ǐ</t>
        </is>
      </c>
      <c r="O27" s="177" t="inlineStr">
        <is>
          <t xml:space="preserve">ḭ</t>
        </is>
      </c>
      <c r="P27" s="177" t="inlineStr">
        <is>
          <t xml:space="preserve">ḯ</t>
        </is>
      </c>
      <c r="Q27" s="177" t="inlineStr">
        <is>
          <t xml:space="preserve">ỉ</t>
        </is>
      </c>
      <c r="R27" s="177" t="inlineStr">
        <is>
          <t xml:space="preserve">ị</t>
        </is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L28" s="177" t="str">
        <f aca="false">DEC2HEX(_xlfn.UNICODE(L27))</f>
        <v>209</v>
      </c>
      <c r="M28" s="177" t="str">
        <f aca="false">DEC2HEX(_xlfn.UNICODE(M27))</f>
        <v>20B</v>
      </c>
      <c r="N28" s="177" t="str">
        <f aca="false">DEC2HEX(_xlfn.UNICODE(N27))</f>
        <v>1D0</v>
      </c>
      <c r="O28" s="177" t="str">
        <f aca="false">DEC2HEX(_xlfn.UNICODE(O27))</f>
        <v>1E2D</v>
      </c>
      <c r="P28" s="177" t="str">
        <f aca="false">DEC2HEX(_xlfn.UNICODE(P27))</f>
        <v>1E2F</v>
      </c>
      <c r="Q28" s="177" t="str">
        <f aca="false">DEC2HEX(_xlfn.UNICODE(Q27))</f>
        <v>1EC9</v>
      </c>
      <c r="R28" s="177" t="str">
        <f aca="false">DEC2HEX(_xlfn.UNICODE(R27))</f>
        <v>1ECB</v>
      </c>
      <c r="BN28" s="1" t="n">
        <f aca="false">MIN(HEX2DEC(B28),HEX2DEC(C28),HEX2DEC(D28),HEX2DEC(E28),HEX2DEC(F28),HEX2DEC(G28),HEX2DEC(H28),HEX2DEC(I28),HEX2DEC(J28),HEX2DEC(K28),HEX2DEC(L28),HEX2DEC(M28),HEX2DEC(N28),HEX2DEC(O28),HEX2DEC(P28),HEX2DEC(Q28),HEX2DEC(R28))</f>
        <v>236</v>
      </c>
      <c r="BO28" s="1" t="n">
        <f aca="false">MAX(HEX2DEC(B28),HEX2DEC(C28),HEX2DEC(D28),HEX2DEC(E28),HEX2DEC(F28),HEX2DEC(G28),HEX2DEC(H28),HEX2DEC(I28),HEX2DEC(J28),HEX2DEC(K28))</f>
        <v>7883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BN30" s="1" t="n">
        <f aca="false">MIN(HEX2DEC(B30))</f>
        <v>308</v>
      </c>
      <c r="B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  <c r="C31" s="177" t="inlineStr">
        <is>
          <t xml:space="preserve">ǰ</t>
        </is>
      </c>
    </row>
    <row r="32" customFormat="false" ht="12.8" hidden="false" customHeight="false" outlineLevel="0" collapsed="false">
      <c r="B32" s="177" t="str">
        <f aca="false">DEC2HEX(_xlfn.UNICODE(B31))</f>
        <v>135</v>
      </c>
      <c r="C32" s="177" t="str">
        <f aca="false">DEC2HEX(_xlfn.UNICODE(C31))</f>
        <v>1F0</v>
      </c>
      <c r="BN32" s="1" t="n">
        <f aca="false">MIN(HEX2DEC(B32),HEX2DEC(C32))</f>
        <v>309</v>
      </c>
      <c r="BO32" s="1" t="n">
        <f aca="false">MAX(HEX2DEC(B32),HEX2DEC(C32),HEX2DEC(D32),HEX2DEC(E32),HEX2DEC(F32),HEX2DEC(G32),HEX2DEC(H32),HEX2DEC(I32),HEX2DEC(J32),HEX2DEC(K32))</f>
        <v>496</v>
      </c>
    </row>
    <row r="33" customFormat="false" ht="12.8" hidden="false" customHeight="false" outlineLevel="0" collapsed="false">
      <c r="A33" s="176" t="s">
        <v>1169</v>
      </c>
      <c r="B33" s="177" t="s">
        <v>1498</v>
      </c>
      <c r="C33" s="177" t="inlineStr">
        <is>
          <t xml:space="preserve">Ǩ</t>
        </is>
      </c>
      <c r="D33" s="177" t="inlineStr">
        <is>
          <t xml:space="preserve">Ƙ</t>
        </is>
      </c>
      <c r="E33" s="177" t="inlineStr">
        <is>
          <t xml:space="preserve">Ḱ</t>
        </is>
      </c>
      <c r="F33" s="177" t="inlineStr">
        <is>
          <t xml:space="preserve">Ḳ</t>
        </is>
      </c>
      <c r="G33" s="177" t="inlineStr">
        <is>
          <t xml:space="preserve">Ḵ</t>
        </is>
      </c>
    </row>
    <row r="34" customFormat="false" ht="12.8" hidden="false" customHeight="false" outlineLevel="0" collapsed="false">
      <c r="B34" s="177" t="str">
        <f aca="false">DEC2HEX(_xlfn.UNICODE(B33))</f>
        <v>136</v>
      </c>
      <c r="C34" s="177" t="str">
        <f aca="false">DEC2HEX(_xlfn.UNICODE(C33))</f>
        <v>1E8</v>
      </c>
      <c r="D34" s="177" t="str">
        <f aca="false">DEC2HEX(_xlfn.UNICODE(D33))</f>
        <v>198</v>
      </c>
      <c r="E34" s="177" t="str">
        <f aca="false">DEC2HEX(_xlfn.UNICODE(E33))</f>
        <v>1E30</v>
      </c>
      <c r="F34" s="177" t="str">
        <f aca="false">DEC2HEX(_xlfn.UNICODE(F33))</f>
        <v>1E32</v>
      </c>
      <c r="G34" s="177" t="str">
        <f aca="false">DEC2HEX(_xlfn.UNICODE(G33))</f>
        <v>1E34</v>
      </c>
      <c r="BN34" s="1" t="n">
        <f aca="false">MIN(HEX2DEC(B34),HEX2DEC(C34),HEX2DEC(D34),HEX2DEC(E34),HEX2DEC(F34),HEX2DEC(G34))</f>
        <v>310</v>
      </c>
      <c r="BO34" s="1" t="n">
        <f aca="false">MAX(HEX2DEC(B34),HEX2DEC(C34),HEX2DEC(D34),HEX2DEC(E34),HEX2DEC(F34),HEX2DEC(G34),HEX2DEC(H34),HEX2DEC(I34),HEX2DEC(J34),HEX2DEC(K34))</f>
        <v>7732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  <c r="D35" s="177" t="inlineStr">
        <is>
          <t xml:space="preserve">ǩ</t>
        </is>
      </c>
      <c r="E35" s="177" t="inlineStr">
        <is>
          <t xml:space="preserve">ƙ</t>
        </is>
      </c>
      <c r="F35" s="177" t="inlineStr">
        <is>
          <t xml:space="preserve">ḱ</t>
        </is>
      </c>
      <c r="G35" s="177" t="inlineStr">
        <is>
          <t xml:space="preserve">ḳ</t>
        </is>
      </c>
      <c r="H35" s="177" t="inlineStr">
        <is>
          <t xml:space="preserve">ḵ</t>
        </is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D36" s="177" t="str">
        <f aca="false">DEC2HEX(_xlfn.UNICODE(D35))</f>
        <v>1E9</v>
      </c>
      <c r="E36" s="177" t="str">
        <f aca="false">DEC2HEX(_xlfn.UNICODE(E35))</f>
        <v>199</v>
      </c>
      <c r="F36" s="177" t="str">
        <f aca="false">DEC2HEX(_xlfn.UNICODE(F35))</f>
        <v>1E31</v>
      </c>
      <c r="G36" s="177" t="str">
        <f aca="false">DEC2HEX(_xlfn.UNICODE(G35))</f>
        <v>1E33</v>
      </c>
      <c r="H36" s="177" t="str">
        <f aca="false">DEC2HEX(_xlfn.UNICODE(H35))</f>
        <v>1E35</v>
      </c>
      <c r="BN36" s="1" t="n">
        <f aca="false">MIN(HEX2DEC(B36),HEX2DEC(C36),HEX2DEC(D36),HEX2DEC(E36),HEX2DEC(F36),HEX2DEC(G36),HEX2DEC(H36))</f>
        <v>311</v>
      </c>
      <c r="BO36" s="1" t="n">
        <f aca="false">MAX(HEX2DEC(B36),HEX2DEC(C36),HEX2DEC(D36),HEX2DEC(E36),HEX2DEC(F36),HEX2DEC(G36),HEX2DEC(H36),HEX2DEC(I36),HEX2DEC(J36),HEX2DEC(K36))</f>
        <v>7733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  <c r="G37" s="177" t="inlineStr">
        <is>
          <t xml:space="preserve">Ḷ</t>
        </is>
      </c>
      <c r="H37" s="177" t="inlineStr">
        <is>
          <t xml:space="preserve">Ḹ</t>
        </is>
      </c>
      <c r="I37" s="177" t="inlineStr">
        <is>
          <t xml:space="preserve">Ḻ</t>
        </is>
      </c>
      <c r="J37" s="177" t="inlineStr">
        <is>
          <t xml:space="preserve">Ḽ</t>
        </is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G38" s="177" t="str">
        <f aca="false">DEC2HEX(_xlfn.UNICODE(G37))</f>
        <v>1E36</v>
      </c>
      <c r="H38" s="177" t="str">
        <f aca="false">DEC2HEX(_xlfn.UNICODE(H37))</f>
        <v>1E38</v>
      </c>
      <c r="I38" s="177" t="str">
        <f aca="false">DEC2HEX(_xlfn.UNICODE(I37))</f>
        <v>1E3A</v>
      </c>
      <c r="J38" s="177" t="str">
        <f aca="false">DEC2HEX(_xlfn.UNICODE(J37))</f>
        <v>1E3C</v>
      </c>
      <c r="BN38" s="1" t="n">
        <f aca="false">MIN(HEX2DEC(B38),HEX2DEC(C38),HEX2DEC(D38),HEX2DEC(E38),HEX2DEC(F38),HEX2DEC(G38),HEX2DEC(H38),HEX2DEC(I38),HEX2DEC(J38))</f>
        <v>313</v>
      </c>
      <c r="BO38" s="1" t="n">
        <f aca="false">MAX(HEX2DEC(B38),HEX2DEC(C38),HEX2DEC(D38),HEX2DEC(E38),HEX2DEC(F38),HEX2DEC(G38),HEX2DEC(H38),HEX2DEC(I38),HEX2DEC(J38),HEX2DEC(K38))</f>
        <v>7740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  <c r="G39" s="177" t="inlineStr">
        <is>
          <t xml:space="preserve">ḷ</t>
        </is>
      </c>
      <c r="H39" s="177" t="inlineStr">
        <is>
          <t xml:space="preserve">ḹ</t>
        </is>
      </c>
      <c r="I39" s="177" t="inlineStr">
        <is>
          <t xml:space="preserve">ḻ</t>
        </is>
      </c>
      <c r="J39" s="177" t="inlineStr">
        <is>
          <t xml:space="preserve">ḽ</t>
        </is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G40" s="177" t="str">
        <f aca="false">DEC2HEX(_xlfn.UNICODE(G39))</f>
        <v>1E37</v>
      </c>
      <c r="H40" s="177" t="str">
        <f aca="false">DEC2HEX(_xlfn.UNICODE(H39))</f>
        <v>1E39</v>
      </c>
      <c r="I40" s="177" t="str">
        <f aca="false">DEC2HEX(_xlfn.UNICODE(I39))</f>
        <v>1E3B</v>
      </c>
      <c r="J40" s="177" t="str">
        <f aca="false">DEC2HEX(_xlfn.UNICODE(J39))</f>
        <v>1E3D</v>
      </c>
      <c r="BN40" s="1" t="n">
        <f aca="false">MIN(HEX2DEC(B40),HEX2DEC(C40),HEX2DEC(D40),HEX2DEC(E40),HEX2DEC(F40),HEX2DEC(G40),HEX2DEC(H40),HEX2DEC(I40),HEX2DEC(J40))</f>
        <v>314</v>
      </c>
      <c r="BO40" s="1" t="n">
        <f aca="false">MAX(HEX2DEC(B40),HEX2DEC(C40),HEX2DEC(D40),HEX2DEC(E40),HEX2DEC(F40),HEX2DEC(G40),HEX2DEC(H40),HEX2DEC(I40),HEX2DEC(J40),HEX2DEC(K40))</f>
        <v>7741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  <c r="G41" s="177" t="inlineStr">
        <is>
          <t xml:space="preserve">Ǹ</t>
        </is>
      </c>
      <c r="H41" s="177" t="inlineStr">
        <is>
          <t xml:space="preserve">Ɲ</t>
        </is>
      </c>
      <c r="I41" s="177" t="inlineStr">
        <is>
          <t xml:space="preserve">Ṅ</t>
        </is>
      </c>
      <c r="J41" s="177" t="inlineStr">
        <is>
          <t xml:space="preserve">Ṇ</t>
        </is>
      </c>
      <c r="K41" s="177" t="inlineStr">
        <is>
          <t xml:space="preserve">Ṉ</t>
        </is>
      </c>
      <c r="L41" s="177" t="inlineStr">
        <is>
          <t xml:space="preserve">Ṋ</t>
        </is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G42" s="177" t="str">
        <f aca="false">DEC2HEX(_xlfn.UNICODE(G41))</f>
        <v>1F8</v>
      </c>
      <c r="H42" s="177" t="str">
        <f aca="false">DEC2HEX(_xlfn.UNICODE(H41))</f>
        <v>19D</v>
      </c>
      <c r="I42" s="177" t="str">
        <f aca="false">DEC2HEX(_xlfn.UNICODE(I41))</f>
        <v>1E44</v>
      </c>
      <c r="J42" s="177" t="str">
        <f aca="false">DEC2HEX(_xlfn.UNICODE(J41))</f>
        <v>1E46</v>
      </c>
      <c r="K42" s="177" t="str">
        <f aca="false">DEC2HEX(_xlfn.UNICODE(K41))</f>
        <v>1E48</v>
      </c>
      <c r="L42" s="177" t="str">
        <f aca="false">DEC2HEX(_xlfn.UNICODE(L41))</f>
        <v>1E4A</v>
      </c>
      <c r="BN42" s="1" t="n">
        <f aca="false">MIN(HEX2DEC(B42),HEX2DEC(C42),HEX2DEC(D42),HEX2DEC(E42),HEX2DEC(F42),HEX2DEC(G42),HEX2DEC(H42),HEX2DEC(I42),HEX2DEC(J42),HEX2DEC(K42),HEX2DEC(L42))</f>
        <v>209</v>
      </c>
      <c r="BO42" s="1" t="n">
        <f aca="false">MAX(HEX2DEC(B42),HEX2DEC(C42),HEX2DEC(D42),HEX2DEC(E42),HEX2DEC(F42),HEX2DEC(G42),HEX2DEC(H42),HEX2DEC(I42),HEX2DEC(J42),HEX2DEC(K42))</f>
        <v>7754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  <c r="H43" s="177" t="inlineStr">
        <is>
          <t xml:space="preserve">ǹ</t>
        </is>
      </c>
      <c r="I43" s="177" t="inlineStr">
        <is>
          <t xml:space="preserve">ɲ</t>
        </is>
      </c>
      <c r="J43" s="177" t="inlineStr">
        <is>
          <t xml:space="preserve">ṅ</t>
        </is>
      </c>
      <c r="K43" s="177" t="inlineStr">
        <is>
          <t xml:space="preserve">ṇ</t>
        </is>
      </c>
      <c r="L43" s="177" t="inlineStr">
        <is>
          <t xml:space="preserve">ṉ</t>
        </is>
      </c>
      <c r="M43" s="177" t="inlineStr">
        <is>
          <t xml:space="preserve">ṋ</t>
        </is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H44" s="177" t="str">
        <f aca="false">DEC2HEX(_xlfn.UNICODE(H43))</f>
        <v>1F9</v>
      </c>
      <c r="I44" s="177" t="str">
        <f aca="false">DEC2HEX(_xlfn.UNICODE(I43))</f>
        <v>272</v>
      </c>
      <c r="J44" s="177" t="str">
        <f aca="false">DEC2HEX(_xlfn.UNICODE(J43))</f>
        <v>1E45</v>
      </c>
      <c r="K44" s="177" t="str">
        <f aca="false">DEC2HEX(_xlfn.UNICODE(K43))</f>
        <v>1E47</v>
      </c>
      <c r="L44" s="177" t="str">
        <f aca="false">DEC2HEX(_xlfn.UNICODE(L43))</f>
        <v>1E49</v>
      </c>
      <c r="M44" s="177" t="str">
        <f aca="false">DEC2HEX(_xlfn.UNICODE(M43))</f>
        <v>1E4B</v>
      </c>
      <c r="BN44" s="1" t="n">
        <f aca="false">MIN(HEX2DEC(B44),HEX2DEC(C44),HEX2DEC(D44),HEX2DEC(E44),HEX2DEC(F44),HEX2DEC(G44),HEX2DEC(H44),HEX2DEC(I44),HEX2DEC(J44),HEX2DEC(K44),HEX2DEC(L44),HEX2DEC(M44))</f>
        <v>241</v>
      </c>
      <c r="BO44" s="1" t="n">
        <f aca="false">MAX(HEX2DEC(B44),HEX2DEC(C44),HEX2DEC(D44),HEX2DEC(E44),HEX2DEC(F44),HEX2DEC(G44),HEX2DEC(H44),HEX2DEC(I44),HEX2DEC(J44),HEX2DEC(K44))</f>
        <v>7755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  <c r="L45" s="177" t="inlineStr">
        <is>
          <t xml:space="preserve">Ȍ</t>
        </is>
      </c>
      <c r="M45" s="177" t="inlineStr">
        <is>
          <t xml:space="preserve">Ȏ</t>
        </is>
      </c>
      <c r="N45" s="177" t="inlineStr">
        <is>
          <t xml:space="preserve">Ǫ</t>
        </is>
      </c>
      <c r="O45" s="177" t="inlineStr">
        <is>
          <t xml:space="preserve">Ọ</t>
        </is>
      </c>
      <c r="P45" s="177" t="inlineStr">
        <is>
          <t xml:space="preserve">Ơ</t>
        </is>
      </c>
      <c r="Q45" s="177" t="inlineStr">
        <is>
          <t xml:space="preserve">Ǒ</t>
        </is>
      </c>
      <c r="R45" s="177" t="inlineStr">
        <is>
          <t xml:space="preserve">Ǭ</t>
        </is>
      </c>
      <c r="S45" s="177" t="inlineStr">
        <is>
          <t xml:space="preserve">Ȫ</t>
        </is>
      </c>
      <c r="T45" s="177" t="inlineStr">
        <is>
          <t xml:space="preserve">Ȭ</t>
        </is>
      </c>
      <c r="U45" s="177" t="inlineStr">
        <is>
          <t xml:space="preserve">Ȯ</t>
        </is>
      </c>
      <c r="V45" s="177" t="inlineStr">
        <is>
          <t xml:space="preserve">Ȱ</t>
        </is>
      </c>
      <c r="W45" s="177" t="inlineStr">
        <is>
          <t xml:space="preserve">Ṍ</t>
        </is>
      </c>
      <c r="X45" s="177" t="inlineStr">
        <is>
          <t xml:space="preserve">Ṏ</t>
        </is>
      </c>
      <c r="Y45" s="177" t="inlineStr">
        <is>
          <t xml:space="preserve">Ṑ</t>
        </is>
      </c>
      <c r="Z45" s="177" t="inlineStr">
        <is>
          <t xml:space="preserve">Ṓ</t>
        </is>
      </c>
      <c r="AA45" s="177" t="inlineStr">
        <is>
          <t xml:space="preserve">Ỏ</t>
        </is>
      </c>
      <c r="AB45" s="177" t="inlineStr">
        <is>
          <t xml:space="preserve">Ố</t>
        </is>
      </c>
      <c r="AC45" s="177" t="inlineStr">
        <is>
          <t xml:space="preserve">Ồ</t>
        </is>
      </c>
      <c r="AD45" s="177" t="inlineStr">
        <is>
          <t xml:space="preserve">Ổ</t>
        </is>
      </c>
      <c r="AE45" s="177" t="inlineStr">
        <is>
          <t xml:space="preserve">Ỗ</t>
        </is>
      </c>
      <c r="AF45" s="177" t="inlineStr">
        <is>
          <t xml:space="preserve">Ộ</t>
        </is>
      </c>
      <c r="AG45" s="177" t="inlineStr">
        <is>
          <t xml:space="preserve">Ớ</t>
        </is>
      </c>
      <c r="AH45" s="177" t="inlineStr">
        <is>
          <t xml:space="preserve">Ờ</t>
        </is>
      </c>
      <c r="AI45" s="177" t="inlineStr">
        <is>
          <t xml:space="preserve">Ở</t>
        </is>
      </c>
      <c r="AJ45" s="177" t="inlineStr">
        <is>
          <t xml:space="preserve">Ỡ</t>
        </is>
      </c>
      <c r="AK45" s="177" t="inlineStr">
        <is>
          <t xml:space="preserve">Ợ</t>
        </is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L46" s="177" t="str">
        <f aca="false">DEC2HEX(_xlfn.UNICODE(L45))</f>
        <v>20C</v>
      </c>
      <c r="M46" s="177" t="str">
        <f aca="false">DEC2HEX(_xlfn.UNICODE(M45))</f>
        <v>20E</v>
      </c>
      <c r="N46" s="177" t="str">
        <f aca="false">DEC2HEX(_xlfn.UNICODE(N45))</f>
        <v>1EA</v>
      </c>
      <c r="O46" s="177" t="str">
        <f aca="false">DEC2HEX(_xlfn.UNICODE(O45))</f>
        <v>1ECC</v>
      </c>
      <c r="P46" s="177" t="str">
        <f aca="false">DEC2HEX(_xlfn.UNICODE(P45))</f>
        <v>1A0</v>
      </c>
      <c r="Q46" s="177" t="str">
        <f aca="false">DEC2HEX(_xlfn.UNICODE(Q45))</f>
        <v>1D1</v>
      </c>
      <c r="R46" s="177" t="str">
        <f aca="false">DEC2HEX(_xlfn.UNICODE(R45))</f>
        <v>1EC</v>
      </c>
      <c r="S46" s="177" t="str">
        <f aca="false">DEC2HEX(_xlfn.UNICODE(S45))</f>
        <v>22A</v>
      </c>
      <c r="T46" s="177" t="str">
        <f aca="false">DEC2HEX(_xlfn.UNICODE(T45))</f>
        <v>22C</v>
      </c>
      <c r="U46" s="177" t="str">
        <f aca="false">DEC2HEX(_xlfn.UNICODE(U45))</f>
        <v>22E</v>
      </c>
      <c r="V46" s="177" t="str">
        <f aca="false">DEC2HEX(_xlfn.UNICODE(V45))</f>
        <v>230</v>
      </c>
      <c r="W46" s="177" t="str">
        <f aca="false">DEC2HEX(_xlfn.UNICODE(W45))</f>
        <v>1E4C</v>
      </c>
      <c r="X46" s="177" t="str">
        <f aca="false">DEC2HEX(_xlfn.UNICODE(X45))</f>
        <v>1E4E</v>
      </c>
      <c r="Y46" s="177" t="str">
        <f aca="false">DEC2HEX(_xlfn.UNICODE(Y45))</f>
        <v>1E50</v>
      </c>
      <c r="Z46" s="177" t="str">
        <f aca="false">DEC2HEX(_xlfn.UNICODE(Z45))</f>
        <v>1E52</v>
      </c>
      <c r="AA46" s="177" t="str">
        <f aca="false">DEC2HEX(_xlfn.UNICODE(AA45))</f>
        <v>1ECE</v>
      </c>
      <c r="AB46" s="177" t="str">
        <f aca="false">DEC2HEX(_xlfn.UNICODE(AB45))</f>
        <v>1ED0</v>
      </c>
      <c r="AC46" s="177" t="str">
        <f aca="false">DEC2HEX(_xlfn.UNICODE(AC45))</f>
        <v>1ED2</v>
      </c>
      <c r="AD46" s="177" t="str">
        <f aca="false">DEC2HEX(_xlfn.UNICODE(AD45))</f>
        <v>1ED4</v>
      </c>
      <c r="AE46" s="177" t="str">
        <f aca="false">DEC2HEX(_xlfn.UNICODE(AE45))</f>
        <v>1ED6</v>
      </c>
      <c r="AF46" s="177" t="str">
        <f aca="false">DEC2HEX(_xlfn.UNICODE(AF45))</f>
        <v>1ED8</v>
      </c>
      <c r="AG46" s="177" t="str">
        <f aca="false">DEC2HEX(_xlfn.UNICODE(AG45))</f>
        <v>1EDA</v>
      </c>
      <c r="AH46" s="177" t="str">
        <f aca="false">DEC2HEX(_xlfn.UNICODE(AH45))</f>
        <v>1EDC</v>
      </c>
      <c r="AI46" s="177" t="str">
        <f aca="false">DEC2HEX(_xlfn.UNICODE(AI45))</f>
        <v>1EDE</v>
      </c>
      <c r="AJ46" s="177" t="str">
        <f aca="false">DEC2HEX(_xlfn.UNICODE(AJ45))</f>
        <v>1EE0</v>
      </c>
      <c r="AK46" s="177" t="str">
        <f aca="false">DEC2HEX(_xlfn.UNICODE(AK45))</f>
        <v>1EE2</v>
      </c>
      <c r="BN46" s="1" t="n">
        <f aca="false">MIN(HEX2DEC(B46),HEX2DEC(C46),HEX2DEC(D46),HEX2DEC(E46),HEX2DEC(F46),HEX2DEC(G46),HEX2DEC(H46),HEX2DEC(I46),HEX2DEC(J46),HEX2DEC(K46),HEX2DEC(L46),HEX2DEC(M46),HEX2DEC(N46),HEX2DEC(O46),HEX2DEC(P46),HEX2DEC(Q46),HEX2DEC(R46),HEX2DEC(S46),HEX2DEC(T46),HEX2DEC(U46),HEX2DEC(V46),HEX2DEC(W46),HEX2DEC(X46),HEX2DEC(Y46),HEX2DEC(Z46),HEX2DEC(AA46),HEX2DEC(AB46),HEX2DEC(AC46),HEX2DEC(AD46),HEX2DEC(AE46),HEX2DEC(AF46),HEX2DEC(AG46),HEX2DEC(AH46),HEX2DEC(AI46),HEX2DEC(AJ46),HEX2DEC(AK46))</f>
        <v>210</v>
      </c>
      <c r="BO46" s="1" t="n">
        <f aca="false">MAX(HEX2DEC(B46),HEX2DEC(C46),HEX2DEC(D46),HEX2DEC(E46),HEX2DEC(F46),HEX2DEC(G46),HEX2DEC(H46),HEX2DEC(I46),HEX2DEC(J46),HEX2DEC(K46))</f>
        <v>7906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  <c r="L47" s="177" t="inlineStr">
        <is>
          <t xml:space="preserve">ȍ</t>
        </is>
      </c>
      <c r="M47" s="177" t="inlineStr">
        <is>
          <t xml:space="preserve">ȏ</t>
        </is>
      </c>
      <c r="N47" s="177" t="inlineStr">
        <is>
          <t xml:space="preserve">ǫ</t>
        </is>
      </c>
      <c r="O47" s="177" t="inlineStr">
        <is>
          <t xml:space="preserve">ọ</t>
        </is>
      </c>
      <c r="P47" s="177" t="inlineStr">
        <is>
          <t xml:space="preserve">ơ</t>
        </is>
      </c>
      <c r="Q47" s="177" t="inlineStr">
        <is>
          <t xml:space="preserve">ǒ</t>
        </is>
      </c>
      <c r="R47" s="177" t="inlineStr">
        <is>
          <t xml:space="preserve">ǭ</t>
        </is>
      </c>
      <c r="S47" s="177" t="inlineStr">
        <is>
          <t xml:space="preserve">ȫ</t>
        </is>
      </c>
      <c r="T47" s="177" t="inlineStr">
        <is>
          <t xml:space="preserve">ȭ</t>
        </is>
      </c>
      <c r="U47" s="177" t="inlineStr">
        <is>
          <t xml:space="preserve">ȯ</t>
        </is>
      </c>
      <c r="V47" s="177" t="inlineStr">
        <is>
          <t xml:space="preserve">ȱ</t>
        </is>
      </c>
      <c r="W47" s="177" t="inlineStr">
        <is>
          <t xml:space="preserve">ṍ</t>
        </is>
      </c>
      <c r="X47" s="177" t="inlineStr">
        <is>
          <t xml:space="preserve">ṏ</t>
        </is>
      </c>
      <c r="Y47" s="177" t="inlineStr">
        <is>
          <t xml:space="preserve">ṑ</t>
        </is>
      </c>
      <c r="Z47" s="177" t="inlineStr">
        <is>
          <t xml:space="preserve">ṓ</t>
        </is>
      </c>
      <c r="AA47" s="177" t="inlineStr">
        <is>
          <t xml:space="preserve">ỏ</t>
        </is>
      </c>
      <c r="AB47" s="177" t="inlineStr">
        <is>
          <t xml:space="preserve">ố</t>
        </is>
      </c>
      <c r="AC47" s="177" t="inlineStr">
        <is>
          <t xml:space="preserve">ồ</t>
        </is>
      </c>
      <c r="AD47" s="177" t="inlineStr">
        <is>
          <t xml:space="preserve">ổ</t>
        </is>
      </c>
      <c r="AE47" s="177" t="inlineStr">
        <is>
          <t xml:space="preserve">ỗ</t>
        </is>
      </c>
      <c r="AF47" s="177" t="inlineStr">
        <is>
          <t xml:space="preserve">ộ</t>
        </is>
      </c>
      <c r="AG47" s="177" t="inlineStr">
        <is>
          <t xml:space="preserve">ớ</t>
        </is>
      </c>
      <c r="AH47" s="177" t="inlineStr">
        <is>
          <t xml:space="preserve">ờ</t>
        </is>
      </c>
      <c r="AI47" s="177" t="inlineStr">
        <is>
          <t xml:space="preserve">ở</t>
        </is>
      </c>
      <c r="AJ47" s="177" t="inlineStr">
        <is>
          <t xml:space="preserve">ỡ</t>
        </is>
      </c>
      <c r="AK47" s="177" t="inlineStr">
        <is>
          <t xml:space="preserve">ợ</t>
        </is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L48" s="177" t="str">
        <f aca="false">DEC2HEX(_xlfn.UNICODE(L47))</f>
        <v>20D</v>
      </c>
      <c r="M48" s="177" t="str">
        <f aca="false">DEC2HEX(_xlfn.UNICODE(M47))</f>
        <v>20F</v>
      </c>
      <c r="N48" s="177" t="str">
        <f aca="false">DEC2HEX(_xlfn.UNICODE(N47))</f>
        <v>1EB</v>
      </c>
      <c r="O48" s="177" t="str">
        <f aca="false">DEC2HEX(_xlfn.UNICODE(O47))</f>
        <v>1ECD</v>
      </c>
      <c r="P48" s="177" t="str">
        <f aca="false">DEC2HEX(_xlfn.UNICODE(P47))</f>
        <v>1A1</v>
      </c>
      <c r="Q48" s="177" t="str">
        <f aca="false">DEC2HEX(_xlfn.UNICODE(Q47))</f>
        <v>1D2</v>
      </c>
      <c r="R48" s="177" t="str">
        <f aca="false">DEC2HEX(_xlfn.UNICODE(R47))</f>
        <v>1ED</v>
      </c>
      <c r="S48" s="177" t="str">
        <f aca="false">DEC2HEX(_xlfn.UNICODE(S47))</f>
        <v>22B</v>
      </c>
      <c r="T48" s="177" t="str">
        <f aca="false">DEC2HEX(_xlfn.UNICODE(T47))</f>
        <v>22D</v>
      </c>
      <c r="U48" s="177" t="str">
        <f aca="false">DEC2HEX(_xlfn.UNICODE(U47))</f>
        <v>22F</v>
      </c>
      <c r="V48" s="177" t="str">
        <f aca="false">DEC2HEX(_xlfn.UNICODE(V47))</f>
        <v>231</v>
      </c>
      <c r="W48" s="177" t="str">
        <f aca="false">DEC2HEX(_xlfn.UNICODE(W47))</f>
        <v>1E4D</v>
      </c>
      <c r="X48" s="177" t="str">
        <f aca="false">DEC2HEX(_xlfn.UNICODE(X47))</f>
        <v>1E4F</v>
      </c>
      <c r="Y48" s="177" t="str">
        <f aca="false">DEC2HEX(_xlfn.UNICODE(Y47))</f>
        <v>1E51</v>
      </c>
      <c r="Z48" s="177" t="str">
        <f aca="false">DEC2HEX(_xlfn.UNICODE(Z47))</f>
        <v>1E53</v>
      </c>
      <c r="AA48" s="177" t="str">
        <f aca="false">DEC2HEX(_xlfn.UNICODE(AA47))</f>
        <v>1ECF</v>
      </c>
      <c r="AB48" s="177" t="str">
        <f aca="false">DEC2HEX(_xlfn.UNICODE(AB47))</f>
        <v>1ED1</v>
      </c>
      <c r="AC48" s="177" t="str">
        <f aca="false">DEC2HEX(_xlfn.UNICODE(AC47))</f>
        <v>1ED3</v>
      </c>
      <c r="AD48" s="177" t="str">
        <f aca="false">DEC2HEX(_xlfn.UNICODE(AD47))</f>
        <v>1ED5</v>
      </c>
      <c r="AE48" s="177" t="str">
        <f aca="false">DEC2HEX(_xlfn.UNICODE(AE47))</f>
        <v>1ED7</v>
      </c>
      <c r="AF48" s="177" t="str">
        <f aca="false">DEC2HEX(_xlfn.UNICODE(AF47))</f>
        <v>1ED9</v>
      </c>
      <c r="AG48" s="177" t="str">
        <f aca="false">DEC2HEX(_xlfn.UNICODE(AG47))</f>
        <v>1EDB</v>
      </c>
      <c r="AH48" s="177" t="str">
        <f aca="false">DEC2HEX(_xlfn.UNICODE(AH47))</f>
        <v>1EDD</v>
      </c>
      <c r="AI48" s="177" t="str">
        <f aca="false">DEC2HEX(_xlfn.UNICODE(AI47))</f>
        <v>1EDF</v>
      </c>
      <c r="AJ48" s="177" t="str">
        <f aca="false">DEC2HEX(_xlfn.UNICODE(AJ47))</f>
        <v>1EE1</v>
      </c>
      <c r="AK48" s="177" t="str">
        <f aca="false">DEC2HEX(_xlfn.UNICODE(AK47))</f>
        <v>1EE3</v>
      </c>
      <c r="BN48" s="1" t="n">
        <f aca="false">MIN(HEX2DEC(B48),HEX2DEC(C48),HEX2DEC(D48),HEX2DEC(E48),HEX2DEC(F48),HEX2DEC(G48),HEX2DEC(H48),HEX2DEC(I48),HEX2DEC(J48),HEX2DEC(K48),HEX2DEC(L48),HEX2DEC(M48),HEX2DEC(N48),HEX2DEC(O48),HEX2DEC(P48),HEX2DEC(Q48),HEX2DEC(R48),HEX2DEC(S48),HEX2DEC(T48),HEX2DEC(U48),HEX2DEC(V48),HEX2DEC(W48),HEX2DEC(X48),HEX2DEC(Y48),HEX2DEC(Z48),HEX2DEC(AA48),HEX2DEC(AB48),HEX2DEC(AC48),HEX2DEC(AD48),HEX2DEC(AE48),HEX2DEC(AF48),HEX2DEC(AG48),HEX2DEC(AH48),HEX2DEC(AI48),HEX2DEC(AJ48),HEX2DEC(AK48))</f>
        <v>242</v>
      </c>
      <c r="BO48" s="1" t="n">
        <f aca="false">MAX(HEX2DEC(B48),HEX2DEC(C48),HEX2DEC(D48),HEX2DEC(E48),HEX2DEC(F48),HEX2DEC(G48),HEX2DEC(H48),HEX2DEC(I48),HEX2DEC(J48),HEX2DEC(K48))</f>
        <v>7907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  <c r="E49" s="177" t="inlineStr">
        <is>
          <t xml:space="preserve">Ȑ</t>
        </is>
      </c>
      <c r="F49" s="177" t="inlineStr">
        <is>
          <t xml:space="preserve">Ȓ</t>
        </is>
      </c>
      <c r="G49" s="177" t="inlineStr">
        <is>
          <t xml:space="preserve">Ṙ</t>
        </is>
      </c>
      <c r="H49" s="177" t="inlineStr">
        <is>
          <t xml:space="preserve">Ṛ</t>
        </is>
      </c>
      <c r="I49" s="177" t="inlineStr">
        <is>
          <t xml:space="preserve">Ṝ</t>
        </is>
      </c>
      <c r="J49" s="177" t="inlineStr">
        <is>
          <t xml:space="preserve">Ṟ</t>
        </is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E50" s="177" t="str">
        <f aca="false">DEC2HEX(_xlfn.UNICODE(E49))</f>
        <v>210</v>
      </c>
      <c r="F50" s="177" t="str">
        <f aca="false">DEC2HEX(_xlfn.UNICODE(F49))</f>
        <v>212</v>
      </c>
      <c r="G50" s="177" t="str">
        <f aca="false">DEC2HEX(_xlfn.UNICODE(G49))</f>
        <v>1E58</v>
      </c>
      <c r="H50" s="177" t="str">
        <f aca="false">DEC2HEX(_xlfn.UNICODE(H49))</f>
        <v>1E5A</v>
      </c>
      <c r="I50" s="177" t="str">
        <f aca="false">DEC2HEX(_xlfn.UNICODE(I49))</f>
        <v>1E5C</v>
      </c>
      <c r="J50" s="177" t="str">
        <f aca="false">DEC2HEX(_xlfn.UNICODE(J49))</f>
        <v>1E5E</v>
      </c>
      <c r="BN50" s="1" t="n">
        <f aca="false">MIN(HEX2DEC(B50),HEX2DEC(C50),HEX2DEC(D50),HEX2DEC(E50),HEX2DEC(F50),HEX2DEC(G50),HEX2DEC(H50),HEX2DEC(I50),HEX2DEC(J50))</f>
        <v>340</v>
      </c>
      <c r="BO50" s="1" t="n">
        <f aca="false">MAX(HEX2DEC(B50),HEX2DEC(C50),HEX2DEC(D50),HEX2DEC(E50),HEX2DEC(F50),HEX2DEC(G50),HEX2DEC(H50),HEX2DEC(I50),HEX2DEC(J50),HEX2DEC(K50))</f>
        <v>7774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  <c r="E51" s="177" t="inlineStr">
        <is>
          <t xml:space="preserve">ȑ</t>
        </is>
      </c>
      <c r="F51" s="177" t="inlineStr">
        <is>
          <t xml:space="preserve">ȓ</t>
        </is>
      </c>
      <c r="G51" s="177" t="inlineStr">
        <is>
          <t xml:space="preserve">ṙ</t>
        </is>
      </c>
      <c r="H51" s="177" t="inlineStr">
        <is>
          <t xml:space="preserve">ṛ</t>
        </is>
      </c>
      <c r="I51" s="177" t="inlineStr">
        <is>
          <t xml:space="preserve">ṝ</t>
        </is>
      </c>
      <c r="J51" s="177" t="inlineStr">
        <is>
          <t xml:space="preserve">ṟ</t>
        </is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E52" s="177" t="str">
        <f aca="false">DEC2HEX(_xlfn.UNICODE(E51))</f>
        <v>211</v>
      </c>
      <c r="F52" s="177" t="str">
        <f aca="false">DEC2HEX(_xlfn.UNICODE(F51))</f>
        <v>213</v>
      </c>
      <c r="G52" s="177" t="str">
        <f aca="false">DEC2HEX(_xlfn.UNICODE(G51))</f>
        <v>1E59</v>
      </c>
      <c r="H52" s="177" t="str">
        <f aca="false">DEC2HEX(_xlfn.UNICODE(H51))</f>
        <v>1E5B</v>
      </c>
      <c r="I52" s="177" t="str">
        <f aca="false">DEC2HEX(_xlfn.UNICODE(I51))</f>
        <v>1E5D</v>
      </c>
      <c r="J52" s="177" t="str">
        <f aca="false">DEC2HEX(_xlfn.UNICODE(J51))</f>
        <v>1E5F</v>
      </c>
      <c r="BN52" s="1" t="n">
        <f aca="false">MIN(HEX2DEC(B52),HEX2DEC(C52),HEX2DEC(D52),HEX2DEC(E52),HEX2DEC(F52),HEX2DEC(G52),HEX2DEC(H52),HEX2DEC(I52),HEX2DEC(J52))</f>
        <v>341</v>
      </c>
      <c r="BO52" s="1" t="n">
        <f aca="false">MAX(HEX2DEC(B52),HEX2DEC(C52),HEX2DEC(D52),HEX2DEC(E52),HEX2DEC(F52),HEX2DEC(G52),HEX2DEC(H52),HEX2DEC(I52),HEX2DEC(J52),HEX2DEC(K52))</f>
        <v>7775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  <c r="G53" s="177" t="inlineStr">
        <is>
          <t xml:space="preserve">Ș</t>
        </is>
      </c>
      <c r="H53" s="177" t="inlineStr">
        <is>
          <t xml:space="preserve">Ṣ</t>
        </is>
      </c>
      <c r="I53" s="177" t="inlineStr">
        <is>
          <t xml:space="preserve">Ṡ</t>
        </is>
      </c>
      <c r="J53" s="177" t="inlineStr">
        <is>
          <t xml:space="preserve">Ṥ</t>
        </is>
      </c>
      <c r="K53" s="177" t="inlineStr">
        <is>
          <t xml:space="preserve">Ṧ</t>
        </is>
      </c>
      <c r="L53" s="177" t="inlineStr">
        <is>
          <t xml:space="preserve">Ṩ</t>
        </is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G54" s="177" t="str">
        <f aca="false">DEC2HEX(_xlfn.UNICODE(G53))</f>
        <v>218</v>
      </c>
      <c r="H54" s="177" t="str">
        <f aca="false">DEC2HEX(_xlfn.UNICODE(H53))</f>
        <v>1E62</v>
      </c>
      <c r="I54" s="177" t="str">
        <f aca="false">DEC2HEX(_xlfn.UNICODE(I53))</f>
        <v>1E60</v>
      </c>
      <c r="J54" s="177" t="str">
        <f aca="false">DEC2HEX(_xlfn.UNICODE(J53))</f>
        <v>1E64</v>
      </c>
      <c r="K54" s="177" t="str">
        <f aca="false">DEC2HEX(_xlfn.UNICODE(K53))</f>
        <v>1E66</v>
      </c>
      <c r="L54" s="177" t="str">
        <f aca="false">DEC2HEX(_xlfn.UNICODE(L53))</f>
        <v>1E68</v>
      </c>
      <c r="BN54" s="1" t="n">
        <f aca="false">MIN(HEX2DEC(B54),HEX2DEC(C54),HEX2DEC(D54),HEX2DEC(E54),HEX2DEC(F54),HEX2DEC(G54),HEX2DEC(H54),HEX2DEC(I54),HEX2DEC(J54),HEX2DEC(K54),HEX2DEC(L54))</f>
        <v>346</v>
      </c>
      <c r="BO54" s="1" t="n">
        <f aca="false">MAX(HEX2DEC(C54),HEX2DEC(D54),HEX2DEC(E54),HEX2DEC(F54),HEX2DEC(G54),HEX2DEC(H54),HEX2DEC(I54),HEX2DEC(J54),HEX2DEC(K54))</f>
        <v>7784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  <c r="G55" s="177" t="inlineStr">
        <is>
          <t xml:space="preserve">ș</t>
        </is>
      </c>
      <c r="H55" s="177" t="inlineStr">
        <is>
          <t xml:space="preserve">ṣ</t>
        </is>
      </c>
      <c r="I55" s="177" t="inlineStr">
        <is>
          <t xml:space="preserve">ṡ</t>
        </is>
      </c>
      <c r="J55" s="177" t="inlineStr">
        <is>
          <t xml:space="preserve">ṥ</t>
        </is>
      </c>
      <c r="K55" s="177" t="inlineStr">
        <is>
          <t xml:space="preserve">ṧ</t>
        </is>
      </c>
      <c r="L55" s="177" t="inlineStr">
        <is>
          <t xml:space="preserve">ṩ</t>
        </is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G56" s="177" t="str">
        <f aca="false">DEC2HEX(_xlfn.UNICODE(G55))</f>
        <v>219</v>
      </c>
      <c r="H56" s="177" t="str">
        <f aca="false">DEC2HEX(_xlfn.UNICODE(H55))</f>
        <v>1E63</v>
      </c>
      <c r="I56" s="177" t="str">
        <f aca="false">DEC2HEX(_xlfn.UNICODE(I55))</f>
        <v>1E61</v>
      </c>
      <c r="J56" s="177" t="str">
        <f aca="false">DEC2HEX(_xlfn.UNICODE(J55))</f>
        <v>1E65</v>
      </c>
      <c r="K56" s="177" t="str">
        <f aca="false">DEC2HEX(_xlfn.UNICODE(K55))</f>
        <v>1E67</v>
      </c>
      <c r="L56" s="177" t="str">
        <f aca="false">DEC2HEX(_xlfn.UNICODE(L55))</f>
        <v>1E69</v>
      </c>
      <c r="BN56" s="1" t="n">
        <f aca="false">MIN(HEX2DEC(B56),HEX2DEC(C56),HEX2DEC(D56),HEX2DEC(E56),HEX2DEC(F56),HEX2DEC(G56),HEX2DEC(H56),HEX2DEC(I56),HEX2DEC(J56),HEX2DEC(K56),HEX2DEC(L56))</f>
        <v>223</v>
      </c>
      <c r="BO56" s="1" t="n">
        <f aca="false">MAX(HEX2DEC(B56),HEX2DEC(C56),HEX2DEC(D56),HEX2DEC(E56),HEX2DEC(F56),HEX2DEC(G56),HEX2DEC(H56),HEX2DEC(I56),HEX2DEC(J56),HEX2DEC(K56))</f>
        <v>7785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  <c r="F57" s="177" t="inlineStr">
        <is>
          <t xml:space="preserve">Ț</t>
        </is>
      </c>
      <c r="G57" s="177" t="inlineStr">
        <is>
          <t xml:space="preserve">Ṫ</t>
        </is>
      </c>
      <c r="H57" s="177" t="inlineStr">
        <is>
          <t xml:space="preserve">Ƭ</t>
        </is>
      </c>
      <c r="I57" s="177" t="inlineStr">
        <is>
          <t xml:space="preserve">Ʈ</t>
        </is>
      </c>
      <c r="J57" s="177" t="inlineStr">
        <is>
          <t xml:space="preserve">Ṭ</t>
        </is>
      </c>
      <c r="K57" s="177" t="inlineStr">
        <is>
          <t xml:space="preserve">Ṯ</t>
        </is>
      </c>
      <c r="L57" s="177" t="inlineStr">
        <is>
          <t xml:space="preserve">Ṱ</t>
        </is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F58" s="177" t="str">
        <f aca="false">DEC2HEX(_xlfn.UNICODE(F57))</f>
        <v>21A</v>
      </c>
      <c r="G58" s="177" t="str">
        <f aca="false">DEC2HEX(_xlfn.UNICODE(G57))</f>
        <v>1E6A</v>
      </c>
      <c r="H58" s="177" t="str">
        <f aca="false">DEC2HEX(_xlfn.UNICODE(H57))</f>
        <v>1AC</v>
      </c>
      <c r="I58" s="177" t="str">
        <f aca="false">DEC2HEX(_xlfn.UNICODE(I57))</f>
        <v>1AE</v>
      </c>
      <c r="J58" s="177" t="str">
        <f aca="false">DEC2HEX(_xlfn.UNICODE(J57))</f>
        <v>1E6C</v>
      </c>
      <c r="K58" s="177" t="str">
        <f aca="false">DEC2HEX(_xlfn.UNICODE(K57))</f>
        <v>1E6E</v>
      </c>
      <c r="L58" s="177" t="str">
        <f aca="false">DEC2HEX(_xlfn.UNICODE(L57))</f>
        <v>1E70</v>
      </c>
      <c r="BN58" s="1" t="n">
        <f aca="false">MIN(HEX2DEC(B58),HEX2DEC(C58),HEX2DEC(D58),HEX2DEC(E58),HEX2DEC(F58),HEX2DEC(G58),HEX2DEC(H58),HEX2DEC(I58),HEX2DEC(J58),HEX2DEC(K58),HEX2DEC(L58))</f>
        <v>222</v>
      </c>
      <c r="BO58" s="1" t="n">
        <f aca="false">MAX(HEX2DEC(B58),HEX2DEC(C58),HEX2DEC(D58),HEX2DEC(E58),HEX2DEC(F58),HEX2DEC(G58),HEX2DEC(H58),HEX2DEC(I58),HEX2DEC(J58),HEX2DEC(K58))</f>
        <v>7792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  <c r="F59" s="177" t="inlineStr">
        <is>
          <t xml:space="preserve">ț</t>
        </is>
      </c>
      <c r="G59" s="177" t="inlineStr">
        <is>
          <t xml:space="preserve">ṫ</t>
        </is>
      </c>
      <c r="H59" s="177" t="inlineStr">
        <is>
          <t xml:space="preserve">ƭ</t>
        </is>
      </c>
      <c r="I59" s="177" t="inlineStr">
        <is>
          <t xml:space="preserve">ʈ</t>
        </is>
      </c>
      <c r="J59" s="177" t="inlineStr">
        <is>
          <t xml:space="preserve">ṭ</t>
        </is>
      </c>
      <c r="K59" s="177" t="inlineStr">
        <is>
          <t xml:space="preserve">ṯ</t>
        </is>
      </c>
      <c r="L59" s="177" t="inlineStr">
        <is>
          <t xml:space="preserve">ṱ</t>
        </is>
      </c>
      <c r="M59" s="177" t="inlineStr">
        <is>
          <t xml:space="preserve">ẗ</t>
        </is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F60" s="177" t="str">
        <f aca="false">DEC2HEX(_xlfn.UNICODE(F59))</f>
        <v>21B</v>
      </c>
      <c r="G60" s="177" t="str">
        <f aca="false">DEC2HEX(_xlfn.UNICODE(G59))</f>
        <v>1E6B</v>
      </c>
      <c r="H60" s="177" t="str">
        <f aca="false">DEC2HEX(_xlfn.UNICODE(H59))</f>
        <v>1AD</v>
      </c>
      <c r="I60" s="177" t="str">
        <f aca="false">DEC2HEX(_xlfn.UNICODE(I59))</f>
        <v>288</v>
      </c>
      <c r="J60" s="177" t="str">
        <f aca="false">DEC2HEX(_xlfn.UNICODE(J59))</f>
        <v>1E6D</v>
      </c>
      <c r="K60" s="177" t="str">
        <f aca="false">DEC2HEX(_xlfn.UNICODE(K59))</f>
        <v>1E6F</v>
      </c>
      <c r="L60" s="177" t="str">
        <f aca="false">DEC2HEX(_xlfn.UNICODE(L59))</f>
        <v>1E71</v>
      </c>
      <c r="M60" s="177" t="str">
        <f aca="false">DEC2HEX(_xlfn.UNICODE(M59))</f>
        <v>1E97</v>
      </c>
      <c r="BN60" s="1" t="n">
        <f aca="false">MIN(HEX2DEC(B60),HEX2DEC(C60),HEX2DEC(D60),HEX2DEC(E60),HEX2DEC(F60),HEX2DEC(G60),HEX2DEC(H60),HEX2DEC(I60),HEX2DEC(J60),HEX2DEC(K60),HEX2DEC(L60),HEX2DEC(M60))</f>
        <v>254</v>
      </c>
      <c r="BO60" s="1" t="n">
        <f aca="false">MAX(HEX2DEC(B60),HEX2DEC(C60),HEX2DEC(D60),HEX2DEC(E60),HEX2DEC(F60),HEX2DEC(G60),HEX2DEC(H60),HEX2DEC(I60),HEX2DEC(J60),HEX2DEC(K60))</f>
        <v>7831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  <c r="L61" s="177" t="inlineStr">
        <is>
          <t xml:space="preserve">Ȕ</t>
        </is>
      </c>
      <c r="M61" s="177" t="inlineStr">
        <is>
          <t xml:space="preserve">Ȗ</t>
        </is>
      </c>
      <c r="N61" s="177" t="inlineStr">
        <is>
          <t xml:space="preserve">Ư</t>
        </is>
      </c>
      <c r="O61" s="177" t="inlineStr">
        <is>
          <t xml:space="preserve">Ǔ</t>
        </is>
      </c>
      <c r="P61" s="177" t="inlineStr">
        <is>
          <t xml:space="preserve">Ǖ</t>
        </is>
      </c>
      <c r="Q61" s="177" t="inlineStr">
        <is>
          <t xml:space="preserve">Ǘ</t>
        </is>
      </c>
      <c r="R61" s="177" t="inlineStr">
        <is>
          <t xml:space="preserve">Ǚ</t>
        </is>
      </c>
      <c r="S61" s="177" t="inlineStr">
        <is>
          <t xml:space="preserve">Ǜ</t>
        </is>
      </c>
      <c r="T61" s="177" t="inlineStr">
        <is>
          <t xml:space="preserve">Ṳ</t>
        </is>
      </c>
      <c r="U61" s="177" t="inlineStr">
        <is>
          <t xml:space="preserve">Ṵ</t>
        </is>
      </c>
      <c r="V61" s="177" t="inlineStr">
        <is>
          <t xml:space="preserve">Ṷ</t>
        </is>
      </c>
      <c r="W61" s="177" t="inlineStr">
        <is>
          <t xml:space="preserve">Ṹ</t>
        </is>
      </c>
      <c r="X61" s="177" t="inlineStr">
        <is>
          <t xml:space="preserve">Ṻ</t>
        </is>
      </c>
      <c r="Y61" s="177" t="inlineStr">
        <is>
          <t xml:space="preserve">Ụ</t>
        </is>
      </c>
      <c r="Z61" s="177" t="inlineStr">
        <is>
          <t xml:space="preserve">Ủ</t>
        </is>
      </c>
      <c r="AA61" s="177" t="inlineStr">
        <is>
          <t xml:space="preserve">Ứ</t>
        </is>
      </c>
      <c r="AB61" s="177" t="inlineStr">
        <is>
          <t xml:space="preserve">Ừ</t>
        </is>
      </c>
      <c r="AC61" s="177" t="inlineStr">
        <is>
          <t xml:space="preserve">Ử</t>
        </is>
      </c>
      <c r="AD61" s="177" t="inlineStr">
        <is>
          <t xml:space="preserve">Ữ</t>
        </is>
      </c>
      <c r="AE61" s="177" t="inlineStr">
        <is>
          <t xml:space="preserve">Ự</t>
        </is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L62" s="177" t="str">
        <f aca="false">DEC2HEX(_xlfn.UNICODE(L61))</f>
        <v>214</v>
      </c>
      <c r="M62" s="177" t="str">
        <f aca="false">DEC2HEX(_xlfn.UNICODE(M61))</f>
        <v>216</v>
      </c>
      <c r="N62" s="177" t="str">
        <f aca="false">DEC2HEX(_xlfn.UNICODE(N61))</f>
        <v>1AF</v>
      </c>
      <c r="O62" s="177" t="str">
        <f aca="false">DEC2HEX(_xlfn.UNICODE(O61))</f>
        <v>1D3</v>
      </c>
      <c r="P62" s="177" t="str">
        <f aca="false">DEC2HEX(_xlfn.UNICODE(P61))</f>
        <v>1D5</v>
      </c>
      <c r="Q62" s="177" t="str">
        <f aca="false">DEC2HEX(_xlfn.UNICODE(Q61))</f>
        <v>1D7</v>
      </c>
      <c r="R62" s="177" t="str">
        <f aca="false">DEC2HEX(_xlfn.UNICODE(R61))</f>
        <v>1D9</v>
      </c>
      <c r="S62" s="177" t="str">
        <f aca="false">DEC2HEX(_xlfn.UNICODE(S61))</f>
        <v>1DB</v>
      </c>
      <c r="T62" s="177" t="str">
        <f aca="false">DEC2HEX(_xlfn.UNICODE(T61))</f>
        <v>1E72</v>
      </c>
      <c r="U62" s="177" t="str">
        <f aca="false">DEC2HEX(_xlfn.UNICODE(U61))</f>
        <v>1E74</v>
      </c>
      <c r="V62" s="177" t="str">
        <f aca="false">DEC2HEX(_xlfn.UNICODE(V61))</f>
        <v>1E76</v>
      </c>
      <c r="W62" s="177" t="str">
        <f aca="false">DEC2HEX(_xlfn.UNICODE(W61))</f>
        <v>1E78</v>
      </c>
      <c r="X62" s="177" t="str">
        <f aca="false">DEC2HEX(_xlfn.UNICODE(X61))</f>
        <v>1E7A</v>
      </c>
      <c r="Y62" s="177" t="str">
        <f aca="false">DEC2HEX(_xlfn.UNICODE(Y61))</f>
        <v>1EE4</v>
      </c>
      <c r="Z62" s="177" t="str">
        <f aca="false">DEC2HEX(_xlfn.UNICODE(Z61))</f>
        <v>1EE6</v>
      </c>
      <c r="AA62" s="177" t="str">
        <f aca="false">DEC2HEX(_xlfn.UNICODE(AA61))</f>
        <v>1EE8</v>
      </c>
      <c r="AB62" s="177" t="str">
        <f aca="false">DEC2HEX(_xlfn.UNICODE(AB61))</f>
        <v>1EEA</v>
      </c>
      <c r="AC62" s="177" t="str">
        <f aca="false">DEC2HEX(_xlfn.UNICODE(AC61))</f>
        <v>1EEC</v>
      </c>
      <c r="AD62" s="177" t="str">
        <f aca="false">DEC2HEX(_xlfn.UNICODE(AD61))</f>
        <v>1EEE</v>
      </c>
      <c r="AE62" s="177" t="str">
        <f aca="false">DEC2HEX(_xlfn.UNICODE(AE61))</f>
        <v>1EF0</v>
      </c>
      <c r="BN62" s="1" t="n">
        <f aca="false">MIN(HEX2DEC(B62),HEX2DEC(C62),HEX2DEC(D62),HEX2DEC(E62),HEX2DEC(F62),HEX2DEC(G62),HEX2DEC(H62),HEX2DEC(I62),HEX2DEC(J62),HEX2DEC(K62),HEX2DEC(L62),HEX2DEC(M62),HEX2DEC(N62),HEX2DEC(O62),HEX2DEC(P62),HEX2DEC(Q62),HEX2DEC(R62),HEX2DEC(S62),HEX2DEC(T62),HEX2DEC(U62),HEX2DEC(V62),HEX2DEC(W62),HEX2DEC(X62),HEX2DEC(Y62),HEX2DEC(Z62),HEX2DEC(AA62),HEX2DEC(AB62),HEX2DEC(AC62),HEX2DEC(AD62),HEX2DEC(AE62))</f>
        <v>217</v>
      </c>
      <c r="BO62" s="1" t="n">
        <f aca="false">MAX(HEX2DEC(B62),HEX2DEC(C62),HEX2DEC(D62),HEX2DEC(E62),HEX2DEC(F62),HEX2DEC(G62),HEX2DEC(H62),HEX2DEC(I62),HEX2DEC(J62),HEX2DEC(K62))</f>
        <v>7920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  <c r="L63" s="177" t="inlineStr">
        <is>
          <t xml:space="preserve">ȕ</t>
        </is>
      </c>
      <c r="M63" s="177" t="inlineStr">
        <is>
          <t xml:space="preserve">ȗ</t>
        </is>
      </c>
      <c r="N63" s="177" t="inlineStr">
        <is>
          <t xml:space="preserve">ư</t>
        </is>
      </c>
      <c r="O63" s="177" t="inlineStr">
        <is>
          <t xml:space="preserve">ǔ</t>
        </is>
      </c>
      <c r="P63" s="177" t="inlineStr">
        <is>
          <t xml:space="preserve">ǖ</t>
        </is>
      </c>
      <c r="Q63" s="177" t="inlineStr">
        <is>
          <t xml:space="preserve">ǘ</t>
        </is>
      </c>
      <c r="R63" s="177" t="inlineStr">
        <is>
          <t xml:space="preserve">ǚ</t>
        </is>
      </c>
      <c r="S63" s="177" t="inlineStr">
        <is>
          <t xml:space="preserve">ǜ</t>
        </is>
      </c>
      <c r="T63" s="177" t="inlineStr">
        <is>
          <t xml:space="preserve">ṳ</t>
        </is>
      </c>
      <c r="U63" s="177" t="inlineStr">
        <is>
          <t xml:space="preserve">ṵ</t>
        </is>
      </c>
      <c r="V63" s="177" t="inlineStr">
        <is>
          <t xml:space="preserve">ṷ</t>
        </is>
      </c>
      <c r="W63" s="177" t="inlineStr">
        <is>
          <t xml:space="preserve">ṹ</t>
        </is>
      </c>
      <c r="X63" s="177" t="inlineStr">
        <is>
          <t xml:space="preserve">ṻ</t>
        </is>
      </c>
      <c r="Y63" s="177" t="inlineStr">
        <is>
          <t xml:space="preserve">ụ</t>
        </is>
      </c>
      <c r="Z63" s="177" t="inlineStr">
        <is>
          <t xml:space="preserve">ủ</t>
        </is>
      </c>
      <c r="AA63" s="177" t="inlineStr">
        <is>
          <t xml:space="preserve">ứ</t>
        </is>
      </c>
      <c r="AB63" s="177" t="inlineStr">
        <is>
          <t xml:space="preserve">ừ</t>
        </is>
      </c>
      <c r="AC63" s="177" t="inlineStr">
        <is>
          <t xml:space="preserve">ử</t>
        </is>
      </c>
      <c r="AD63" s="177" t="inlineStr">
        <is>
          <t xml:space="preserve">ữ</t>
        </is>
      </c>
      <c r="AE63" s="177" t="inlineStr">
        <is>
          <t xml:space="preserve">ự</t>
        </is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L64" s="177" t="str">
        <f aca="false">DEC2HEX(_xlfn.UNICODE(L63))</f>
        <v>215</v>
      </c>
      <c r="M64" s="177" t="str">
        <f aca="false">DEC2HEX(_xlfn.UNICODE(M63))</f>
        <v>217</v>
      </c>
      <c r="N64" s="177" t="str">
        <f aca="false">DEC2HEX(_xlfn.UNICODE(N63))</f>
        <v>1B0</v>
      </c>
      <c r="O64" s="177" t="str">
        <f aca="false">DEC2HEX(_xlfn.UNICODE(O63))</f>
        <v>1D4</v>
      </c>
      <c r="P64" s="177" t="str">
        <f aca="false">DEC2HEX(_xlfn.UNICODE(P63))</f>
        <v>1D6</v>
      </c>
      <c r="Q64" s="177" t="str">
        <f aca="false">DEC2HEX(_xlfn.UNICODE(Q63))</f>
        <v>1D8</v>
      </c>
      <c r="R64" s="177" t="str">
        <f aca="false">DEC2HEX(_xlfn.UNICODE(R63))</f>
        <v>1DA</v>
      </c>
      <c r="S64" s="177" t="str">
        <f aca="false">DEC2HEX(_xlfn.UNICODE(S63))</f>
        <v>1DC</v>
      </c>
      <c r="T64" s="177" t="str">
        <f aca="false">DEC2HEX(_xlfn.UNICODE(T63))</f>
        <v>1E73</v>
      </c>
      <c r="U64" s="177" t="str">
        <f aca="false">DEC2HEX(_xlfn.UNICODE(U63))</f>
        <v>1E75</v>
      </c>
      <c r="V64" s="177" t="str">
        <f aca="false">DEC2HEX(_xlfn.UNICODE(V63))</f>
        <v>1E77</v>
      </c>
      <c r="W64" s="177" t="str">
        <f aca="false">DEC2HEX(_xlfn.UNICODE(W63))</f>
        <v>1E79</v>
      </c>
      <c r="X64" s="177" t="str">
        <f aca="false">DEC2HEX(_xlfn.UNICODE(X63))</f>
        <v>1E7B</v>
      </c>
      <c r="Y64" s="177" t="str">
        <f aca="false">DEC2HEX(_xlfn.UNICODE(Y63))</f>
        <v>1EE5</v>
      </c>
      <c r="Z64" s="177" t="str">
        <f aca="false">DEC2HEX(_xlfn.UNICODE(Z63))</f>
        <v>1EE7</v>
      </c>
      <c r="AA64" s="177" t="str">
        <f aca="false">DEC2HEX(_xlfn.UNICODE(AA63))</f>
        <v>1EE9</v>
      </c>
      <c r="AB64" s="177" t="str">
        <f aca="false">DEC2HEX(_xlfn.UNICODE(AB63))</f>
        <v>1EEB</v>
      </c>
      <c r="AC64" s="177" t="str">
        <f aca="false">DEC2HEX(_xlfn.UNICODE(AC63))</f>
        <v>1EED</v>
      </c>
      <c r="AD64" s="177" t="str">
        <f aca="false">DEC2HEX(_xlfn.UNICODE(AD63))</f>
        <v>1EEF</v>
      </c>
      <c r="AE64" s="177" t="str">
        <f aca="false">DEC2HEX(_xlfn.UNICODE(AE63))</f>
        <v>1EF1</v>
      </c>
      <c r="BN64" s="1" t="n">
        <f aca="false">MIN(HEX2DEC(B64),HEX2DEC(C64),HEX2DEC(D64),HEX2DEC(E64),HEX2DEC(F64),HEX2DEC(G64),HEX2DEC(H64),HEX2DEC(I64),HEX2DEC(J64),HEX2DEC(K64),HEX2DEC(L64),HEX2DEC(M64),HEX2DEC(N64),HEX2DEC(O64),HEX2DEC(P64),HEX2DEC(Q64),HEX2DEC(R64),HEX2DEC(S64),HEX2DEC(T64),HEX2DEC(U64),HEX2DEC(V64),HEX2DEC(W64),HEX2DEC(X64),HEX2DEC(Y64),HEX2DEC(Z64),HEX2DEC(AA64),HEX2DEC(AB64),HEX2DEC(AC64),HEX2DEC(AD64),HEX2DEC(AE64))</f>
        <v>249</v>
      </c>
      <c r="BO64" s="1" t="n">
        <f aca="false">MAX(HEX2DEC(B64),HEX2DEC(C64),HEX2DEC(D64),HEX2DEC(E64),HEX2DEC(F64),HEX2DEC(G64),HEX2DEC(H64),HEX2DEC(I64),HEX2DEC(J64),HEX2DEC(K64))</f>
        <v>7921</v>
      </c>
    </row>
    <row r="65" customFormat="false" ht="12.8" hidden="false" customHeight="false" outlineLevel="0" collapsed="false">
      <c r="A65" s="176" t="s">
        <v>1218</v>
      </c>
      <c r="B65" s="177" t="s">
        <v>1586</v>
      </c>
      <c r="C65" s="177" t="inlineStr">
        <is>
          <t xml:space="preserve">Ẁ</t>
        </is>
      </c>
      <c r="D65" s="177" t="inlineStr">
        <is>
          <t xml:space="preserve">Ẃ</t>
        </is>
      </c>
      <c r="E65" s="177" t="inlineStr">
        <is>
          <t xml:space="preserve">Ẅ</t>
        </is>
      </c>
      <c r="F65" s="177" t="inlineStr">
        <is>
          <t xml:space="preserve">Ẇ</t>
        </is>
      </c>
      <c r="G65" s="177" t="inlineStr">
        <is>
          <t xml:space="preserve">Ẉ</t>
        </is>
      </c>
    </row>
    <row r="66" customFormat="false" ht="12.8" hidden="false" customHeight="false" outlineLevel="0" collapsed="false">
      <c r="B66" s="177" t="str">
        <f aca="false">DEC2HEX(_xlfn.UNICODE(B65))</f>
        <v>174</v>
      </c>
      <c r="C66" s="177" t="str">
        <f aca="false">DEC2HEX(_xlfn.UNICODE(C65))</f>
        <v>1E80</v>
      </c>
      <c r="D66" s="177" t="str">
        <f aca="false">DEC2HEX(_xlfn.UNICODE(D65))</f>
        <v>1E82</v>
      </c>
      <c r="E66" s="177" t="str">
        <f aca="false">DEC2HEX(_xlfn.UNICODE(E65))</f>
        <v>1E84</v>
      </c>
      <c r="F66" s="177" t="str">
        <f aca="false">DEC2HEX(_xlfn.UNICODE(F65))</f>
        <v>1E86</v>
      </c>
      <c r="G66" s="177" t="str">
        <f aca="false">DEC2HEX(_xlfn.UNICODE(G65))</f>
        <v>1E88</v>
      </c>
      <c r="BN66" s="1" t="n">
        <f aca="false">MIN(HEX2DEC(B66),HEX2DEC(C66),HEX2DEC(D66),HEX2DEC(E66),HEX2DEC(F66),HEX2DEC(G66))</f>
        <v>372</v>
      </c>
      <c r="BO66" s="1" t="n">
        <f aca="false">MAX(HEX2DEC(B66),HEX2DEC(C66),HEX2DEC(D66),HEX2DEC(E66),HEX2DEC(F66),HEX2DEC(G66),HEX2DEC(H66),HEX2DEC(I66),HEX2DEC(J66),HEX2DEC(K66))</f>
        <v>7816</v>
      </c>
    </row>
    <row r="67" customFormat="false" ht="12.8" hidden="false" customHeight="false" outlineLevel="0" collapsed="false">
      <c r="A67" s="176" t="s">
        <v>1217</v>
      </c>
      <c r="B67" s="177" t="s">
        <v>1587</v>
      </c>
      <c r="C67" s="177" t="inlineStr">
        <is>
          <t xml:space="preserve">ẁ</t>
        </is>
      </c>
      <c r="D67" s="177" t="inlineStr">
        <is>
          <t xml:space="preserve">ẃ</t>
        </is>
      </c>
      <c r="E67" s="177" t="inlineStr">
        <is>
          <t xml:space="preserve">ẅ</t>
        </is>
      </c>
      <c r="F67" s="177" t="inlineStr">
        <is>
          <t xml:space="preserve">ẇ</t>
        </is>
      </c>
      <c r="G67" s="177" t="inlineStr">
        <is>
          <t xml:space="preserve">ẉ</t>
        </is>
      </c>
      <c r="H67" s="177" t="inlineStr">
        <is>
          <t xml:space="preserve">ẘ</t>
        </is>
      </c>
    </row>
    <row r="68" customFormat="false" ht="12.8" hidden="false" customHeight="false" outlineLevel="0" collapsed="false">
      <c r="B68" s="177" t="str">
        <f aca="false">DEC2HEX(_xlfn.UNICODE(B67))</f>
        <v>175</v>
      </c>
      <c r="C68" s="177" t="str">
        <f aca="false">DEC2HEX(_xlfn.UNICODE(C67))</f>
        <v>1E81</v>
      </c>
      <c r="D68" s="177" t="str">
        <f aca="false">DEC2HEX(_xlfn.UNICODE(D67))</f>
        <v>1E83</v>
      </c>
      <c r="E68" s="177" t="str">
        <f aca="false">DEC2HEX(_xlfn.UNICODE(E67))</f>
        <v>1E85</v>
      </c>
      <c r="F68" s="177" t="str">
        <f aca="false">DEC2HEX(_xlfn.UNICODE(F67))</f>
        <v>1E87</v>
      </c>
      <c r="G68" s="177" t="str">
        <f aca="false">DEC2HEX(_xlfn.UNICODE(G67))</f>
        <v>1E89</v>
      </c>
      <c r="H68" s="177" t="str">
        <f aca="false">DEC2HEX(_xlfn.UNICODE(H67))</f>
        <v>1E98</v>
      </c>
      <c r="BN68" s="1" t="n">
        <f aca="false">MIN(HEX2DEC(B68),HEX2DEC(C68),HEX2DEC(D68),HEX2DEC(E68),HEX2DEC(F68),HEX2DEC(G68),HEX2DEC(H68))</f>
        <v>373</v>
      </c>
      <c r="BO68" s="1" t="n">
        <f aca="false">MAX(HEX2DEC(B68),HEX2DEC(C68),HEX2DEC(D68),HEX2DEC(E68),HEX2DEC(F68),HEX2DEC(G68),HEX2DEC(H68),HEX2DEC(I68),HEX2DEC(J68),HEX2DEC(K68))</f>
        <v>7832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  <c r="E69" s="177" t="inlineStr">
        <is>
          <t xml:space="preserve">Ỳ</t>
        </is>
      </c>
      <c r="F69" s="177" t="inlineStr">
        <is>
          <t xml:space="preserve">Ỹ</t>
        </is>
      </c>
      <c r="G69" s="177" t="inlineStr">
        <is>
          <t xml:space="preserve">Ȳ</t>
        </is>
      </c>
      <c r="H69" s="177" t="inlineStr">
        <is>
          <t xml:space="preserve">Ƴ</t>
        </is>
      </c>
      <c r="I69" s="177" t="inlineStr">
        <is>
          <t xml:space="preserve">Ẏ</t>
        </is>
      </c>
      <c r="J69" s="177" t="inlineStr">
        <is>
          <t xml:space="preserve">Ỵ</t>
        </is>
      </c>
      <c r="K69" s="177" t="inlineStr">
        <is>
          <t xml:space="preserve">Ỷ</t>
        </is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E70" s="177" t="str">
        <f aca="false">DEC2HEX(_xlfn.UNICODE(E69))</f>
        <v>1EF2</v>
      </c>
      <c r="F70" s="177" t="str">
        <f aca="false">DEC2HEX(_xlfn.UNICODE(F69))</f>
        <v>1EF8</v>
      </c>
      <c r="G70" s="177" t="str">
        <f aca="false">DEC2HEX(_xlfn.UNICODE(G69))</f>
        <v>232</v>
      </c>
      <c r="H70" s="177" t="str">
        <f aca="false">DEC2HEX(_xlfn.UNICODE(H69))</f>
        <v>1B3</v>
      </c>
      <c r="I70" s="177" t="str">
        <f aca="false">DEC2HEX(_xlfn.UNICODE(I69))</f>
        <v>1E8E</v>
      </c>
      <c r="J70" s="177" t="str">
        <f aca="false">DEC2HEX(_xlfn.UNICODE(J69))</f>
        <v>1EF4</v>
      </c>
      <c r="K70" s="177" t="str">
        <f aca="false">DEC2HEX(_xlfn.UNICODE(K69))</f>
        <v>1EF6</v>
      </c>
      <c r="BN70" s="1" t="n">
        <f aca="false">MIN(HEX2DEC(B70),HEX2DEC(C70),HEX2DEC(D70),HEX2DEC(E70),HEX2DEC(F70),HEX2DEC(G70),HEX2DEC(H70),HEX2DEC(I70),HEX2DEC(J70),HEX2DEC(K70))</f>
        <v>221</v>
      </c>
      <c r="BO70" s="1" t="n">
        <f aca="false">MAX(HEX2DEC(B70),HEX2DEC(C70),HEX2DEC(D70),HEX2DEC(E70),HEX2DEC(F70),HEX2DEC(G70),HEX2DEC(H70),HEX2DEC(I70),HEX2DEC(J70),HEX2DEC(K70))</f>
        <v>7928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  <c r="E71" s="177" t="inlineStr">
        <is>
          <t xml:space="preserve">ỳ</t>
        </is>
      </c>
      <c r="F71" s="177" t="inlineStr">
        <is>
          <t xml:space="preserve">ỹ</t>
        </is>
      </c>
      <c r="G71" s="177" t="inlineStr">
        <is>
          <t xml:space="preserve">ȳ</t>
        </is>
      </c>
      <c r="H71" s="177" t="inlineStr">
        <is>
          <t xml:space="preserve">ƴ</t>
        </is>
      </c>
      <c r="I71" s="177" t="inlineStr">
        <is>
          <t xml:space="preserve">ẏ</t>
        </is>
      </c>
      <c r="J71" s="177" t="inlineStr">
        <is>
          <t xml:space="preserve">ỵ</t>
        </is>
      </c>
      <c r="K71" s="177" t="inlineStr">
        <is>
          <t xml:space="preserve">ỷ</t>
        </is>
      </c>
      <c r="L71" s="177" t="inlineStr">
        <is>
          <t xml:space="preserve">ẙ</t>
        </is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E72" s="177" t="str">
        <f aca="false">DEC2HEX(_xlfn.UNICODE(E71))</f>
        <v>1EF3</v>
      </c>
      <c r="F72" s="177" t="str">
        <f aca="false">DEC2HEX(_xlfn.UNICODE(F71))</f>
        <v>1EF9</v>
      </c>
      <c r="G72" s="177" t="str">
        <f aca="false">DEC2HEX(_xlfn.UNICODE(G71))</f>
        <v>233</v>
      </c>
      <c r="H72" s="177" t="str">
        <f aca="false">DEC2HEX(_xlfn.UNICODE(H71))</f>
        <v>1B4</v>
      </c>
      <c r="I72" s="177" t="str">
        <f aca="false">DEC2HEX(_xlfn.UNICODE(I71))</f>
        <v>1E8F</v>
      </c>
      <c r="J72" s="177" t="str">
        <f aca="false">DEC2HEX(_xlfn.UNICODE(J71))</f>
        <v>1EF5</v>
      </c>
      <c r="K72" s="177" t="str">
        <f aca="false">DEC2HEX(_xlfn.UNICODE(K71))</f>
        <v>1EF7</v>
      </c>
      <c r="L72" s="177" t="str">
        <f aca="false">DEC2HEX(_xlfn.UNICODE(L71))</f>
        <v>1E99</v>
      </c>
      <c r="BN72" s="1" t="n">
        <f aca="false">MIN(HEX2DEC(B72),HEX2DEC(C72),HEX2DEC(D72),HEX2DEC(E72),HEX2DEC(F72),HEX2DEC(G72),HEX2DEC(H72),HEX2DEC(I72),HEX2DEC(J72),HEX2DEC(K72),HEX2DEC(L72))</f>
        <v>253</v>
      </c>
      <c r="BO72" s="1" t="n">
        <f aca="false">MAX(HEX2DEC(B72),HEX2DEC(C72),HEX2DEC(D72),HEX2DEC(E72),HEX2DEC(F72),HEX2DEC(G72),HEX2DEC(H72),HEX2DEC(I72),HEX2DEC(J72),HEX2DEC(K72))</f>
        <v>7929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  <c r="E73" s="177" t="inlineStr">
        <is>
          <t xml:space="preserve">Ƶ</t>
        </is>
      </c>
      <c r="F73" s="177" t="inlineStr">
        <is>
          <t xml:space="preserve">Ẑ</t>
        </is>
      </c>
      <c r="G73" s="177" t="inlineStr">
        <is>
          <t xml:space="preserve">Ẓ</t>
        </is>
      </c>
      <c r="H73" s="177" t="inlineStr">
        <is>
          <t xml:space="preserve">Ẕ</t>
        </is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E74" s="177" t="str">
        <f aca="false">DEC2HEX(_xlfn.UNICODE(E73))</f>
        <v>1B5</v>
      </c>
      <c r="F74" s="177" t="str">
        <f aca="false">DEC2HEX(_xlfn.UNICODE(F73))</f>
        <v>1E90</v>
      </c>
      <c r="G74" s="177" t="str">
        <f aca="false">DEC2HEX(_xlfn.UNICODE(G73))</f>
        <v>1E92</v>
      </c>
      <c r="H74" s="177" t="str">
        <f aca="false">DEC2HEX(_xlfn.UNICODE(H73))</f>
        <v>1E94</v>
      </c>
      <c r="BN74" s="1" t="n">
        <f aca="false">MIN(HEX2DEC(B74),HEX2DEC(C74),HEX2DEC(D74),HEX2DEC(E74),HEX2DEC(F74),HEX2DEC(G74),HEX2DEC(H74))</f>
        <v>377</v>
      </c>
      <c r="BO74" s="1" t="n">
        <f aca="false">MAX(HEX2DEC(B74),HEX2DEC(C74),HEX2DEC(D74),HEX2DEC(E74),HEX2DEC(F74),HEX2DEC(G74),HEX2DEC(H74),HEX2DEC(I74),HEX2DEC(J74),HEX2DEC(K74))</f>
        <v>7828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  <c r="E75" s="177" t="inlineStr">
        <is>
          <t xml:space="preserve">ƶ</t>
        </is>
      </c>
      <c r="F75" s="177" t="inlineStr">
        <is>
          <t xml:space="preserve">ẑ</t>
        </is>
      </c>
      <c r="G75" s="177" t="inlineStr">
        <is>
          <t xml:space="preserve">ẓ</t>
        </is>
      </c>
      <c r="H75" s="177" t="inlineStr">
        <is>
          <t xml:space="preserve">ẕ</t>
        </is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E76" s="177" t="str">
        <f aca="false">DEC2HEX(_xlfn.UNICODE(E75))</f>
        <v>1B6</v>
      </c>
      <c r="F76" s="177" t="str">
        <f aca="false">DEC2HEX(_xlfn.UNICODE(F75))</f>
        <v>1E91</v>
      </c>
      <c r="G76" s="177" t="str">
        <f aca="false">DEC2HEX(_xlfn.UNICODE(G75))</f>
        <v>1E93</v>
      </c>
      <c r="H76" s="177" t="str">
        <f aca="false">DEC2HEX(_xlfn.UNICODE(H75))</f>
        <v>1E95</v>
      </c>
      <c r="BN76" s="1" t="n">
        <f aca="false">MIN(HEX2DEC(B76),HEX2DEC(C76),HEX2DEC(D76),HEX2DEC(E76),HEX2DEC(F76),HEX2DEC(G76),HEX2DEC(H76))</f>
        <v>378</v>
      </c>
      <c r="BO76" s="1" t="n">
        <f aca="false">MAX(HEX2DEC(B76),HEX2DEC(C76),HEX2DEC(D76),HEX2DEC(E76),HEX2DEC(F76),HEX2DEC(G76),HEX2DEC(H76),HEX2DEC(I76),HEX2DEC(J76),HEX2DEC(K76))</f>
        <v>7829</v>
      </c>
    </row>
    <row r="107" customFormat="false" ht="12.8" hidden="false" customHeight="false" outlineLevel="0" collapsed="false">
      <c r="BN107" s="1" t="n">
        <f aca="false">MIN(BN2:BN76)</f>
        <v>192</v>
      </c>
      <c r="BO107" s="1" t="n">
        <f aca="false">MAX(BO2:BO76)</f>
        <v>382</v>
      </c>
    </row>
    <row r="108" customFormat="false" ht="12.8" hidden="false" customHeight="false" outlineLevel="0" collapsed="false">
      <c r="Q108" s="178" t="str">
        <f aca="false">DEC2HEX(_xlfn.UNICODE(B53))</f>
        <v>1E9E</v>
      </c>
      <c r="BN108" s="1" t="str">
        <f aca="false">DEC2HEX(BN107)</f>
        <v>C0</v>
      </c>
      <c r="BO108" s="1" t="str">
        <f aca="false">DEC2HEX(BO107)</f>
        <v>17E</v>
      </c>
    </row>
    <row r="77" customFormat="false" ht="12.8" hidden="false" customHeight="false" outlineLevel="0" collapsed="false">
      <c r="A77" s="176" t="inlineStr">
        <is>
          <t xml:space="preserve">B</t>
        </is>
      </c>
      <c r="B77" s="176" t="inlineStr">
        <is>
          <t xml:space="preserve">Ḃ</t>
        </is>
      </c>
      <c r="C77" s="176" t="inlineStr">
        <is>
          <t xml:space="preserve">Ɓ</t>
        </is>
      </c>
      <c r="D77" s="176" t="inlineStr">
        <is>
          <t xml:space="preserve">Ƃ</t>
        </is>
      </c>
      <c r="E77" s="176" t="inlineStr">
        <is>
          <t xml:space="preserve">Ḅ</t>
        </is>
      </c>
      <c r="F77" s="176" t="inlineStr">
        <is>
          <t xml:space="preserve">Ḇ</t>
        </is>
      </c>
    </row>
    <row r="78" customFormat="false" ht="12.8" hidden="false" customHeight="false" outlineLevel="0" collapsed="false">
      <c r="B78" t="str">
        <f aca="false">DEC2HEX(_xlfn.UNICODE(B77))</f>
        <v>1E02</v>
      </c>
      <c r="C78" t="str">
        <f aca="false">DEC2HEX(_xlfn.UNICODE(C77))</f>
        <v>181</v>
      </c>
      <c r="D78" t="str">
        <f aca="false">DEC2HEX(_xlfn.UNICODE(D77))</f>
        <v>182</v>
      </c>
      <c r="E78" t="str">
        <f aca="false">DEC2HEX(_xlfn.UNICODE(E77))</f>
        <v>1E04</v>
      </c>
      <c r="F78" t="str">
        <f aca="false">DEC2HEX(_xlfn.UNICODE(F77))</f>
        <v>1E06</v>
      </c>
    </row>
    <row r="79" customFormat="false" ht="12.8" hidden="false" customHeight="false" outlineLevel="0" collapsed="false">
      <c r="A79" s="176" t="inlineStr">
        <is>
          <t xml:space="preserve">b</t>
        </is>
      </c>
      <c r="B79" s="176" t="inlineStr">
        <is>
          <t xml:space="preserve">ḃ</t>
        </is>
      </c>
      <c r="C79" s="176" t="inlineStr">
        <is>
          <t xml:space="preserve">ɓ</t>
        </is>
      </c>
      <c r="D79" s="176" t="inlineStr">
        <is>
          <t xml:space="preserve">ƃ</t>
        </is>
      </c>
      <c r="E79" s="176" t="inlineStr">
        <is>
          <t xml:space="preserve">ḅ</t>
        </is>
      </c>
      <c r="F79" s="176" t="inlineStr">
        <is>
          <t xml:space="preserve">ḇ</t>
        </is>
      </c>
    </row>
    <row r="80" customFormat="false" ht="12.8" hidden="false" customHeight="false" outlineLevel="0" collapsed="false">
      <c r="B80" t="str">
        <f aca="false">DEC2HEX(_xlfn.UNICODE(B79))</f>
        <v>1E03</v>
      </c>
      <c r="C80" t="str">
        <f aca="false">DEC2HEX(_xlfn.UNICODE(C79))</f>
        <v>253</v>
      </c>
      <c r="D80" t="str">
        <f aca="false">DEC2HEX(_xlfn.UNICODE(D79))</f>
        <v>183</v>
      </c>
      <c r="E80" t="str">
        <f aca="false">DEC2HEX(_xlfn.UNICODE(E79))</f>
        <v>1E05</v>
      </c>
      <c r="F80" t="str">
        <f aca="false">DEC2HEX(_xlfn.UNICODE(F79))</f>
        <v>1E07</v>
      </c>
    </row>
    <row r="81" customFormat="false" ht="12.8" hidden="false" customHeight="false" outlineLevel="0" collapsed="false">
      <c r="A81" s="176" t="inlineStr">
        <is>
          <t xml:space="preserve">F</t>
        </is>
      </c>
      <c r="B81" s="176" t="inlineStr">
        <is>
          <t xml:space="preserve">Ḟ</t>
        </is>
      </c>
      <c r="C81" s="176" t="inlineStr">
        <is>
          <t xml:space="preserve">Ƒ</t>
        </is>
      </c>
    </row>
    <row r="82" customFormat="false" ht="12.8" hidden="false" customHeight="false" outlineLevel="0" collapsed="false">
      <c r="B82" t="str">
        <f aca="false">DEC2HEX(_xlfn.UNICODE(B81))</f>
        <v>1E1E</v>
      </c>
      <c r="C82" t="str">
        <f aca="false">DEC2HEX(_xlfn.UNICODE(C81))</f>
        <v>191</v>
      </c>
    </row>
    <row r="83" customFormat="false" ht="12.8" hidden="false" customHeight="false" outlineLevel="0" collapsed="false">
      <c r="A83" s="176" t="inlineStr">
        <is>
          <t xml:space="preserve">f</t>
        </is>
      </c>
      <c r="B83" s="176" t="inlineStr">
        <is>
          <t xml:space="preserve">ḟ</t>
        </is>
      </c>
      <c r="C83" s="176" t="inlineStr">
        <is>
          <t xml:space="preserve">ƒ</t>
        </is>
      </c>
    </row>
    <row r="84" customFormat="false" ht="12.8" hidden="false" customHeight="false" outlineLevel="0" collapsed="false">
      <c r="B84" t="str">
        <f aca="false">DEC2HEX(_xlfn.UNICODE(B83))</f>
        <v>1E1F</v>
      </c>
      <c r="C84" t="str">
        <f aca="false">DEC2HEX(_xlfn.UNICODE(C83))</f>
        <v>192</v>
      </c>
    </row>
    <row r="85" customFormat="false" ht="12.8" hidden="false" customHeight="false" outlineLevel="0" collapsed="false">
      <c r="A85" s="176" t="inlineStr">
        <is>
          <t xml:space="preserve">M</t>
        </is>
      </c>
      <c r="B85" s="176" t="inlineStr">
        <is>
          <t xml:space="preserve">Ṁ</t>
        </is>
      </c>
      <c r="C85" s="176" t="inlineStr">
        <is>
          <t xml:space="preserve">Ḿ</t>
        </is>
      </c>
      <c r="D85" s="176" t="inlineStr">
        <is>
          <t xml:space="preserve">Ṃ</t>
        </is>
      </c>
    </row>
    <row r="86" customFormat="false" ht="12.8" hidden="false" customHeight="false" outlineLevel="0" collapsed="false">
      <c r="B86" t="str">
        <f aca="false">DEC2HEX(_xlfn.UNICODE(B85))</f>
        <v>1E40</v>
      </c>
      <c r="C86" t="str">
        <f aca="false">DEC2HEX(_xlfn.UNICODE(C85))</f>
        <v>1E3E</v>
      </c>
      <c r="D86" t="str">
        <f aca="false">DEC2HEX(_xlfn.UNICODE(D85))</f>
        <v>1E42</v>
      </c>
    </row>
    <row r="87" customFormat="false" ht="12.8" hidden="false" customHeight="false" outlineLevel="0" collapsed="false">
      <c r="A87" s="176" t="inlineStr">
        <is>
          <t xml:space="preserve">m</t>
        </is>
      </c>
      <c r="B87" s="176" t="inlineStr">
        <is>
          <t xml:space="preserve">ṁ</t>
        </is>
      </c>
      <c r="C87" s="176" t="inlineStr">
        <is>
          <t xml:space="preserve">ḿ</t>
        </is>
      </c>
      <c r="D87" s="176" t="inlineStr">
        <is>
          <t xml:space="preserve">ṃ</t>
        </is>
      </c>
    </row>
    <row r="88" customFormat="false" ht="12.8" hidden="false" customHeight="false" outlineLevel="0" collapsed="false">
      <c r="B88" t="str">
        <f aca="false">DEC2HEX(_xlfn.UNICODE(B87))</f>
        <v>1E41</v>
      </c>
      <c r="C88" t="str">
        <f aca="false">DEC2HEX(_xlfn.UNICODE(C87))</f>
        <v>1E3F</v>
      </c>
      <c r="D88" t="str">
        <f aca="false">DEC2HEX(_xlfn.UNICODE(D87))</f>
        <v>1E43</v>
      </c>
    </row>
    <row r="89" customFormat="false" ht="12.8" hidden="false" customHeight="false" outlineLevel="0" collapsed="false">
      <c r="A89" s="176" t="inlineStr">
        <is>
          <t xml:space="preserve">P</t>
        </is>
      </c>
      <c r="B89" s="176" t="inlineStr">
        <is>
          <t xml:space="preserve">Ṗ</t>
        </is>
      </c>
      <c r="C89" s="176" t="inlineStr">
        <is>
          <t xml:space="preserve">Ƥ</t>
        </is>
      </c>
      <c r="D89" s="176" t="inlineStr">
        <is>
          <t xml:space="preserve">Ṕ</t>
        </is>
      </c>
    </row>
    <row r="90" customFormat="false" ht="12.8" hidden="false" customHeight="false" outlineLevel="0" collapsed="false">
      <c r="B90" t="str">
        <f aca="false">DEC2HEX(_xlfn.UNICODE(B89))</f>
        <v>1E56</v>
      </c>
      <c r="C90" t="str">
        <f aca="false">DEC2HEX(_xlfn.UNICODE(C89))</f>
        <v>1A4</v>
      </c>
      <c r="D90" t="str">
        <f aca="false">DEC2HEX(_xlfn.UNICODE(D89))</f>
        <v>1E54</v>
      </c>
    </row>
    <row r="91" customFormat="false" ht="12.8" hidden="false" customHeight="false" outlineLevel="0" collapsed="false">
      <c r="A91" s="176" t="inlineStr">
        <is>
          <t xml:space="preserve">p</t>
        </is>
      </c>
      <c r="B91" s="176" t="inlineStr">
        <is>
          <t xml:space="preserve">ṗ</t>
        </is>
      </c>
      <c r="C91" s="176" t="inlineStr">
        <is>
          <t xml:space="preserve">ƥ</t>
        </is>
      </c>
      <c r="D91" s="176" t="inlineStr">
        <is>
          <t xml:space="preserve">ṕ</t>
        </is>
      </c>
    </row>
    <row r="92" customFormat="false" ht="12.8" hidden="false" customHeight="false" outlineLevel="0" collapsed="false">
      <c r="B92" t="str">
        <f aca="false">DEC2HEX(_xlfn.UNICODE(B91))</f>
        <v>1E57</v>
      </c>
      <c r="C92" t="str">
        <f aca="false">DEC2HEX(_xlfn.UNICODE(C91))</f>
        <v>1A5</v>
      </c>
      <c r="D92" t="str">
        <f aca="false">DEC2HEX(_xlfn.UNICODE(D91))</f>
        <v>1E55</v>
      </c>
    </row>
    <row r="93" customFormat="false" ht="12.8" hidden="false" customHeight="false" outlineLevel="0" collapsed="false">
      <c r="A93" s="176" t="inlineStr">
        <is>
          <t xml:space="preserve">V</t>
        </is>
      </c>
      <c r="B93" s="176" t="inlineStr">
        <is>
          <t xml:space="preserve">Ʋ</t>
        </is>
      </c>
      <c r="C93" s="176" t="inlineStr">
        <is>
          <t xml:space="preserve">Ṽ</t>
        </is>
      </c>
      <c r="D93" s="176" t="inlineStr">
        <is>
          <t xml:space="preserve">Ṿ</t>
        </is>
      </c>
    </row>
    <row r="94" customFormat="false" ht="12.8" hidden="false" customHeight="false" outlineLevel="0" collapsed="false">
      <c r="B94" t="str">
        <f aca="false">DEC2HEX(_xlfn.UNICODE(B93))</f>
        <v>1B2</v>
      </c>
      <c r="C94" t="str">
        <f aca="false">DEC2HEX(_xlfn.UNICODE(C93))</f>
        <v>1E7C</v>
      </c>
      <c r="D94" t="str">
        <f aca="false">DEC2HEX(_xlfn.UNICODE(D93))</f>
        <v>1E7E</v>
      </c>
    </row>
    <row r="95" customFormat="false" ht="12.8" hidden="false" customHeight="false" outlineLevel="0" collapsed="false">
      <c r="A95" s="176" t="inlineStr">
        <is>
          <t xml:space="preserve">v</t>
        </is>
      </c>
      <c r="B95" s="176" t="inlineStr">
        <is>
          <t xml:space="preserve">ʋ</t>
        </is>
      </c>
      <c r="C95" s="176" t="inlineStr">
        <is>
          <t xml:space="preserve">ṽ</t>
        </is>
      </c>
      <c r="D95" s="176" t="inlineStr">
        <is>
          <t xml:space="preserve">ṿ</t>
        </is>
      </c>
    </row>
    <row r="96" customFormat="false" ht="12.8" hidden="false" customHeight="false" outlineLevel="0" collapsed="false">
      <c r="B96" t="str">
        <f aca="false">DEC2HEX(_xlfn.UNICODE(B95))</f>
        <v>28B</v>
      </c>
      <c r="C96" t="str">
        <f aca="false">DEC2HEX(_xlfn.UNICODE(C95))</f>
        <v>1E7D</v>
      </c>
      <c r="D96" t="str">
        <f aca="false">DEC2HEX(_xlfn.UNICODE(D95))</f>
        <v>1E7F</v>
      </c>
    </row>
    <row r="97" customFormat="false" ht="12.8" hidden="false" customHeight="false" outlineLevel="0" collapsed="false">
      <c r="A97" s="176" t="inlineStr">
        <is>
          <t xml:space="preserve">X</t>
        </is>
      </c>
      <c r="B97" s="176" t="inlineStr">
        <is>
          <t xml:space="preserve">Ẋ</t>
        </is>
      </c>
      <c r="C97" s="176" t="inlineStr">
        <is>
          <t xml:space="preserve">Ẍ</t>
        </is>
      </c>
    </row>
    <row r="98" customFormat="false" ht="12.8" hidden="false" customHeight="false" outlineLevel="0" collapsed="false">
      <c r="B98" t="str">
        <f aca="false">DEC2HEX(_xlfn.UNICODE(B97))</f>
        <v>1E8A</v>
      </c>
      <c r="C98" t="str">
        <f aca="false">DEC2HEX(_xlfn.UNICODE(C97))</f>
        <v>1E8C</v>
      </c>
    </row>
    <row r="99" customFormat="false" ht="12.8" hidden="false" customHeight="false" outlineLevel="0" collapsed="false">
      <c r="A99" s="176" t="inlineStr">
        <is>
          <t xml:space="preserve">x</t>
        </is>
      </c>
      <c r="B99" s="176" t="inlineStr">
        <is>
          <t xml:space="preserve">ẋ</t>
        </is>
      </c>
      <c r="C99" s="176" t="inlineStr">
        <is>
          <t xml:space="preserve">ẍ</t>
        </is>
      </c>
    </row>
    <row r="100" customFormat="false" ht="12.8" hidden="false" customHeight="false" outlineLevel="0" collapsed="false">
      <c r="B100" t="str">
        <f aca="false">DEC2HEX(_xlfn.UNICODE(B99))</f>
        <v>1E8B</v>
      </c>
      <c r="C100" t="str">
        <f aca="false">DEC2HEX(_xlfn.UNICODE(C99))</f>
        <v>1E8D</v>
      </c>
    </row>
    <row r="101" customFormat="false" ht="12.8" hidden="false" customHeight="false" outlineLevel="0" collapsed="false">
      <c r="A101" s="176" t="inlineStr">
        <is>
          <t xml:space="preserve">Q</t>
        </is>
      </c>
      <c r="B101" s="176" t="inlineStr">
        <is>
          <t xml:space="preserve">Ɋ</t>
        </is>
      </c>
    </row>
    <row r="102" customFormat="false" ht="12.8" hidden="false" customHeight="false" outlineLevel="0" collapsed="false">
      <c r="B102" t="str">
        <f aca="false">DEC2HEX(_xlfn.UNICODE(B101))</f>
        <v>24A</v>
      </c>
    </row>
    <row r="103" customFormat="false" ht="12.8" hidden="false" customHeight="false" outlineLevel="0" collapsed="false">
      <c r="A103" s="176" t="inlineStr">
        <is>
          <t xml:space="preserve">q</t>
        </is>
      </c>
      <c r="B103" s="176" t="inlineStr">
        <is>
          <t xml:space="preserve">ɋ</t>
        </is>
      </c>
    </row>
    <row r="104" customFormat="false" ht="12.8" hidden="false" customHeight="false" outlineLevel="0" collapsed="false">
      <c r="B104" t="str">
        <f aca="false">DEC2HEX(_xlfn.UNICODE(B103))</f>
        <v>24B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