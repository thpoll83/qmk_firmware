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amed_glyphs" sheetId="1" state="visible" r:id="rId3"/>
    <sheet name="key_lut" sheetId="2" state="visible" r:id="rId4"/>
    <sheet name="latin_sup_ex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<sst xmlns="http://schemas.openxmlformats.org/spreadsheetml/2006/main" count="3795" uniqueCount="1600">
  <si>
    <t xml:space="preserve">NAME</t>
  </si>
  <si>
    <t xml:space="preserve">HEX INPUT</t>
  </si>
  <si>
    <t xml:space="preserve">CALC DEC</t>
  </si>
  <si>
    <t xml:space="preserve">CALC HEX</t>
  </si>
  <si>
    <t xml:space="preserve">UNICHAR</t>
  </si>
  <si>
    <t xml:space="preserve">Distance
Helper</t>
  </si>
  <si>
    <t xml:space="preserve">SPACE</t>
  </si>
  <si>
    <t xml:space="preserve">20</t>
  </si>
  <si>
    <t xml:space="preserve">QUOTE</t>
  </si>
  <si>
    <t xml:space="preserve">22</t>
  </si>
  <si>
    <t xml:space="preserve">COMMA</t>
  </si>
  <si>
    <t xml:space="preserve">2c</t>
  </si>
  <si>
    <t xml:space="preserve">ZERO</t>
  </si>
  <si>
    <t xml:space="preserve">30</t>
  </si>
  <si>
    <t xml:space="preserve">EQUALS</t>
  </si>
  <si>
    <t xml:space="preserve">3d</t>
  </si>
  <si>
    <t xml:space="preserve">BACKSLASH</t>
  </si>
  <si>
    <t xml:space="preserve">5c</t>
  </si>
  <si>
    <t xml:space="preserve">GRAVE_ACCENT</t>
  </si>
  <si>
    <t xml:space="preserve">ICON_LAYER</t>
  </si>
  <si>
    <t xml:space="preserve">ICON_UP</t>
  </si>
  <si>
    <t xml:space="preserve">ICON_DOWN</t>
  </si>
  <si>
    <t xml:space="preserve">ICON_LEFT</t>
  </si>
  <si>
    <t xml:space="preserve">ICON_RIGHT</t>
  </si>
  <si>
    <t xml:space="preserve">ICON_SPACE</t>
  </si>
  <si>
    <t xml:space="preserve">ICON_LMB</t>
  </si>
  <si>
    <t xml:space="preserve">ICON_MMB</t>
  </si>
  <si>
    <t xml:space="preserve">ICON_RMB</t>
  </si>
  <si>
    <t xml:space="preserve">ICON_VOL_UP</t>
  </si>
  <si>
    <t xml:space="preserve">ICON_VOL_DOWN</t>
  </si>
  <si>
    <t xml:space="preserve">008A</t>
  </si>
  <si>
    <t xml:space="preserve">ICON_BACKSPACE</t>
  </si>
  <si>
    <t xml:space="preserve">008B</t>
  </si>
  <si>
    <t xml:space="preserve">ICON_NUMLOCK_OFF</t>
  </si>
  <si>
    <t xml:space="preserve">008C</t>
  </si>
  <si>
    <t xml:space="preserve">ICON_NUMLOCK_ON</t>
  </si>
  <si>
    <t xml:space="preserve">008D</t>
  </si>
  <si>
    <t xml:space="preserve">ICON_CAPSLOCK_OFF</t>
  </si>
  <si>
    <t xml:space="preserve">008E</t>
  </si>
  <si>
    <t xml:space="preserve">ICON_CAPSLOCK_ON</t>
  </si>
  <si>
    <t xml:space="preserve">008F</t>
  </si>
  <si>
    <t xml:space="preserve">ICON_SHIFT</t>
  </si>
  <si>
    <t xml:space="preserve">ICON_SWITCH_ON</t>
  </si>
  <si>
    <t xml:space="preserve">ICON_SWITCH_OFF</t>
  </si>
  <si>
    <t xml:space="preserve">ICON_BONGO_CAT</t>
  </si>
  <si>
    <t xml:space="preserve">INVERTED_EMARK</t>
  </si>
  <si>
    <t xml:space="preserve">a1</t>
  </si>
  <si>
    <t xml:space="preserve">CENT_SIGN</t>
  </si>
  <si>
    <t xml:space="preserve">a2</t>
  </si>
  <si>
    <t xml:space="preserve">POUND_SIGN</t>
  </si>
  <si>
    <t xml:space="preserve">a3</t>
  </si>
  <si>
    <t xml:space="preserve">CURRENCY_SIGN</t>
  </si>
  <si>
    <t xml:space="preserve">a4</t>
  </si>
  <si>
    <t xml:space="preserve">YEN_SIGN</t>
  </si>
  <si>
    <t xml:space="preserve">a5</t>
  </si>
  <si>
    <t xml:space="preserve">BROKEN_BAR</t>
  </si>
  <si>
    <t xml:space="preserve">a6</t>
  </si>
  <si>
    <t xml:space="preserve">SECTION</t>
  </si>
  <si>
    <t xml:space="preserve">A7</t>
  </si>
  <si>
    <t xml:space="preserve">DIAERESIS</t>
  </si>
  <si>
    <t xml:space="preserve">a8</t>
  </si>
  <si>
    <t xml:space="preserve">GREEK_DIALYTIKA</t>
  </si>
  <si>
    <t xml:space="preserve">REGISTERED_SIGN</t>
  </si>
  <si>
    <t xml:space="preserve">a9</t>
  </si>
  <si>
    <t xml:space="preserve">FEM_ORDINAL_IND</t>
  </si>
  <si>
    <t xml:space="preserve">aa</t>
  </si>
  <si>
    <t xml:space="preserve">DBL_ANGLE_QMARK_L</t>
  </si>
  <si>
    <t xml:space="preserve">ab</t>
  </si>
  <si>
    <t xml:space="preserve">NOT_SIGN</t>
  </si>
  <si>
    <t xml:space="preserve">ac</t>
  </si>
  <si>
    <t xml:space="preserve">COPYRIGHT_SIGN</t>
  </si>
  <si>
    <t xml:space="preserve">ae</t>
  </si>
  <si>
    <t xml:space="preserve">DEGREE</t>
  </si>
  <si>
    <t xml:space="preserve">B0</t>
  </si>
  <si>
    <t xml:space="preserve">PLUS_MINUS</t>
  </si>
  <si>
    <t xml:space="preserve">b1</t>
  </si>
  <si>
    <t xml:space="preserve">SUPER_SCRIPT_2</t>
  </si>
  <si>
    <t xml:space="preserve">b2</t>
  </si>
  <si>
    <t xml:space="preserve">SUPER_SCRIPT_3</t>
  </si>
  <si>
    <t xml:space="preserve">b3</t>
  </si>
  <si>
    <t xml:space="preserve">ACUTE_ACCENT</t>
  </si>
  <si>
    <t xml:space="preserve">B4</t>
  </si>
  <si>
    <t xml:space="preserve">MICRO_SIGN</t>
  </si>
  <si>
    <t xml:space="preserve">b5</t>
  </si>
  <si>
    <t xml:space="preserve">PILCROW</t>
  </si>
  <si>
    <t xml:space="preserve">b6</t>
  </si>
  <si>
    <t xml:space="preserve">MIDDLE_DOT</t>
  </si>
  <si>
    <t xml:space="preserve">b7</t>
  </si>
  <si>
    <t xml:space="preserve">CEDILLA</t>
  </si>
  <si>
    <t xml:space="preserve">b8</t>
  </si>
  <si>
    <t xml:space="preserve">SUPER_SCRIPT_1</t>
  </si>
  <si>
    <t xml:space="preserve">b9</t>
  </si>
  <si>
    <t xml:space="preserve">MASC_ORDINAL_IND</t>
  </si>
  <si>
    <t xml:space="preserve">ba</t>
  </si>
  <si>
    <t xml:space="preserve">DBL_ANGLE_QMARK_R</t>
  </si>
  <si>
    <t xml:space="preserve">bb</t>
  </si>
  <si>
    <t xml:space="preserve">QUATER_SIGN</t>
  </si>
  <si>
    <t xml:space="preserve">bc</t>
  </si>
  <si>
    <t xml:space="preserve">HALF_SIGN</t>
  </si>
  <si>
    <t xml:space="preserve">bd</t>
  </si>
  <si>
    <t xml:space="preserve">THREE_QUATER_SIGN</t>
  </si>
  <si>
    <t xml:space="preserve">be</t>
  </si>
  <si>
    <t xml:space="preserve">INVERTED_QMARK</t>
  </si>
  <si>
    <t xml:space="preserve">bf</t>
  </si>
  <si>
    <t xml:space="preserve">A_WITH_GRAVE</t>
  </si>
  <si>
    <t xml:space="preserve">c0</t>
  </si>
  <si>
    <t xml:space="preserve">UMLAUT_A</t>
  </si>
  <si>
    <t xml:space="preserve">c4</t>
  </si>
  <si>
    <t xml:space="preserve">C_WITH_CEDILLA</t>
  </si>
  <si>
    <t xml:space="preserve">c7</t>
  </si>
  <si>
    <t xml:space="preserve">E_WITH_GRAVE</t>
  </si>
  <si>
    <t xml:space="preserve">c8</t>
  </si>
  <si>
    <t xml:space="preserve">E_WITH_ACUTE</t>
  </si>
  <si>
    <t xml:space="preserve">c9</t>
  </si>
  <si>
    <t xml:space="preserve">I_WITH_GRAVE</t>
  </si>
  <si>
    <t xml:space="preserve">cd</t>
  </si>
  <si>
    <t xml:space="preserve">I_WITH_ACUTE</t>
  </si>
  <si>
    <t xml:space="preserve">I_WITH_CIRCUMF</t>
  </si>
  <si>
    <t xml:space="preserve">ce</t>
  </si>
  <si>
    <t xml:space="preserve">N_WITH_TILDE</t>
  </si>
  <si>
    <t xml:space="preserve">d1</t>
  </si>
  <si>
    <t xml:space="preserve">O_WITH_GRAVE</t>
  </si>
  <si>
    <t xml:space="preserve">d2</t>
  </si>
  <si>
    <t xml:space="preserve">O_WITH_ACUTE</t>
  </si>
  <si>
    <t xml:space="preserve">d3</t>
  </si>
  <si>
    <t xml:space="preserve">UMLAUT_O</t>
  </si>
  <si>
    <t xml:space="preserve">d6</t>
  </si>
  <si>
    <t xml:space="preserve">MUL_SIGN</t>
  </si>
  <si>
    <t xml:space="preserve">d7</t>
  </si>
  <si>
    <t xml:space="preserve">U_WITH_GRAVE</t>
  </si>
  <si>
    <t xml:space="preserve">d9</t>
  </si>
  <si>
    <t xml:space="preserve">U_WITH_ACUTE</t>
  </si>
  <si>
    <t xml:space="preserve">da</t>
  </si>
  <si>
    <t xml:space="preserve">UMLAUT_U</t>
  </si>
  <si>
    <t xml:space="preserve">dc</t>
  </si>
  <si>
    <t xml:space="preserve">ESZETT</t>
  </si>
  <si>
    <t xml:space="preserve">DF</t>
  </si>
  <si>
    <t xml:space="preserve">A_WITH_GRAVE_SMALL</t>
  </si>
  <si>
    <t xml:space="preserve">e0</t>
  </si>
  <si>
    <t xml:space="preserve">UMLAUT_A_SMALL</t>
  </si>
  <si>
    <t xml:space="preserve">e4</t>
  </si>
  <si>
    <t xml:space="preserve">LETTER_AE_SMALL</t>
  </si>
  <si>
    <t xml:space="preserve">e6</t>
  </si>
  <si>
    <t xml:space="preserve">C_WITH_CEDILLA_SMALL</t>
  </si>
  <si>
    <t xml:space="preserve">e7</t>
  </si>
  <si>
    <t xml:space="preserve">E_WITH_GRAVE_SMALL</t>
  </si>
  <si>
    <t xml:space="preserve">e8</t>
  </si>
  <si>
    <t xml:space="preserve">E_WITH_ACUTE_SMALL</t>
  </si>
  <si>
    <t xml:space="preserve">e9</t>
  </si>
  <si>
    <t xml:space="preserve">I_WITH_GRAVE_SMALL</t>
  </si>
  <si>
    <t xml:space="preserve">ec</t>
  </si>
  <si>
    <t xml:space="preserve">I_WITH_ACUTE_SMALL</t>
  </si>
  <si>
    <t xml:space="preserve">ed</t>
  </si>
  <si>
    <t xml:space="preserve">I_WITH_CIRCUMF_SMALL</t>
  </si>
  <si>
    <t xml:space="preserve">ee</t>
  </si>
  <si>
    <t xml:space="preserve">N_WITH_TILDE_SMALL</t>
  </si>
  <si>
    <t xml:space="preserve">f1</t>
  </si>
  <si>
    <t xml:space="preserve">O_WITH_GRAVE_SMALL</t>
  </si>
  <si>
    <t xml:space="preserve">f2</t>
  </si>
  <si>
    <t xml:space="preserve">O_WITH_ACUTE_SMALL</t>
  </si>
  <si>
    <t xml:space="preserve">f3</t>
  </si>
  <si>
    <t xml:space="preserve">UMLAUT_O_SMALL</t>
  </si>
  <si>
    <t xml:space="preserve">f6</t>
  </si>
  <si>
    <t xml:space="preserve">DEVISION_SIGN</t>
  </si>
  <si>
    <t xml:space="preserve">f7</t>
  </si>
  <si>
    <t xml:space="preserve">U_WITH_GRAVE_SMALL</t>
  </si>
  <si>
    <t xml:space="preserve">f9</t>
  </si>
  <si>
    <t xml:space="preserve">U_WITH_ACUTE_SMALL</t>
  </si>
  <si>
    <t xml:space="preserve">fa</t>
  </si>
  <si>
    <t xml:space="preserve">UMLAUT_U_SMALL</t>
  </si>
  <si>
    <t xml:space="preserve">fc</t>
  </si>
  <si>
    <t xml:space="preserve">G_WITH_BREVE</t>
  </si>
  <si>
    <t xml:space="preserve">11e</t>
  </si>
  <si>
    <t xml:space="preserve">G_WITH_BREVE_SMALL</t>
  </si>
  <si>
    <t xml:space="preserve">11f</t>
  </si>
  <si>
    <t xml:space="preserve">I_WITH_DOT</t>
  </si>
  <si>
    <t xml:space="preserve">130</t>
  </si>
  <si>
    <t xml:space="preserve">I_DOTLESS_SMALL</t>
  </si>
  <si>
    <t xml:space="preserve">131</t>
  </si>
  <si>
    <t xml:space="preserve">S_WITH_CEDILLA</t>
  </si>
  <si>
    <t xml:space="preserve">15e</t>
  </si>
  <si>
    <t xml:space="preserve">S_WITH_CEDILLA_SMALL</t>
  </si>
  <si>
    <t xml:space="preserve">15F</t>
  </si>
  <si>
    <t xml:space="preserve">GENERATED</t>
  </si>
  <si>
    <t xml:space="preserve">MOD_CIRCUMFLEX</t>
  </si>
  <si>
    <t xml:space="preserve">2C6</t>
  </si>
  <si>
    <t xml:space="preserve">MOD_CARON</t>
  </si>
  <si>
    <t xml:space="preserve">2c7</t>
  </si>
  <si>
    <t xml:space="preserve">MOD_MACRON</t>
  </si>
  <si>
    <t xml:space="preserve">2C9</t>
  </si>
  <si>
    <t xml:space="preserve">MOD_BREVE</t>
  </si>
  <si>
    <t xml:space="preserve">2D8</t>
  </si>
  <si>
    <t xml:space="preserve">MOD_DOT_ACCENT</t>
  </si>
  <si>
    <t xml:space="preserve">2D9</t>
  </si>
  <si>
    <t xml:space="preserve">MOD_RING</t>
  </si>
  <si>
    <t xml:space="preserve">2DA</t>
  </si>
  <si>
    <t xml:space="preserve">MOD_OGONEK</t>
  </si>
  <si>
    <t xml:space="preserve">2DB</t>
  </si>
  <si>
    <t xml:space="preserve">MOD_TILDE</t>
  </si>
  <si>
    <t xml:space="preserve">2DC</t>
  </si>
  <si>
    <t xml:space="preserve">MOD_HUNGARUMLAUT</t>
  </si>
  <si>
    <t xml:space="preserve">2DD</t>
  </si>
  <si>
    <t xml:space="preserve">GREEK_TONOS</t>
  </si>
  <si>
    <t xml:space="preserve">384</t>
  </si>
  <si>
    <t xml:space="preserve">GREEK_DIALYTIKA_TONOS</t>
  </si>
  <si>
    <t xml:space="preserve">385</t>
  </si>
  <si>
    <t xml:space="preserve">GREEK_ALPHA</t>
  </si>
  <si>
    <t xml:space="preserve">391</t>
  </si>
  <si>
    <t xml:space="preserve">GREEK_BETA</t>
  </si>
  <si>
    <t xml:space="preserve">392</t>
  </si>
  <si>
    <t xml:space="preserve">GREEK_GAMMA</t>
  </si>
  <si>
    <t xml:space="preserve">393</t>
  </si>
  <si>
    <t xml:space="preserve">GREEK_DELTA</t>
  </si>
  <si>
    <t xml:space="preserve">394</t>
  </si>
  <si>
    <t xml:space="preserve">GREEK_EPSILON</t>
  </si>
  <si>
    <t xml:space="preserve">395</t>
  </si>
  <si>
    <t xml:space="preserve">GREEK_ZETA</t>
  </si>
  <si>
    <t xml:space="preserve">396</t>
  </si>
  <si>
    <t xml:space="preserve">GREEK_ETA</t>
  </si>
  <si>
    <t xml:space="preserve">397</t>
  </si>
  <si>
    <t xml:space="preserve">GREEK_THETA</t>
  </si>
  <si>
    <t xml:space="preserve">398</t>
  </si>
  <si>
    <t xml:space="preserve">GREEK_IOTA</t>
  </si>
  <si>
    <t xml:space="preserve">399</t>
  </si>
  <si>
    <t xml:space="preserve">GREEK_KAPPA</t>
  </si>
  <si>
    <t xml:space="preserve">39a</t>
  </si>
  <si>
    <t xml:space="preserve">GREEK_LAMDA</t>
  </si>
  <si>
    <t xml:space="preserve">39b</t>
  </si>
  <si>
    <t xml:space="preserve">GREEK_MU</t>
  </si>
  <si>
    <t xml:space="preserve">39c</t>
  </si>
  <si>
    <t xml:space="preserve">GREEK_NU</t>
  </si>
  <si>
    <t xml:space="preserve">39d</t>
  </si>
  <si>
    <t xml:space="preserve">GREEK_XI</t>
  </si>
  <si>
    <t xml:space="preserve">39e</t>
  </si>
  <si>
    <t xml:space="preserve">GREEK_OMICRON</t>
  </si>
  <si>
    <t xml:space="preserve">39f</t>
  </si>
  <si>
    <t xml:space="preserve">GREEK_PI</t>
  </si>
  <si>
    <t xml:space="preserve">3a0</t>
  </si>
  <si>
    <t xml:space="preserve">GREEK_RHO</t>
  </si>
  <si>
    <t xml:space="preserve">3a1</t>
  </si>
  <si>
    <t xml:space="preserve">GREEK_SIGMA</t>
  </si>
  <si>
    <t xml:space="preserve">3a3</t>
  </si>
  <si>
    <t xml:space="preserve">GREEK_TAU</t>
  </si>
  <si>
    <t xml:space="preserve">3a4</t>
  </si>
  <si>
    <t xml:space="preserve">GREEK_UPSILON</t>
  </si>
  <si>
    <t xml:space="preserve">3a5</t>
  </si>
  <si>
    <t xml:space="preserve">GREEK_PHI</t>
  </si>
  <si>
    <t xml:space="preserve">3a6</t>
  </si>
  <si>
    <t xml:space="preserve">GREEK_CHI</t>
  </si>
  <si>
    <t xml:space="preserve">3a7</t>
  </si>
  <si>
    <t xml:space="preserve">GREEK_PSI</t>
  </si>
  <si>
    <t xml:space="preserve">3a8</t>
  </si>
  <si>
    <t xml:space="preserve">GREEK_OMEGA</t>
  </si>
  <si>
    <t xml:space="preserve">3a9</t>
  </si>
  <si>
    <t xml:space="preserve">GREEK_SM_ALPHA</t>
  </si>
  <si>
    <t xml:space="preserve">3b1</t>
  </si>
  <si>
    <t xml:space="preserve">GREEK_SM_BETA</t>
  </si>
  <si>
    <t xml:space="preserve">3b2</t>
  </si>
  <si>
    <t xml:space="preserve">GREEK_SM_GAMMA</t>
  </si>
  <si>
    <t xml:space="preserve">3b3</t>
  </si>
  <si>
    <t xml:space="preserve">GREEK_SM_DELTA</t>
  </si>
  <si>
    <t xml:space="preserve">3b4</t>
  </si>
  <si>
    <t xml:space="preserve">GREEK_SM_EPSILON</t>
  </si>
  <si>
    <t xml:space="preserve">3b5</t>
  </si>
  <si>
    <t xml:space="preserve">GREEK_SM_ZETA</t>
  </si>
  <si>
    <t xml:space="preserve">3b6</t>
  </si>
  <si>
    <t xml:space="preserve">GREEK_SM_ETA</t>
  </si>
  <si>
    <t xml:space="preserve">3b7</t>
  </si>
  <si>
    <t xml:space="preserve">GREEK_SM_THETA</t>
  </si>
  <si>
    <t xml:space="preserve">3b8</t>
  </si>
  <si>
    <t xml:space="preserve">GREEK_SM_IOTA</t>
  </si>
  <si>
    <t xml:space="preserve">3b9</t>
  </si>
  <si>
    <t xml:space="preserve">GREEK_SM_KAPPA</t>
  </si>
  <si>
    <t xml:space="preserve">3ba</t>
  </si>
  <si>
    <t xml:space="preserve">GREEK_SM_LAMDA</t>
  </si>
  <si>
    <t xml:space="preserve">3bb</t>
  </si>
  <si>
    <t xml:space="preserve">GREEK_SM_MU</t>
  </si>
  <si>
    <t xml:space="preserve">3bc</t>
  </si>
  <si>
    <t xml:space="preserve">GREEK_SM_NU</t>
  </si>
  <si>
    <t xml:space="preserve">3bd</t>
  </si>
  <si>
    <t xml:space="preserve">GREEK_SM_XI</t>
  </si>
  <si>
    <t xml:space="preserve">3be</t>
  </si>
  <si>
    <t xml:space="preserve">GREEK_SM_OMICRON</t>
  </si>
  <si>
    <t xml:space="preserve">3bf</t>
  </si>
  <si>
    <t xml:space="preserve">GREEK_SM_PI</t>
  </si>
  <si>
    <t xml:space="preserve">3c0</t>
  </si>
  <si>
    <t xml:space="preserve">GREEK_SM_RHO</t>
  </si>
  <si>
    <t xml:space="preserve">3c1</t>
  </si>
  <si>
    <t xml:space="preserve">GREEK_SM_FINAL_SIGMA</t>
  </si>
  <si>
    <t xml:space="preserve">3c2</t>
  </si>
  <si>
    <t xml:space="preserve">GREEK_SM_SIGMA</t>
  </si>
  <si>
    <t xml:space="preserve">3c3</t>
  </si>
  <si>
    <t xml:space="preserve">GREEK_SM_TAU</t>
  </si>
  <si>
    <t xml:space="preserve">3c4</t>
  </si>
  <si>
    <t xml:space="preserve">GREEK_SM_UPSILON</t>
  </si>
  <si>
    <t xml:space="preserve">3c5</t>
  </si>
  <si>
    <t xml:space="preserve">GREEK_SM_PHI</t>
  </si>
  <si>
    <t xml:space="preserve">3c6</t>
  </si>
  <si>
    <t xml:space="preserve">GREEK_SM_CHI</t>
  </si>
  <si>
    <t xml:space="preserve">3c7</t>
  </si>
  <si>
    <t xml:space="preserve">GREEK_SM_PSI</t>
  </si>
  <si>
    <t xml:space="preserve">3c8</t>
  </si>
  <si>
    <t xml:space="preserve">GREEK_SM_OMEGA</t>
  </si>
  <si>
    <t xml:space="preserve">3c9</t>
  </si>
  <si>
    <t xml:space="preserve">CYRILLIC_IO</t>
  </si>
  <si>
    <t xml:space="preserve">401</t>
  </si>
  <si>
    <t xml:space="preserve">CYRILLIC_UA_IE</t>
  </si>
  <si>
    <t xml:space="preserve">404</t>
  </si>
  <si>
    <t xml:space="preserve">CYRILLIC_BY_YA_I</t>
  </si>
  <si>
    <t xml:space="preserve">406</t>
  </si>
  <si>
    <t xml:space="preserve">CYRILLIC_YI</t>
  </si>
  <si>
    <t xml:space="preserve">407</t>
  </si>
  <si>
    <t xml:space="preserve">CYRILLIC_I_W_GRAVE</t>
  </si>
  <si>
    <t xml:space="preserve">40d</t>
  </si>
  <si>
    <t xml:space="preserve">CYRILLIC_SHORT_U</t>
  </si>
  <si>
    <t xml:space="preserve">40e</t>
  </si>
  <si>
    <t xml:space="preserve">CYRILLIC_A</t>
  </si>
  <si>
    <t xml:space="preserve">CYRILLIC_BE</t>
  </si>
  <si>
    <t xml:space="preserve">CYRILLIC_VE</t>
  </si>
  <si>
    <t xml:space="preserve">CYRILLIC_GHE</t>
  </si>
  <si>
    <t xml:space="preserve">CYRILLIC_DE</t>
  </si>
  <si>
    <t xml:space="preserve">CYRILLIC_IE</t>
  </si>
  <si>
    <t xml:space="preserve">CYRILLIC_ZHE</t>
  </si>
  <si>
    <t xml:space="preserve">CYRILLIC_ZE</t>
  </si>
  <si>
    <t xml:space="preserve">CYRILLIC_I</t>
  </si>
  <si>
    <t xml:space="preserve">CYRILLIC_SHORT_I</t>
  </si>
  <si>
    <t xml:space="preserve">CYRILLIC_KA</t>
  </si>
  <si>
    <t xml:space="preserve">041A</t>
  </si>
  <si>
    <t xml:space="preserve">CYRILLIC_EL</t>
  </si>
  <si>
    <t xml:space="preserve">041B</t>
  </si>
  <si>
    <t xml:space="preserve">CYRILLIC_EM</t>
  </si>
  <si>
    <t xml:space="preserve">041C</t>
  </si>
  <si>
    <t xml:space="preserve">CYRILLIC_EN</t>
  </si>
  <si>
    <t xml:space="preserve">041D</t>
  </si>
  <si>
    <t xml:space="preserve">CYRILLIC_O</t>
  </si>
  <si>
    <t xml:space="preserve">041E</t>
  </si>
  <si>
    <t xml:space="preserve">CYRILLIC_PE</t>
  </si>
  <si>
    <t xml:space="preserve">041F</t>
  </si>
  <si>
    <t xml:space="preserve">CYRILLIC_ER</t>
  </si>
  <si>
    <t xml:space="preserve">CYRILLIC_ES</t>
  </si>
  <si>
    <t xml:space="preserve">CYRILLIC_TE</t>
  </si>
  <si>
    <t xml:space="preserve">CYRILLIC_U</t>
  </si>
  <si>
    <t xml:space="preserve">CYRILLIC_EF</t>
  </si>
  <si>
    <t xml:space="preserve">CYRILLIC_HA</t>
  </si>
  <si>
    <t xml:space="preserve">CYRILLIC_TSE</t>
  </si>
  <si>
    <t xml:space="preserve">CYRILLIC_CHE</t>
  </si>
  <si>
    <t xml:space="preserve">CYRILLIC_SHA</t>
  </si>
  <si>
    <t xml:space="preserve">CYRILLIC_SHCHA</t>
  </si>
  <si>
    <t xml:space="preserve">CYRILLIC_HARD_SIGN</t>
  </si>
  <si>
    <t xml:space="preserve">042A</t>
  </si>
  <si>
    <t xml:space="preserve">CYRILLIC_YERU</t>
  </si>
  <si>
    <t xml:space="preserve">042B</t>
  </si>
  <si>
    <t xml:space="preserve">CYRILLIC_SOFT_SIGN</t>
  </si>
  <si>
    <t xml:space="preserve">042C</t>
  </si>
  <si>
    <t xml:space="preserve">CYRILLIC_E</t>
  </si>
  <si>
    <t xml:space="preserve">042D</t>
  </si>
  <si>
    <t xml:space="preserve">CYRILLIC_YU</t>
  </si>
  <si>
    <t xml:space="preserve">042E</t>
  </si>
  <si>
    <t xml:space="preserve">CYRILLIC_YA</t>
  </si>
  <si>
    <t xml:space="preserve">042F</t>
  </si>
  <si>
    <t xml:space="preserve">CYRILLIC_SM_A</t>
  </si>
  <si>
    <t xml:space="preserve">CYRILLIC_SM_BE</t>
  </si>
  <si>
    <t xml:space="preserve">CYRILLIC_SM_VE</t>
  </si>
  <si>
    <t xml:space="preserve">CYRILLIC_SM_GHE</t>
  </si>
  <si>
    <t xml:space="preserve">CYRILLIC_SM_DE</t>
  </si>
  <si>
    <t xml:space="preserve">CYRILLIC_SM_IE</t>
  </si>
  <si>
    <t xml:space="preserve">CYRILLIC_SM_ZHE</t>
  </si>
  <si>
    <t xml:space="preserve">CYRILLIC_SM_ZE</t>
  </si>
  <si>
    <t xml:space="preserve">CYRILLIC_SM_I</t>
  </si>
  <si>
    <t xml:space="preserve">CYRILLIC_SM_SHORT_I</t>
  </si>
  <si>
    <t xml:space="preserve">CYRILLIC_SM_KA</t>
  </si>
  <si>
    <t xml:space="preserve">043A</t>
  </si>
  <si>
    <t xml:space="preserve">CYRILLIC_SM_EL</t>
  </si>
  <si>
    <t xml:space="preserve">043B</t>
  </si>
  <si>
    <t xml:space="preserve">CYRILLIC_SM_EM</t>
  </si>
  <si>
    <t xml:space="preserve">043C</t>
  </si>
  <si>
    <t xml:space="preserve">CYRILLIC_SM_EN</t>
  </si>
  <si>
    <t xml:space="preserve">043D</t>
  </si>
  <si>
    <t xml:space="preserve">CYRILLIC_SM_O</t>
  </si>
  <si>
    <t xml:space="preserve">043E</t>
  </si>
  <si>
    <t xml:space="preserve">CYRILLIC_SM_PE</t>
  </si>
  <si>
    <t xml:space="preserve">043F</t>
  </si>
  <si>
    <t xml:space="preserve">CYRILLIC_SM_ER</t>
  </si>
  <si>
    <t xml:space="preserve">CYRILLIC_SM_ES</t>
  </si>
  <si>
    <t xml:space="preserve">CYRILLIC_SM_TE</t>
  </si>
  <si>
    <t xml:space="preserve">CYRILLIC_SM_U</t>
  </si>
  <si>
    <t xml:space="preserve">CYRILLIC_SM_EF</t>
  </si>
  <si>
    <t xml:space="preserve">CYRILLIC_SM_HA</t>
  </si>
  <si>
    <t xml:space="preserve">CYRILLIC_SM_TSE</t>
  </si>
  <si>
    <t xml:space="preserve">CYRILLIC_SM_CHE</t>
  </si>
  <si>
    <t xml:space="preserve">CYRILLIC_SM_SHA</t>
  </si>
  <si>
    <t xml:space="preserve">CYRILLIC_SM_SHCHA</t>
  </si>
  <si>
    <t xml:space="preserve">CYRILLIC_SM_HARD_SIGN</t>
  </si>
  <si>
    <t xml:space="preserve">044A</t>
  </si>
  <si>
    <t xml:space="preserve">CYRILLIC_SM_YERU</t>
  </si>
  <si>
    <t xml:space="preserve">044B</t>
  </si>
  <si>
    <t xml:space="preserve">CYRILLIC_SM_SOFT_SIGN</t>
  </si>
  <si>
    <t xml:space="preserve">044C</t>
  </si>
  <si>
    <t xml:space="preserve">CYRILLIC_SM_E</t>
  </si>
  <si>
    <t xml:space="preserve">044D</t>
  </si>
  <si>
    <t xml:space="preserve">CYRILLIC_SM_YU</t>
  </si>
  <si>
    <t xml:space="preserve">044E</t>
  </si>
  <si>
    <t xml:space="preserve">CYRILLIC_SM_YA</t>
  </si>
  <si>
    <t xml:space="preserve">044F</t>
  </si>
  <si>
    <t xml:space="preserve">CYRILLIC_SM_IO</t>
  </si>
  <si>
    <t xml:space="preserve">CYRILLIC_SM_UA_IE</t>
  </si>
  <si>
    <t xml:space="preserve">CYRILLIC_SM_BY_YA_I</t>
  </si>
  <si>
    <t xml:space="preserve">CYRILLIC_SM_YI</t>
  </si>
  <si>
    <t xml:space="preserve">CYRILLIC_SM_I_W_GRAVE</t>
  </si>
  <si>
    <t xml:space="preserve">45d</t>
  </si>
  <si>
    <t xml:space="preserve">CYRILLIC_SM_SHORT_U</t>
  </si>
  <si>
    <t xml:space="preserve">45e</t>
  </si>
  <si>
    <t xml:space="preserve">CYRILLIC_SM_YAT</t>
  </si>
  <si>
    <t xml:space="preserve">CYRILLIC_SM_BIG_YUS</t>
  </si>
  <si>
    <t xml:space="preserve">46b</t>
  </si>
  <si>
    <t xml:space="preserve">CYRILLIC_GHE_W_UPTURN</t>
  </si>
  <si>
    <t xml:space="preserve">CYRILLIC_SM_GHE_W_UPTURN</t>
  </si>
  <si>
    <t xml:space="preserve">CYRILLIC_GHE_W_STROKE</t>
  </si>
  <si>
    <t xml:space="preserve">CYRILLIC_SM_GHE_W_STROKE</t>
  </si>
  <si>
    <t xml:space="preserve">CYRILLIC_KA_W_DESC</t>
  </si>
  <si>
    <t xml:space="preserve">49a</t>
  </si>
  <si>
    <t xml:space="preserve">CYRILLIC_SM_KA_W_DESC</t>
  </si>
  <si>
    <t xml:space="preserve">49b</t>
  </si>
  <si>
    <t xml:space="preserve">CYRILLIC_EN_W_DESC</t>
  </si>
  <si>
    <t xml:space="preserve">4a2</t>
  </si>
  <si>
    <t xml:space="preserve">CYRILLIC_SM_EN_W_DESC</t>
  </si>
  <si>
    <t xml:space="preserve">4a3</t>
  </si>
  <si>
    <t xml:space="preserve">CYRILLIC_STRAIGHT_U</t>
  </si>
  <si>
    <t xml:space="preserve">4ae</t>
  </si>
  <si>
    <t xml:space="preserve">CYRILLIC_SM_STRAIGHT_U</t>
  </si>
  <si>
    <t xml:space="preserve">4af</t>
  </si>
  <si>
    <t xml:space="preserve">CYRILLIC_STRAIGHT_U_W_STROKE</t>
  </si>
  <si>
    <t xml:space="preserve">4b0</t>
  </si>
  <si>
    <t xml:space="preserve">CYRILLIC_SM_STRAIGHT_U_W_STROKE</t>
  </si>
  <si>
    <t xml:space="preserve">4b1</t>
  </si>
  <si>
    <t xml:space="preserve">CYRILLIC_SHHA</t>
  </si>
  <si>
    <t xml:space="preserve">4ba</t>
  </si>
  <si>
    <t xml:space="preserve">CYRILLIC_SM_SHHA</t>
  </si>
  <si>
    <t xml:space="preserve">4bb</t>
  </si>
  <si>
    <t xml:space="preserve">CYRILLIC_SCHWA</t>
  </si>
  <si>
    <t xml:space="preserve">4d8</t>
  </si>
  <si>
    <t xml:space="preserve">CYRILLIC_SM_SCHWA</t>
  </si>
  <si>
    <t xml:space="preserve">4d9</t>
  </si>
  <si>
    <t xml:space="preserve">CYRILLIC_BARRED_O</t>
  </si>
  <si>
    <t xml:space="preserve">4e8</t>
  </si>
  <si>
    <t xml:space="preserve">CYRILLIC_SM_BARRED_O</t>
  </si>
  <si>
    <t xml:space="preserve">4e9</t>
  </si>
  <si>
    <t xml:space="preserve">HEBREW_SHEVA</t>
  </si>
  <si>
    <t xml:space="preserve">HEBREW_HATAF_SEGOL</t>
  </si>
  <si>
    <t xml:space="preserve">HEBREW_HATAF_PATAH</t>
  </si>
  <si>
    <t xml:space="preserve">HEBREW_HATAF_QAMATS</t>
  </si>
  <si>
    <t xml:space="preserve">HEBREW_HIRIQ</t>
  </si>
  <si>
    <t xml:space="preserve">HEBREW_TSERE</t>
  </si>
  <si>
    <t xml:space="preserve">HEBREW_SEGOL</t>
  </si>
  <si>
    <t xml:space="preserve">HEBREW_PATAH</t>
  </si>
  <si>
    <t xml:space="preserve">HEBREW_QAMATS</t>
  </si>
  <si>
    <t xml:space="preserve">HEBREW_HOLAM</t>
  </si>
  <si>
    <t xml:space="preserve">HEBREW_HOLAM_HASER</t>
  </si>
  <si>
    <t xml:space="preserve">HEBREW_QUBUTS</t>
  </si>
  <si>
    <t xml:space="preserve">HEBREW_DAGESH</t>
  </si>
  <si>
    <t xml:space="preserve">HEBREW_METEG</t>
  </si>
  <si>
    <t xml:space="preserve">HEBREW_MAQAF</t>
  </si>
  <si>
    <t xml:space="preserve">HEBREW_RAFE</t>
  </si>
  <si>
    <t xml:space="preserve">HEBREW_PASEQ</t>
  </si>
  <si>
    <t xml:space="preserve">HEBREW_SHIN_DOT</t>
  </si>
  <si>
    <t xml:space="preserve">HEBREW_SIN_DOT</t>
  </si>
  <si>
    <t xml:space="preserve">HEBREW_SOFPASUQ</t>
  </si>
  <si>
    <t xml:space="preserve">HEBREW_UPPER_DOT</t>
  </si>
  <si>
    <t xml:space="preserve">HEBREW_LOWER_DOT</t>
  </si>
  <si>
    <t xml:space="preserve">HEBREW_NUNHAFUKHA</t>
  </si>
  <si>
    <t xml:space="preserve">HEBREW_QAMATS_QATAN</t>
  </si>
  <si>
    <t xml:space="preserve">HEBREW_ALEF</t>
  </si>
  <si>
    <t xml:space="preserve">HEBREW_BET</t>
  </si>
  <si>
    <t xml:space="preserve">HEBREW_GIMEL</t>
  </si>
  <si>
    <t xml:space="preserve">HEBREW_DALET</t>
  </si>
  <si>
    <t xml:space="preserve">HEBREW_HE</t>
  </si>
  <si>
    <t xml:space="preserve">HEBREW_VAV</t>
  </si>
  <si>
    <t xml:space="preserve">HEBREW_ZAYIN</t>
  </si>
  <si>
    <t xml:space="preserve">HEBREW_HET</t>
  </si>
  <si>
    <t xml:space="preserve">HEBREW_TET</t>
  </si>
  <si>
    <t xml:space="preserve">HEBREW_YOD</t>
  </si>
  <si>
    <t xml:space="preserve">HEBREW_KAF_FINAL</t>
  </si>
  <si>
    <t xml:space="preserve">HEBREW_KAF</t>
  </si>
  <si>
    <t xml:space="preserve">HEBREW_LAMED</t>
  </si>
  <si>
    <t xml:space="preserve">HEBREW_MEM_FINAL</t>
  </si>
  <si>
    <t xml:space="preserve">HEBREW_MEM</t>
  </si>
  <si>
    <t xml:space="preserve">HEBREW_NUN_FINAL</t>
  </si>
  <si>
    <t xml:space="preserve">HEBREW_NUN</t>
  </si>
  <si>
    <t xml:space="preserve">HEBREW_SAMEKH</t>
  </si>
  <si>
    <t xml:space="preserve">HEBREW_AYIN</t>
  </si>
  <si>
    <t xml:space="preserve">HEBREW_PE_FINAL</t>
  </si>
  <si>
    <t xml:space="preserve">HEBREW_PE</t>
  </si>
  <si>
    <t xml:space="preserve">HEBREW_TSADI_FINAL</t>
  </si>
  <si>
    <t xml:space="preserve">HEBREW_TSADI</t>
  </si>
  <si>
    <t xml:space="preserve">HEBREW_QOF</t>
  </si>
  <si>
    <t xml:space="preserve">HEBREW_RESH</t>
  </si>
  <si>
    <t xml:space="preserve">HEBREW_SHIN</t>
  </si>
  <si>
    <t xml:space="preserve">HEBREW_TAV</t>
  </si>
  <si>
    <t xml:space="preserve">YIDDISH_VAV_DBL</t>
  </si>
  <si>
    <t xml:space="preserve">YIDDISH_VAV_YOD</t>
  </si>
  <si>
    <t xml:space="preserve">YIDDISH_YOD_DBL</t>
  </si>
  <si>
    <t xml:space="preserve">HEBREW_GERESH</t>
  </si>
  <si>
    <t xml:space="preserve">HEBREW_GERESHAYIM</t>
  </si>
  <si>
    <t xml:space="preserve">ARABIC_COMMA</t>
  </si>
  <si>
    <t xml:space="preserve">60c</t>
  </si>
  <si>
    <t xml:space="preserve">،</t>
  </si>
  <si>
    <t xml:space="preserve">ARABIC_SEMICOLON</t>
  </si>
  <si>
    <t xml:space="preserve">61b</t>
  </si>
  <si>
    <t xml:space="preserve">؛</t>
  </si>
  <si>
    <t xml:space="preserve">ARABIC_QMARK</t>
  </si>
  <si>
    <t xml:space="preserve">061F</t>
  </si>
  <si>
    <t xml:space="preserve">؟</t>
  </si>
  <si>
    <t xml:space="preserve">ARABIC_KASHMIRI_YEH</t>
  </si>
  <si>
    <t xml:space="preserve">ؠ</t>
  </si>
  <si>
    <t xml:space="preserve">ARABIC_HAMZA</t>
  </si>
  <si>
    <t xml:space="preserve">ء</t>
  </si>
  <si>
    <t xml:space="preserve">ARABIC_ALEF_MADDA_A</t>
  </si>
  <si>
    <t xml:space="preserve">آ</t>
  </si>
  <si>
    <t xml:space="preserve">ARABIC_ALEF_HAMZA_A</t>
  </si>
  <si>
    <t xml:space="preserve">أ</t>
  </si>
  <si>
    <t xml:space="preserve">ARABIC_WAW_HAMZA_A</t>
  </si>
  <si>
    <t xml:space="preserve">ؤ</t>
  </si>
  <si>
    <t xml:space="preserve">ARABIC_ALEF_HAMZA_B</t>
  </si>
  <si>
    <t xml:space="preserve">إ</t>
  </si>
  <si>
    <t xml:space="preserve">ARABIC_YEH_HAMZA_A</t>
  </si>
  <si>
    <t xml:space="preserve">ئ</t>
  </si>
  <si>
    <t xml:space="preserve">ARABIC_ALEF</t>
  </si>
  <si>
    <t xml:space="preserve">ا</t>
  </si>
  <si>
    <t xml:space="preserve">ARABIC_BEH</t>
  </si>
  <si>
    <t xml:space="preserve">ب</t>
  </si>
  <si>
    <t xml:space="preserve">ARABIC_TEH_MARBUTA</t>
  </si>
  <si>
    <t xml:space="preserve">ة</t>
  </si>
  <si>
    <t xml:space="preserve">ARABIC_TEH</t>
  </si>
  <si>
    <t xml:space="preserve">062A</t>
  </si>
  <si>
    <t xml:space="preserve">ت</t>
  </si>
  <si>
    <t xml:space="preserve">ARABIC_THEH</t>
  </si>
  <si>
    <t xml:space="preserve">062B</t>
  </si>
  <si>
    <t xml:space="preserve">ث</t>
  </si>
  <si>
    <t xml:space="preserve">ARABIC_JEEM</t>
  </si>
  <si>
    <t xml:space="preserve">062C</t>
  </si>
  <si>
    <t xml:space="preserve">ج</t>
  </si>
  <si>
    <t xml:space="preserve">ARABIC_HAH</t>
  </si>
  <si>
    <t xml:space="preserve">062D</t>
  </si>
  <si>
    <t xml:space="preserve">ح</t>
  </si>
  <si>
    <t xml:space="preserve">ARABIC_KHAH</t>
  </si>
  <si>
    <t xml:space="preserve">062E</t>
  </si>
  <si>
    <t xml:space="preserve">خ</t>
  </si>
  <si>
    <t xml:space="preserve">ARABIC_DAL</t>
  </si>
  <si>
    <t xml:space="preserve">062F</t>
  </si>
  <si>
    <t xml:space="preserve">د</t>
  </si>
  <si>
    <t xml:space="preserve">ARABIC_THAL</t>
  </si>
  <si>
    <t xml:space="preserve">ذ</t>
  </si>
  <si>
    <t xml:space="preserve">ARABIC_REH</t>
  </si>
  <si>
    <t xml:space="preserve">ر</t>
  </si>
  <si>
    <t xml:space="preserve">ARABIC_ZAIN</t>
  </si>
  <si>
    <t xml:space="preserve">ز</t>
  </si>
  <si>
    <t xml:space="preserve">ARABIC_SEEN</t>
  </si>
  <si>
    <t xml:space="preserve">س</t>
  </si>
  <si>
    <t xml:space="preserve">ARABIC_SHEEN</t>
  </si>
  <si>
    <t xml:space="preserve">ش</t>
  </si>
  <si>
    <t xml:space="preserve">ARABIC_SAD</t>
  </si>
  <si>
    <t xml:space="preserve">ص</t>
  </si>
  <si>
    <t xml:space="preserve">ARABIC_DAD</t>
  </si>
  <si>
    <t xml:space="preserve">ض</t>
  </si>
  <si>
    <t xml:space="preserve">ARABIC_TAH</t>
  </si>
  <si>
    <t xml:space="preserve">ط</t>
  </si>
  <si>
    <t xml:space="preserve">ARABIC_ZAH</t>
  </si>
  <si>
    <t xml:space="preserve">ظ</t>
  </si>
  <si>
    <t xml:space="preserve">ARABIC_AIN</t>
  </si>
  <si>
    <t xml:space="preserve">ع</t>
  </si>
  <si>
    <t xml:space="preserve">ARABIC_GHAIN</t>
  </si>
  <si>
    <t xml:space="preserve">063A</t>
  </si>
  <si>
    <t xml:space="preserve">غ</t>
  </si>
  <si>
    <t xml:space="preserve">ARABIC_KEHEH_2D_A</t>
  </si>
  <si>
    <t xml:space="preserve">063B</t>
  </si>
  <si>
    <t xml:space="preserve">ػ</t>
  </si>
  <si>
    <t xml:space="preserve">ARABIC_KEHEH_3D_B</t>
  </si>
  <si>
    <t xml:space="preserve">063C</t>
  </si>
  <si>
    <t xml:space="preserve">ؼ</t>
  </si>
  <si>
    <t xml:space="preserve">ARABIC_FARSI_YEH_INV_V</t>
  </si>
  <si>
    <t xml:space="preserve">063D</t>
  </si>
  <si>
    <t xml:space="preserve">ؽ</t>
  </si>
  <si>
    <t xml:space="preserve">ARABIC_FARSI_YEH_2D_A</t>
  </si>
  <si>
    <t xml:space="preserve">063E</t>
  </si>
  <si>
    <t xml:space="preserve">ؾ</t>
  </si>
  <si>
    <t xml:space="preserve">ARABIC_FARSI_YEH_3D_A</t>
  </si>
  <si>
    <t xml:space="preserve">063F</t>
  </si>
  <si>
    <t xml:space="preserve">ؿ</t>
  </si>
  <si>
    <t xml:space="preserve">ARABIC_TATWEEL</t>
  </si>
  <si>
    <t xml:space="preserve">ـ</t>
  </si>
  <si>
    <t xml:space="preserve">ARABIC_FEH</t>
  </si>
  <si>
    <t xml:space="preserve">ف</t>
  </si>
  <si>
    <t xml:space="preserve">ARABIC_QAF</t>
  </si>
  <si>
    <t xml:space="preserve">ق</t>
  </si>
  <si>
    <t xml:space="preserve">ARABIC_KAF</t>
  </si>
  <si>
    <t xml:space="preserve">ك</t>
  </si>
  <si>
    <t xml:space="preserve">ARABIC_LAM</t>
  </si>
  <si>
    <t xml:space="preserve">ل</t>
  </si>
  <si>
    <t xml:space="preserve">ARABIC_MEEM</t>
  </si>
  <si>
    <t xml:space="preserve">م</t>
  </si>
  <si>
    <t xml:space="preserve">ARABIC_NOON</t>
  </si>
  <si>
    <t xml:space="preserve">ن</t>
  </si>
  <si>
    <t xml:space="preserve">ARABIC_HEH</t>
  </si>
  <si>
    <t xml:space="preserve">ه</t>
  </si>
  <si>
    <t xml:space="preserve">ARABIC_WAW</t>
  </si>
  <si>
    <t xml:space="preserve">و</t>
  </si>
  <si>
    <t xml:space="preserve">ARABIC_ALEF_MAKSURA</t>
  </si>
  <si>
    <t xml:space="preserve">ARABIC_YEH</t>
  </si>
  <si>
    <t xml:space="preserve">064A</t>
  </si>
  <si>
    <t xml:space="preserve">ARABIC_FATHATAN</t>
  </si>
  <si>
    <t xml:space="preserve">64b</t>
  </si>
  <si>
    <t xml:space="preserve">ARABIC_DAMMATAN</t>
  </si>
  <si>
    <t xml:space="preserve">64c</t>
  </si>
  <si>
    <t xml:space="preserve">ARABIC_KASRATAN</t>
  </si>
  <si>
    <t xml:space="preserve">64d</t>
  </si>
  <si>
    <t xml:space="preserve">ARABIC_FATHA</t>
  </si>
  <si>
    <t xml:space="preserve">64e</t>
  </si>
  <si>
    <t xml:space="preserve">ARABIC_DAMMA</t>
  </si>
  <si>
    <t xml:space="preserve">64f</t>
  </si>
  <si>
    <t xml:space="preserve">ARABIC_KASRA</t>
  </si>
  <si>
    <t xml:space="preserve">650</t>
  </si>
  <si>
    <t xml:space="preserve">ARABIC_SHADDA</t>
  </si>
  <si>
    <t xml:space="preserve">651</t>
  </si>
  <si>
    <t xml:space="preserve">ARABIC_SUKUN</t>
  </si>
  <si>
    <t xml:space="preserve">652</t>
  </si>
  <si>
    <t xml:space="preserve">ARABIC_INDIC_0</t>
  </si>
  <si>
    <t xml:space="preserve">ARABIC_INDIC_1</t>
  </si>
  <si>
    <t xml:space="preserve">ARABIC_INDIC_2</t>
  </si>
  <si>
    <t xml:space="preserve">ARABIC_INDIC_3</t>
  </si>
  <si>
    <t xml:space="preserve">ARABIC_INDIC_4</t>
  </si>
  <si>
    <t xml:space="preserve">ARABIC_INDIC_5</t>
  </si>
  <si>
    <t xml:space="preserve">ARABIC_INDIC_6</t>
  </si>
  <si>
    <t xml:space="preserve">ARABIC_INDIC_7</t>
  </si>
  <si>
    <t xml:space="preserve">ARABIC_INDIC_8</t>
  </si>
  <si>
    <t xml:space="preserve">ARABIC_INDIC_9</t>
  </si>
  <si>
    <t xml:space="preserve">HANGEUL_KIYEOK</t>
  </si>
  <si>
    <t xml:space="preserve">HANGEUL_SSANGKIYEOK</t>
  </si>
  <si>
    <t xml:space="preserve">HANGEUL_NIEUN</t>
  </si>
  <si>
    <t xml:space="preserve">HANGEUL_TIKEUT</t>
  </si>
  <si>
    <t xml:space="preserve">HANGEUL_SSANGTIKEUT</t>
  </si>
  <si>
    <t xml:space="preserve">HANGEUL_RIEUL</t>
  </si>
  <si>
    <t xml:space="preserve">HANGEUL_MIEUM</t>
  </si>
  <si>
    <t xml:space="preserve">HANGEUL_PIEUP</t>
  </si>
  <si>
    <t xml:space="preserve">HANGEUL_SSANGPIEUP</t>
  </si>
  <si>
    <t xml:space="preserve">HANGEUL_SIOS</t>
  </si>
  <si>
    <t xml:space="preserve">HANGEUL_SSANGSIOS</t>
  </si>
  <si>
    <t xml:space="preserve">110A</t>
  </si>
  <si>
    <t xml:space="preserve">HANGEUL_IEUNG</t>
  </si>
  <si>
    <t xml:space="preserve">110B</t>
  </si>
  <si>
    <t xml:space="preserve">HANGEUL_CIEUC</t>
  </si>
  <si>
    <t xml:space="preserve">110C</t>
  </si>
  <si>
    <t xml:space="preserve">HANGEUL_SSANGCIEUC</t>
  </si>
  <si>
    <t xml:space="preserve">110D</t>
  </si>
  <si>
    <t xml:space="preserve">HANGEUL_CHIEUCH</t>
  </si>
  <si>
    <t xml:space="preserve">110E</t>
  </si>
  <si>
    <t xml:space="preserve">HANGEUL_KHIEUKH</t>
  </si>
  <si>
    <t xml:space="preserve">110F</t>
  </si>
  <si>
    <t xml:space="preserve">HANGEUL_THIEUTH</t>
  </si>
  <si>
    <t xml:space="preserve">HANGEUL_PHIEUPH</t>
  </si>
  <si>
    <t xml:space="preserve">HANGEUL_HIEUH</t>
  </si>
  <si>
    <t xml:space="preserve">HANGEUL_A</t>
  </si>
  <si>
    <t xml:space="preserve">HANGEUL_AE</t>
  </si>
  <si>
    <t xml:space="preserve">HANGEUL_YA</t>
  </si>
  <si>
    <t xml:space="preserve">HANGEUL_YAE</t>
  </si>
  <si>
    <t xml:space="preserve">HANGEUL_EO</t>
  </si>
  <si>
    <t xml:space="preserve">HANGEUL_E</t>
  </si>
  <si>
    <t xml:space="preserve">HANGEUL_YEO</t>
  </si>
  <si>
    <t xml:space="preserve">HANGEUL_YE</t>
  </si>
  <si>
    <t xml:space="preserve">HANGEUL_O</t>
  </si>
  <si>
    <t xml:space="preserve">HANGEUL_YO</t>
  </si>
  <si>
    <t xml:space="preserve">116D</t>
  </si>
  <si>
    <t xml:space="preserve">HANGEUL_U</t>
  </si>
  <si>
    <t xml:space="preserve">116E</t>
  </si>
  <si>
    <t xml:space="preserve">HANGEUL_YU</t>
  </si>
  <si>
    <t xml:space="preserve">HANGEUL_EU</t>
  </si>
  <si>
    <t xml:space="preserve">HANGEUL_I</t>
  </si>
  <si>
    <t xml:space="preserve">CAPITAL_SZ</t>
  </si>
  <si>
    <t xml:space="preserve">1e9e</t>
  </si>
  <si>
    <t xml:space="preserve">NEW_SHEQEL_SIGN</t>
  </si>
  <si>
    <t xml:space="preserve">20aa</t>
  </si>
  <si>
    <t xml:space="preserve">DONG_SIGN</t>
  </si>
  <si>
    <t xml:space="preserve">20ab</t>
  </si>
  <si>
    <t xml:space="preserve">EURO_SIGN</t>
  </si>
  <si>
    <t xml:space="preserve">20ac</t>
  </si>
  <si>
    <t xml:space="preserve">HRYVNIA_SIGN</t>
  </si>
  <si>
    <t xml:space="preserve">20b4</t>
  </si>
  <si>
    <t xml:space="preserve">NUMERO_SIGN</t>
  </si>
  <si>
    <t xml:space="preserve">2116</t>
  </si>
  <si>
    <t xml:space="preserve">TECHNICAL_COMMAND</t>
  </si>
  <si>
    <t xml:space="preserve">TECHNICAL_OPTION</t>
  </si>
  <si>
    <t xml:space="preserve">TECHNICAL_ERASERIGHT</t>
  </si>
  <si>
    <t xml:space="preserve">TECHNICAL_ERASELEFT</t>
  </si>
  <si>
    <t xml:space="preserve">232B</t>
  </si>
  <si>
    <t xml:space="preserve">TECHNICAL_ALTERNATIVE</t>
  </si>
  <si>
    <t xml:space="preserve">TECHNICAL_CONTROL</t>
  </si>
  <si>
    <t xml:space="preserve">TECHNICAL_ESCAPE</t>
  </si>
  <si>
    <t xml:space="preserve">238B</t>
  </si>
  <si>
    <t xml:space="preserve">PRINT_SCREEN</t>
  </si>
  <si>
    <t xml:space="preserve">BLACK_RECTANGLE</t>
  </si>
  <si>
    <t xml:space="preserve">25ac</t>
  </si>
  <si>
    <t xml:space="preserve">BOX_WITH_CHECK_MARK</t>
  </si>
  <si>
    <t xml:space="preserve">CHESS_W_KING</t>
  </si>
  <si>
    <t xml:space="preserve">CHESS_W_QUEEN</t>
  </si>
  <si>
    <t xml:space="preserve">CHESS_W_ROOK</t>
  </si>
  <si>
    <t xml:space="preserve">CHESS_W_BISHOP</t>
  </si>
  <si>
    <t xml:space="preserve">CHESS_W_KNIGHT</t>
  </si>
  <si>
    <t xml:space="preserve">CHESS_W_PAWN</t>
  </si>
  <si>
    <t xml:space="preserve">CHESS_B_KING</t>
  </si>
  <si>
    <t xml:space="preserve">265a</t>
  </si>
  <si>
    <t xml:space="preserve">CHESS_B_QUEEN</t>
  </si>
  <si>
    <t xml:space="preserve">265b</t>
  </si>
  <si>
    <t xml:space="preserve">CHESS_B_ROOK</t>
  </si>
  <si>
    <t xml:space="preserve">265c</t>
  </si>
  <si>
    <t xml:space="preserve">CHESS_B_BISHOP</t>
  </si>
  <si>
    <t xml:space="preserve">265d</t>
  </si>
  <si>
    <t xml:space="preserve">CHESS_B_KNIGHT</t>
  </si>
  <si>
    <t xml:space="preserve">265e</t>
  </si>
  <si>
    <t xml:space="preserve">CHESS_B_PAWN</t>
  </si>
  <si>
    <t xml:space="preserve">265f</t>
  </si>
  <si>
    <t xml:space="preserve">CLIPBOARD_CUT</t>
  </si>
  <si>
    <t xml:space="preserve">DINGBAT_BLACK_DIA_X</t>
  </si>
  <si>
    <t xml:space="preserve">ARROWS_CIRCLE</t>
  </si>
  <si>
    <t xml:space="preserve">2B6F</t>
  </si>
  <si>
    <t xml:space="preserve">ARROWS_LEFTSTOP</t>
  </si>
  <si>
    <t xml:space="preserve">2B70</t>
  </si>
  <si>
    <t xml:space="preserve">ARROWS_UPSTOP</t>
  </si>
  <si>
    <t xml:space="preserve">2B71</t>
  </si>
  <si>
    <t xml:space="preserve">ARROWS_RIGHTSTOP</t>
  </si>
  <si>
    <t xml:space="preserve">2B72</t>
  </si>
  <si>
    <t xml:space="preserve">ARROWS_DOWNSTOP</t>
  </si>
  <si>
    <t xml:space="preserve">2B73</t>
  </si>
  <si>
    <t xml:space="preserve">ARROWS_TAB</t>
  </si>
  <si>
    <t xml:space="preserve">2B7E</t>
  </si>
  <si>
    <t xml:space="preserve">ARROWS_UNDO</t>
  </si>
  <si>
    <t xml:space="preserve">2b8c</t>
  </si>
  <si>
    <t xml:space="preserve">ARROWS_REDO</t>
  </si>
  <si>
    <t xml:space="preserve">2b8e</t>
  </si>
  <si>
    <t xml:space="preserve">ARROWS_RETURN</t>
  </si>
  <si>
    <t xml:space="preserve">2BA0</t>
  </si>
  <si>
    <t xml:space="preserve">KANGXI_RADICAL_ONE</t>
  </si>
  <si>
    <t xml:space="preserve">2f00</t>
  </si>
  <si>
    <t xml:space="preserve">KANGXI_RADICAL_MAN</t>
  </si>
  <si>
    <t xml:space="preserve">2f08</t>
  </si>
  <si>
    <t xml:space="preserve">KANGXI_RADICAL_TEN</t>
  </si>
  <si>
    <t xml:space="preserve">2f17</t>
  </si>
  <si>
    <t xml:space="preserve">KANGXI_RADICAL_DIVINATION</t>
  </si>
  <si>
    <t xml:space="preserve">2f18</t>
  </si>
  <si>
    <t xml:space="preserve">KANGXI_RADICAL_MOUTH</t>
  </si>
  <si>
    <t xml:space="preserve">2f1d</t>
  </si>
  <si>
    <t xml:space="preserve">KANGXI_RADICAL_EARTH</t>
  </si>
  <si>
    <t xml:space="preserve">2f20</t>
  </si>
  <si>
    <t xml:space="preserve">KANGXI_RADICAL_BIG</t>
  </si>
  <si>
    <t xml:space="preserve">2f24</t>
  </si>
  <si>
    <t xml:space="preserve">KANGXI_RADICAL_WOMAN</t>
  </si>
  <si>
    <t xml:space="preserve">2f25</t>
  </si>
  <si>
    <t xml:space="preserve">KANGXI_RADICAL_CORPSE</t>
  </si>
  <si>
    <t xml:space="preserve">2f2b</t>
  </si>
  <si>
    <t xml:space="preserve">KANGXI_RADICAL_MOUNTAIN</t>
  </si>
  <si>
    <t xml:space="preserve">2f2d</t>
  </si>
  <si>
    <t xml:space="preserve">KANGXI_RADICAL_BOW</t>
  </si>
  <si>
    <t xml:space="preserve">2f38</t>
  </si>
  <si>
    <t xml:space="preserve">KANGXI_RADICAL_HEART</t>
  </si>
  <si>
    <t xml:space="preserve">2f3c</t>
  </si>
  <si>
    <t xml:space="preserve">KANGXI_RADICAL_HALBERD</t>
  </si>
  <si>
    <t xml:space="preserve">2f3d</t>
  </si>
  <si>
    <t xml:space="preserve">KANGXI_RADICAL_HAND</t>
  </si>
  <si>
    <t xml:space="preserve">2f3f</t>
  </si>
  <si>
    <t xml:space="preserve">KANGXI_RADICAL_SUN</t>
  </si>
  <si>
    <t xml:space="preserve">2f47</t>
  </si>
  <si>
    <t xml:space="preserve">KANGXI_RADICAL_MOON</t>
  </si>
  <si>
    <t xml:space="preserve">2f49</t>
  </si>
  <si>
    <t xml:space="preserve">KANGXI_RADICAL_TREE</t>
  </si>
  <si>
    <t xml:space="preserve">2f4a</t>
  </si>
  <si>
    <t xml:space="preserve">KANGXI_RADICAL_WATER</t>
  </si>
  <si>
    <t xml:space="preserve">2f54</t>
  </si>
  <si>
    <t xml:space="preserve">KANGXI_RADICAL_FIRE</t>
  </si>
  <si>
    <t xml:space="preserve">2f55</t>
  </si>
  <si>
    <t xml:space="preserve">KANGXI_RADICAL_FIELD</t>
  </si>
  <si>
    <t xml:space="preserve">2f65</t>
  </si>
  <si>
    <t xml:space="preserve">KANGXI_RADICAL_BAMBOO</t>
  </si>
  <si>
    <t xml:space="preserve">2f75</t>
  </si>
  <si>
    <t xml:space="preserve">KANGXI_RADICAL_GOLD</t>
  </si>
  <si>
    <t xml:space="preserve">2fa6</t>
  </si>
  <si>
    <t xml:space="preserve">CJK_IDEOG_COMMA</t>
  </si>
  <si>
    <t xml:space="preserve">CJK_IDEOG_FSTOP</t>
  </si>
  <si>
    <t xml:space="preserve">LANGLE_BRACKET</t>
  </si>
  <si>
    <t xml:space="preserve">3008</t>
  </si>
  <si>
    <t xml:space="preserve">RANGLE_BRACKET</t>
  </si>
  <si>
    <t xml:space="preserve">3009</t>
  </si>
  <si>
    <t xml:space="preserve">LANGLE_BRACKET_DBL</t>
  </si>
  <si>
    <t xml:space="preserve">300a</t>
  </si>
  <si>
    <t xml:space="preserve">RANGLE_BRACKET_DBL</t>
  </si>
  <si>
    <t xml:space="preserve">300b</t>
  </si>
  <si>
    <t xml:space="preserve">LCORNER_BRKT</t>
  </si>
  <si>
    <t xml:space="preserve">300C</t>
  </si>
  <si>
    <t xml:space="preserve">RCORNER_BRKT</t>
  </si>
  <si>
    <t xml:space="preserve">300D</t>
  </si>
  <si>
    <t xml:space="preserve">LWCORNER_BRACKET</t>
  </si>
  <si>
    <t xml:space="preserve">300e</t>
  </si>
  <si>
    <t xml:space="preserve">RWCORNER_BRACKET</t>
  </si>
  <si>
    <t xml:space="preserve">300f</t>
  </si>
  <si>
    <t xml:space="preserve">LLENTICULAR_BRACKET</t>
  </si>
  <si>
    <t xml:space="preserve">3010</t>
  </si>
  <si>
    <t xml:space="preserve">RLENTICULAR_BRACKET</t>
  </si>
  <si>
    <t xml:space="preserve">3011</t>
  </si>
  <si>
    <t xml:space="preserve">HIRAGANA_SMALL_A</t>
  </si>
  <si>
    <t xml:space="preserve">HIRAGANA_A</t>
  </si>
  <si>
    <t xml:space="preserve">HIRAGANA_SMALL_I</t>
  </si>
  <si>
    <t xml:space="preserve">HIRAGANA_I</t>
  </si>
  <si>
    <t xml:space="preserve">HIRAGANA_SMALL_U</t>
  </si>
  <si>
    <t xml:space="preserve">HIRAGANA_U</t>
  </si>
  <si>
    <t xml:space="preserve">HIRAGANA_SMALL_E</t>
  </si>
  <si>
    <t xml:space="preserve">HIRAGANA_E</t>
  </si>
  <si>
    <t xml:space="preserve">HIRAGANA_SMALL_O</t>
  </si>
  <si>
    <t xml:space="preserve">HIRAGANA_O</t>
  </si>
  <si>
    <t xml:space="preserve">304A</t>
  </si>
  <si>
    <t xml:space="preserve">HIRAGANA_KA</t>
  </si>
  <si>
    <t xml:space="preserve">304B</t>
  </si>
  <si>
    <t xml:space="preserve">HIRAGANA_GA</t>
  </si>
  <si>
    <t xml:space="preserve">304C</t>
  </si>
  <si>
    <t xml:space="preserve">HIRAGANA_KI</t>
  </si>
  <si>
    <t xml:space="preserve">304D</t>
  </si>
  <si>
    <t xml:space="preserve">HIRAGANA_GI</t>
  </si>
  <si>
    <t xml:space="preserve">304E</t>
  </si>
  <si>
    <t xml:space="preserve">HIRAGANA_KU</t>
  </si>
  <si>
    <t xml:space="preserve">304F</t>
  </si>
  <si>
    <t xml:space="preserve">HIRAGANA_GU</t>
  </si>
  <si>
    <t xml:space="preserve">HIRAGANA_KE</t>
  </si>
  <si>
    <t xml:space="preserve">HIRAGANA_GE</t>
  </si>
  <si>
    <t xml:space="preserve">HIRAGANA_KO</t>
  </si>
  <si>
    <t xml:space="preserve">HIRAGANA_GO</t>
  </si>
  <si>
    <t xml:space="preserve">HIRAGANA_SA</t>
  </si>
  <si>
    <t xml:space="preserve">HIRAGANA_ZA</t>
  </si>
  <si>
    <t xml:space="preserve">HIRAGANA_SI</t>
  </si>
  <si>
    <t xml:space="preserve">HIRAGANA_ZI</t>
  </si>
  <si>
    <t xml:space="preserve">HIRAGANA_SU</t>
  </si>
  <si>
    <t xml:space="preserve">HIRAGANA_ZU</t>
  </si>
  <si>
    <t xml:space="preserve">305A</t>
  </si>
  <si>
    <t xml:space="preserve">HIRAGANA_SE</t>
  </si>
  <si>
    <t xml:space="preserve">305B</t>
  </si>
  <si>
    <t xml:space="preserve">HIRAGANA_ZE</t>
  </si>
  <si>
    <t xml:space="preserve">305C</t>
  </si>
  <si>
    <t xml:space="preserve">HIRAGANA_SO</t>
  </si>
  <si>
    <t xml:space="preserve">305D</t>
  </si>
  <si>
    <t xml:space="preserve">HIRAGANA_ZO</t>
  </si>
  <si>
    <t xml:space="preserve">305E</t>
  </si>
  <si>
    <t xml:space="preserve">HIRAGANA_TA</t>
  </si>
  <si>
    <t xml:space="preserve">305F</t>
  </si>
  <si>
    <t xml:space="preserve">HIRAGANA_DA</t>
  </si>
  <si>
    <t xml:space="preserve">HIRAGANA_TI</t>
  </si>
  <si>
    <t xml:space="preserve">HIRAGANA_DI</t>
  </si>
  <si>
    <t xml:space="preserve">HIRAGANA_SMALL_TU</t>
  </si>
  <si>
    <t xml:space="preserve">HIRAGANA_TU</t>
  </si>
  <si>
    <t xml:space="preserve">HIRAGANA_DU</t>
  </si>
  <si>
    <t xml:space="preserve">HIRAGANA_TE</t>
  </si>
  <si>
    <t xml:space="preserve">HIRAGANA_DE</t>
  </si>
  <si>
    <t xml:space="preserve">HIRAGANA_TO</t>
  </si>
  <si>
    <t xml:space="preserve">HIRAGANA_DO</t>
  </si>
  <si>
    <t xml:space="preserve">HIRAGANA_NA</t>
  </si>
  <si>
    <t xml:space="preserve">306A</t>
  </si>
  <si>
    <t xml:space="preserve">HIRAGANA_NI</t>
  </si>
  <si>
    <t xml:space="preserve">306B</t>
  </si>
  <si>
    <t xml:space="preserve">HIRAGANA_NU</t>
  </si>
  <si>
    <t xml:space="preserve">306C</t>
  </si>
  <si>
    <t xml:space="preserve">HIRAGANA_NE</t>
  </si>
  <si>
    <t xml:space="preserve">306D</t>
  </si>
  <si>
    <t xml:space="preserve">HIRAGANA_NO</t>
  </si>
  <si>
    <t xml:space="preserve">306E</t>
  </si>
  <si>
    <t xml:space="preserve">HIRAGANA_HA</t>
  </si>
  <si>
    <t xml:space="preserve">306F</t>
  </si>
  <si>
    <t xml:space="preserve">HIRAGANA_BA</t>
  </si>
  <si>
    <t xml:space="preserve">HIRAGANA_PA</t>
  </si>
  <si>
    <t xml:space="preserve">HIRAGANA_HI</t>
  </si>
  <si>
    <t xml:space="preserve">HIRAGANA_BI</t>
  </si>
  <si>
    <t xml:space="preserve">HIRAGANA_PI</t>
  </si>
  <si>
    <t xml:space="preserve">HIRAGANA_HU</t>
  </si>
  <si>
    <t xml:space="preserve">HIRAGANA_BU</t>
  </si>
  <si>
    <t xml:space="preserve">HIRAGANA_PU</t>
  </si>
  <si>
    <t xml:space="preserve">HIRAGANA_HE</t>
  </si>
  <si>
    <t xml:space="preserve">HIRAGANA_BE</t>
  </si>
  <si>
    <t xml:space="preserve">HIRAGANA_PE</t>
  </si>
  <si>
    <t xml:space="preserve">307A</t>
  </si>
  <si>
    <t xml:space="preserve">HIRAGANA_HO</t>
  </si>
  <si>
    <t xml:space="preserve">307B</t>
  </si>
  <si>
    <t xml:space="preserve">HIRAGANA_BO</t>
  </si>
  <si>
    <t xml:space="preserve">307C</t>
  </si>
  <si>
    <t xml:space="preserve">HIRAGANA_PO</t>
  </si>
  <si>
    <t xml:space="preserve">307D</t>
  </si>
  <si>
    <t xml:space="preserve">HIRAGANA_MA</t>
  </si>
  <si>
    <t xml:space="preserve">307E</t>
  </si>
  <si>
    <t xml:space="preserve">HIRAGANA_MI</t>
  </si>
  <si>
    <t xml:space="preserve">307F</t>
  </si>
  <si>
    <t xml:space="preserve">HIRAGANA_MU</t>
  </si>
  <si>
    <t xml:space="preserve">HIRAGANA_ME</t>
  </si>
  <si>
    <t xml:space="preserve">HIRAGANA_MO</t>
  </si>
  <si>
    <t xml:space="preserve">HIRAGANA_SMALL_YA</t>
  </si>
  <si>
    <t xml:space="preserve">HIRAGANA_YA</t>
  </si>
  <si>
    <t xml:space="preserve">HIRAGANA_SMALL_YU</t>
  </si>
  <si>
    <t xml:space="preserve">HIRAGANA_YU</t>
  </si>
  <si>
    <t xml:space="preserve">HIRAGANA_SMALL_YO</t>
  </si>
  <si>
    <t xml:space="preserve">HIRAGANA_YO</t>
  </si>
  <si>
    <t xml:space="preserve">HIRAGANA_RA</t>
  </si>
  <si>
    <t xml:space="preserve">HIRAGANA_RI</t>
  </si>
  <si>
    <t xml:space="preserve">308A</t>
  </si>
  <si>
    <t xml:space="preserve">HIRAGANA_RU</t>
  </si>
  <si>
    <t xml:space="preserve">308B</t>
  </si>
  <si>
    <t xml:space="preserve">HIRAGANA_RE</t>
  </si>
  <si>
    <t xml:space="preserve">308C</t>
  </si>
  <si>
    <t xml:space="preserve">HIRAGANA_RO</t>
  </si>
  <si>
    <t xml:space="preserve">308D</t>
  </si>
  <si>
    <t xml:space="preserve">HIRAGANA_SMALL_WA</t>
  </si>
  <si>
    <t xml:space="preserve">308E</t>
  </si>
  <si>
    <t xml:space="preserve">HIRAGANA_WA</t>
  </si>
  <si>
    <t xml:space="preserve">308F</t>
  </si>
  <si>
    <t xml:space="preserve">HIRAGANA_WI</t>
  </si>
  <si>
    <t xml:space="preserve">HIRAGANA_WE</t>
  </si>
  <si>
    <t xml:space="preserve">HIRAGANA_WO</t>
  </si>
  <si>
    <t xml:space="preserve">HIRAGANA_N</t>
  </si>
  <si>
    <t xml:space="preserve">HIRAGANA_VU</t>
  </si>
  <si>
    <t xml:space="preserve">HIRAGANA_SMALL_KA</t>
  </si>
  <si>
    <t xml:space="preserve">HIRAGANA_SMALL_KE</t>
  </si>
  <si>
    <t xml:space="preserve">CMB_KH_VSOUNDM</t>
  </si>
  <si>
    <t xml:space="preserve">CMB_KH_SEMI_VSOUNDM</t>
  </si>
  <si>
    <t xml:space="preserve">309A</t>
  </si>
  <si>
    <t xml:space="preserve">KH_VSOUNDM</t>
  </si>
  <si>
    <t xml:space="preserve">309B</t>
  </si>
  <si>
    <t xml:space="preserve">KH_SEMI_VSOUNDM</t>
  </si>
  <si>
    <t xml:space="preserve">309C</t>
  </si>
  <si>
    <t xml:space="preserve">HIRAGANA_ITERATIONM</t>
  </si>
  <si>
    <t xml:space="preserve">309D</t>
  </si>
  <si>
    <t xml:space="preserve">HIRAGANA_VITERATIONM</t>
  </si>
  <si>
    <t xml:space="preserve">309E</t>
  </si>
  <si>
    <t xml:space="preserve">HIRAGANA_DIGRAPH_YORI</t>
  </si>
  <si>
    <t xml:space="preserve">309F</t>
  </si>
  <si>
    <t xml:space="preserve">KATAKANA_MIDDLE_DOT</t>
  </si>
  <si>
    <t xml:space="preserve">30FB</t>
  </si>
  <si>
    <t xml:space="preserve">KH_PSOUNDM</t>
  </si>
  <si>
    <t xml:space="preserve">30FC</t>
  </si>
  <si>
    <t xml:space="preserve">CJK_4E2D</t>
  </si>
  <si>
    <t xml:space="preserve">4E2D</t>
  </si>
  <si>
    <t xml:space="preserve">L</t>
  </si>
  <si>
    <t xml:space="preserve">CJK_5EFF</t>
  </si>
  <si>
    <t xml:space="preserve">5EFF</t>
  </si>
  <si>
    <t xml:space="preserve">T</t>
  </si>
  <si>
    <t xml:space="preserve">CJK_96E3</t>
  </si>
  <si>
    <t xml:space="preserve">96E3</t>
  </si>
  <si>
    <t xml:space="preserve">X</t>
  </si>
  <si>
    <t xml:space="preserve">PRIVATE_EMOJI_1F600</t>
  </si>
  <si>
    <t xml:space="preserve">PRIVATE_EMOJI_1F601</t>
  </si>
  <si>
    <t xml:space="preserve">PRIVATE_EMOJI_1F602</t>
  </si>
  <si>
    <t xml:space="preserve">PRIVATE_EMOJI_1F603</t>
  </si>
  <si>
    <t xml:space="preserve">PRIVATE_EMOJI_1F604</t>
  </si>
  <si>
    <t xml:space="preserve">PRIVATE_EMOJI_1F605</t>
  </si>
  <si>
    <t xml:space="preserve">PRIVATE_EMOJI_1F606</t>
  </si>
  <si>
    <t xml:space="preserve">PRIVATE_EMOJI_1F607</t>
  </si>
  <si>
    <t xml:space="preserve">PRIVATE_EMOJI_1F608</t>
  </si>
  <si>
    <t xml:space="preserve">PRIVATE_EMOJI_1F609</t>
  </si>
  <si>
    <t xml:space="preserve">PRIVATE_EMOJI_1F60A</t>
  </si>
  <si>
    <t xml:space="preserve">PRIVATE_EMOJI_1F60B</t>
  </si>
  <si>
    <t xml:space="preserve">PRIVATE_EMOJI_1F60C</t>
  </si>
  <si>
    <t xml:space="preserve">PRIVATE_EMOJI_1F60D</t>
  </si>
  <si>
    <t xml:space="preserve">PRIVATE_EMOJI_1F60E</t>
  </si>
  <si>
    <t xml:space="preserve">PRIVATE_EMOJI_1F60F</t>
  </si>
  <si>
    <t xml:space="preserve">PRIVATE_EMOJI_1F610</t>
  </si>
  <si>
    <t xml:space="preserve">PRIVATE_EMOJI_1F611</t>
  </si>
  <si>
    <t xml:space="preserve">PRIVATE_EMOJI_1F612</t>
  </si>
  <si>
    <t xml:space="preserve">PRIVATE_EMOJI_1F613</t>
  </si>
  <si>
    <t xml:space="preserve">PRIVATE_EMOJI_1F614</t>
  </si>
  <si>
    <t xml:space="preserve">PRIVATE_EMOJI_1F615</t>
  </si>
  <si>
    <t xml:space="preserve">PRIVATE_EMOJI_1F616</t>
  </si>
  <si>
    <t xml:space="preserve">PRIVATE_EMOJI_1F617</t>
  </si>
  <si>
    <t xml:space="preserve">PRIVATE_EMOJI_1F618</t>
  </si>
  <si>
    <t xml:space="preserve">PRIVATE_EMOJI_1F619</t>
  </si>
  <si>
    <t xml:space="preserve">PRIVATE_EMOJI_1F61A</t>
  </si>
  <si>
    <t xml:space="preserve">PRIVATE_EMOJI_1F61B</t>
  </si>
  <si>
    <t xml:space="preserve">PRIVATE_EMOJI_1F61C</t>
  </si>
  <si>
    <t xml:space="preserve">PRIVATE_EMOJI_1F61D</t>
  </si>
  <si>
    <t xml:space="preserve">PRIVATE_EMOJI_1F61E</t>
  </si>
  <si>
    <t xml:space="preserve">PRIVATE_EMOJI_1F61F</t>
  </si>
  <si>
    <t xml:space="preserve">PRIVATE_EMOJI_1F620</t>
  </si>
  <si>
    <t xml:space="preserve">PRIVATE_EMOJI_1F621</t>
  </si>
  <si>
    <t xml:space="preserve">PRIVATE_EMOJI_1F622</t>
  </si>
  <si>
    <t xml:space="preserve">PRIVATE_EMOJI_1F623</t>
  </si>
  <si>
    <t xml:space="preserve">PRIVATE_EMOJI_1F624</t>
  </si>
  <si>
    <t xml:space="preserve">PRIVATE_EMOJI_1F625</t>
  </si>
  <si>
    <t xml:space="preserve">PRIVATE_EMOJI_1F626</t>
  </si>
  <si>
    <t xml:space="preserve">PRIVATE_EMOJI_1F627</t>
  </si>
  <si>
    <t xml:space="preserve">PRIVATE_EMOJI_1F628</t>
  </si>
  <si>
    <t xml:space="preserve">PRIVATE_EMOJI_1F629</t>
  </si>
  <si>
    <t xml:space="preserve">PRIVATE_EMOJI_1F62A</t>
  </si>
  <si>
    <t xml:space="preserve">PRIVATE_EMOJI_1F62B</t>
  </si>
  <si>
    <t xml:space="preserve">PRIVATE_EMOJI_1F62C</t>
  </si>
  <si>
    <t xml:space="preserve">PRIVATE_EMOJI_1F62D</t>
  </si>
  <si>
    <t xml:space="preserve">PRIVATE_EMOJI_1F62E</t>
  </si>
  <si>
    <t xml:space="preserve">PRIVATE_EMOJI_1F62F</t>
  </si>
  <si>
    <t xml:space="preserve">PRIVATE_EMOJI_1F630</t>
  </si>
  <si>
    <t xml:space="preserve">PRIVATE_EMOJI_1F631</t>
  </si>
  <si>
    <t xml:space="preserve">PRIVATE_EMOJI_1F632</t>
  </si>
  <si>
    <t xml:space="preserve">PRIVATE_EMOJI_1F633</t>
  </si>
  <si>
    <t xml:space="preserve">PRIVATE_EMOJI_1F634</t>
  </si>
  <si>
    <t xml:space="preserve">PRIVATE_EMOJI_1F635</t>
  </si>
  <si>
    <t xml:space="preserve">PRIVATE_EMOJI_1F636</t>
  </si>
  <si>
    <t xml:space="preserve">PRIVATE_EMOJI_1F637</t>
  </si>
  <si>
    <t xml:space="preserve">PRIVATE_EMOJI_1F638</t>
  </si>
  <si>
    <t xml:space="preserve">PRIVATE_EMOJI_1F639</t>
  </si>
  <si>
    <t xml:space="preserve">PRIVATE_EMOJI_1F644</t>
  </si>
  <si>
    <t xml:space="preserve">PRIVATE_EMOJI_1F645</t>
  </si>
  <si>
    <t xml:space="preserve">PRIVATE_EMOJI_1F646</t>
  </si>
  <si>
    <t xml:space="preserve">PRIVATE_EMOJI_1F647</t>
  </si>
  <si>
    <t xml:space="preserve">PRIVATE_EMOJI_1F648</t>
  </si>
  <si>
    <t xml:space="preserve">PRIVATE_EMOJI_1F649</t>
  </si>
  <si>
    <t xml:space="preserve">PRIVATE_EMOJI_1F64A</t>
  </si>
  <si>
    <t xml:space="preserve">PRIVATE_EMOJI_1F64B</t>
  </si>
  <si>
    <t xml:space="preserve">PRIVATE_EMOJI_1F64C</t>
  </si>
  <si>
    <t xml:space="preserve">PRIVATE_EMOJI_1F64D</t>
  </si>
  <si>
    <t xml:space="preserve">PRIVATE_EMOJI_1F64E</t>
  </si>
  <si>
    <t xml:space="preserve">PRIVATE_EMOJI_1F64F</t>
  </si>
  <si>
    <t xml:space="preserve">ARABIC_LAM_ALEF_MADDA</t>
  </si>
  <si>
    <t xml:space="preserve">fef5</t>
  </si>
  <si>
    <t xml:space="preserve">ARABIC_LAM_ALEF</t>
  </si>
  <si>
    <t xml:space="preserve">fefb</t>
  </si>
  <si>
    <t xml:space="preserve">PRIVATE_AI</t>
  </si>
  <si>
    <t xml:space="preserve">1F300</t>
  </si>
  <si>
    <t xml:space="preserve">PRIVATE_WORLD</t>
  </si>
  <si>
    <t xml:space="preserve">1F310</t>
  </si>
  <si>
    <t xml:space="preserve">PRIVATE_DISP_BRIGHT</t>
  </si>
  <si>
    <t xml:space="preserve">1F311</t>
  </si>
  <si>
    <t xml:space="preserve">PRIVATE_DISP_DARK</t>
  </si>
  <si>
    <t xml:space="preserve">1F315</t>
  </si>
  <si>
    <t xml:space="preserve">PRIVATE_DISP_DARKER</t>
  </si>
  <si>
    <t xml:space="preserve">1F316</t>
  </si>
  <si>
    <t xml:space="preserve">PRIVATE_DISP_HALF</t>
  </si>
  <si>
    <t xml:space="preserve">1F317</t>
  </si>
  <si>
    <t xml:space="preserve">PRIVATE_DISP_BRIGHTER</t>
  </si>
  <si>
    <t xml:space="preserve">1F318</t>
  </si>
  <si>
    <t xml:space="preserve">PRIVATE_HOME</t>
  </si>
  <si>
    <t xml:space="preserve">1F3E0</t>
  </si>
  <si>
    <t xml:space="preserve">PRIVATE_MEH</t>
  </si>
  <si>
    <t xml:space="preserve">1F410</t>
  </si>
  <si>
    <t xml:space="preserve">PRIVATE_LIGHT</t>
  </si>
  <si>
    <t xml:space="preserve">1F4A1</t>
  </si>
  <si>
    <t xml:space="preserve">PRIVATE_HYPER</t>
  </si>
  <si>
    <t xml:space="preserve">1F4AB</t>
  </si>
  <si>
    <t xml:space="preserve">FILE_OPEN</t>
  </si>
  <si>
    <t xml:space="preserve">1F4C2</t>
  </si>
  <si>
    <t xml:space="preserve">CLIPBOARD_COPY</t>
  </si>
  <si>
    <t xml:space="preserve">1F4CB</t>
  </si>
  <si>
    <t xml:space="preserve">PRIVATE_NOTE</t>
  </si>
  <si>
    <t xml:space="preserve">1F4DD</t>
  </si>
  <si>
    <t xml:space="preserve">PRIVATE_FIND</t>
  </si>
  <si>
    <t xml:space="preserve">1F50E</t>
  </si>
  <si>
    <t xml:space="preserve">PRIVATE_LOCK</t>
  </si>
  <si>
    <t xml:space="preserve">1F512</t>
  </si>
  <si>
    <t xml:space="preserve">PRIVATE_SETTINGS</t>
  </si>
  <si>
    <t xml:space="preserve">1F527</t>
  </si>
  <si>
    <t xml:space="preserve">PRIVATE_MUTE</t>
  </si>
  <si>
    <t xml:space="preserve">1F568</t>
  </si>
  <si>
    <t xml:space="preserve">PRIVATE_VOL_DOWN</t>
  </si>
  <si>
    <t xml:space="preserve">1F569</t>
  </si>
  <si>
    <t xml:space="preserve">PRIVATE_VOL_UP</t>
  </si>
  <si>
    <t xml:space="preserve">1F56A</t>
  </si>
  <si>
    <t xml:space="preserve">PRIVATE_CALC</t>
  </si>
  <si>
    <t xml:space="preserve">1F5A9</t>
  </si>
  <si>
    <t xml:space="preserve">PRIVATE_FLOPPY</t>
  </si>
  <si>
    <t xml:space="preserve">1F5AB</t>
  </si>
  <si>
    <t xml:space="preserve">PRIVATE_PC</t>
  </si>
  <si>
    <t xml:space="preserve">1F5B3</t>
  </si>
  <si>
    <t xml:space="preserve">PRIVATE_HDD</t>
  </si>
  <si>
    <t xml:space="preserve">1F5B4</t>
  </si>
  <si>
    <t xml:space="preserve">PRIVATE_SCREEN</t>
  </si>
  <si>
    <t xml:space="preserve">1F5B5</t>
  </si>
  <si>
    <t xml:space="preserve">PRIVATE_PRINTER</t>
  </si>
  <si>
    <t xml:space="preserve">1F5B6</t>
  </si>
  <si>
    <t xml:space="preserve">PRIVATE_FAX</t>
  </si>
  <si>
    <t xml:space="preserve">1F5B7</t>
  </si>
  <si>
    <t xml:space="preserve">PRIVATE_CD</t>
  </si>
  <si>
    <t xml:space="preserve">1F5B8</t>
  </si>
  <si>
    <t xml:space="preserve">PRIVATE_DOCUMENT</t>
  </si>
  <si>
    <t xml:space="preserve">1F5B9</t>
  </si>
  <si>
    <t xml:space="preserve">PRIVATE_MIXED_DOCUMENT</t>
  </si>
  <si>
    <t xml:space="preserve">1F5BA</t>
  </si>
  <si>
    <t xml:space="preserve">PRIVATE_IMAGE_DOCUMENT</t>
  </si>
  <si>
    <t xml:space="preserve">1F5BB</t>
  </si>
  <si>
    <t xml:space="preserve">PRIVATE_IMAGE</t>
  </si>
  <si>
    <t xml:space="preserve">1F5BC</t>
  </si>
  <si>
    <t xml:space="preserve">CLIPBOARD_PASTE</t>
  </si>
  <si>
    <t xml:space="preserve">1F5CA</t>
  </si>
  <si>
    <t xml:space="preserve">PRIVATE_MINIMIZE</t>
  </si>
  <si>
    <t xml:space="preserve">1F5D5</t>
  </si>
  <si>
    <t xml:space="preserve">PRIVATE_MAXIMIZE</t>
  </si>
  <si>
    <t xml:space="preserve">1F5D6</t>
  </si>
  <si>
    <t xml:space="preserve">PRIVATE_WINDOW</t>
  </si>
  <si>
    <t xml:space="preserve">1F5D7</t>
  </si>
  <si>
    <t xml:space="preserve">PRIVATE_RELOAD</t>
  </si>
  <si>
    <t xml:space="preserve">1F5D8</t>
  </si>
  <si>
    <t xml:space="preserve">PRIVATE_DELETE</t>
  </si>
  <si>
    <t xml:space="preserve">1F5D9</t>
  </si>
  <si>
    <t xml:space="preserve">PRIVATE_FONT_INC</t>
  </si>
  <si>
    <t xml:space="preserve">1F5DA</t>
  </si>
  <si>
    <t xml:space="preserve">PRIVATE_FONT_DEC</t>
  </si>
  <si>
    <t xml:space="preserve">1F5DB</t>
  </si>
  <si>
    <t xml:space="preserve">Country Code &gt;&gt;:
OSLangCodes.htmkbdlayout.info</t>
  </si>
  <si>
    <t xml:space="preserve">en-US</t>
  </si>
  <si>
    <t xml:space="preserve">de-DE</t>
  </si>
  <si>
    <t xml:space="preserve">fr-FR</t>
  </si>
  <si>
    <t xml:space="preserve">es-ES</t>
  </si>
  <si>
    <t xml:space="preserve">pt-PT</t>
  </si>
  <si>
    <t xml:space="preserve">it-IT</t>
  </si>
  <si>
    <t xml:space="preserve">tr-TR</t>
  </si>
  <si>
    <t xml:space="preserve">ko-KR</t>
  </si>
  <si>
    <t xml:space="preserve">ja-JP</t>
  </si>
  <si>
    <t xml:space="preserve">ar-SA</t>
  </si>
  <si>
    <t xml:space="preserve">el-GR</t>
  </si>
  <si>
    <t xml:space="preserve">uk-UA</t>
  </si>
  <si>
    <t xml:space="preserve">ru-RU</t>
  </si>
  <si>
    <t xml:space="preserve">be-BY</t>
  </si>
  <si>
    <t xml:space="preserve">kk-KZ</t>
  </si>
  <si>
    <t xml:space="preserve">bg-BG</t>
  </si>
  <si>
    <t xml:space="preserve">pl-PL</t>
  </si>
  <si>
    <t xml:space="preserve">ro-RO</t>
  </si>
  <si>
    <t xml:space="preserve">zh-CN</t>
  </si>
  <si>
    <t xml:space="preserve">nl-NL</t>
  </si>
  <si>
    <t xml:space="preserve">he-IL</t>
  </si>
  <si>
    <t xml:space="preserve">sv-SE</t>
  </si>
  <si>
    <t xml:space="preserve">fi-FI</t>
  </si>
  <si>
    <t xml:space="preserve">nn-NO</t>
  </si>
  <si>
    <t xml:space="preserve">da-DK</t>
  </si>
  <si>
    <t xml:space="preserve">hu-HU</t>
  </si>
  <si>
    <t xml:space="preserve">cs-CZ</t>
  </si>
  <si>
    <t xml:space="preserve">KC_A</t>
  </si>
  <si>
    <t xml:space="preserve">a</t>
  </si>
  <si>
    <t xml:space="preserve">A</t>
  </si>
  <si>
    <t xml:space="preserve">q</t>
  </si>
  <si>
    <t xml:space="preserve">Q</t>
  </si>
  <si>
    <t xml:space="preserve">KC_B</t>
  </si>
  <si>
    <t xml:space="preserve">b</t>
  </si>
  <si>
    <t xml:space="preserve">B</t>
  </si>
  <si>
    <t xml:space="preserve">{</t>
  </si>
  <si>
    <t xml:space="preserve">KC_C</t>
  </si>
  <si>
    <t xml:space="preserve">c</t>
  </si>
  <si>
    <t xml:space="preserve">C</t>
  </si>
  <si>
    <t xml:space="preserve">&amp;</t>
  </si>
  <si>
    <t xml:space="preserve">KC_D</t>
  </si>
  <si>
    <t xml:space="preserve">d</t>
  </si>
  <si>
    <t xml:space="preserve">D</t>
  </si>
  <si>
    <t xml:space="preserve">]</t>
  </si>
  <si>
    <t xml:space="preserve">LATIN_0110</t>
  </si>
  <si>
    <t xml:space="preserve">KC_E</t>
  </si>
  <si>
    <t xml:space="preserve">e</t>
  </si>
  <si>
    <t xml:space="preserve">E</t>
  </si>
  <si>
    <t xml:space="preserve">u"\v" ARABIC_DAMMA</t>
  </si>
  <si>
    <t xml:space="preserve">KC_F</t>
  </si>
  <si>
    <t xml:space="preserve">f</t>
  </si>
  <si>
    <t xml:space="preserve">F</t>
  </si>
  <si>
    <t xml:space="preserve">[</t>
  </si>
  <si>
    <t xml:space="preserve">KC_G</t>
  </si>
  <si>
    <t xml:space="preserve">g</t>
  </si>
  <si>
    <t xml:space="preserve">G</t>
  </si>
  <si>
    <t xml:space="preserve">KC_H</t>
  </si>
  <si>
    <t xml:space="preserve">h</t>
  </si>
  <si>
    <t xml:space="preserve">H</t>
  </si>
  <si>
    <t xml:space="preserve">KC_I</t>
  </si>
  <si>
    <t xml:space="preserve">i</t>
  </si>
  <si>
    <t xml:space="preserve">I</t>
  </si>
  <si>
    <t xml:space="preserve">KC_J</t>
  </si>
  <si>
    <t xml:space="preserve">j</t>
  </si>
  <si>
    <t xml:space="preserve">J</t>
  </si>
  <si>
    <t xml:space="preserve">KC_K</t>
  </si>
  <si>
    <t xml:space="preserve">k</t>
  </si>
  <si>
    <t xml:space="preserve">K</t>
  </si>
  <si>
    <t xml:space="preserve">LATIN_0142</t>
  </si>
  <si>
    <t xml:space="preserve">KC_L</t>
  </si>
  <si>
    <t xml:space="preserve">l</t>
  </si>
  <si>
    <t xml:space="preserve">/</t>
  </si>
  <si>
    <t xml:space="preserve">LATIN_0141</t>
  </si>
  <si>
    <t xml:space="preserve">KC_M</t>
  </si>
  <si>
    <t xml:space="preserve">m</t>
  </si>
  <si>
    <t xml:space="preserve">M</t>
  </si>
  <si>
    <t xml:space="preserve">u"\f\f" MICRO_SIGN</t>
  </si>
  <si>
    <t xml:space="preserve">,</t>
  </si>
  <si>
    <t xml:space="preserve">?</t>
  </si>
  <si>
    <t xml:space="preserve">&lt;</t>
  </si>
  <si>
    <t xml:space="preserve">KC_N</t>
  </si>
  <si>
    <t xml:space="preserve">n</t>
  </si>
  <si>
    <t xml:space="preserve">N</t>
  </si>
  <si>
    <t xml:space="preserve">}</t>
  </si>
  <si>
    <t xml:space="preserve">KC_O</t>
  </si>
  <si>
    <t xml:space="preserve">o</t>
  </si>
  <si>
    <t xml:space="preserve">O</t>
  </si>
  <si>
    <t xml:space="preserve">KC_P</t>
  </si>
  <si>
    <t xml:space="preserve">p</t>
  </si>
  <si>
    <t xml:space="preserve">P</t>
  </si>
  <si>
    <t xml:space="preserve">u"\f\f\f\f\f\f" HEBREW_METEG</t>
  </si>
  <si>
    <t xml:space="preserve">KC_Q</t>
  </si>
  <si>
    <t xml:space="preserve">u"\b\b@"</t>
  </si>
  <si>
    <t xml:space="preserve">@</t>
  </si>
  <si>
    <t xml:space="preserve">u"\v" ARABIC_FATHA</t>
  </si>
  <si>
    <t xml:space="preserve">;</t>
  </si>
  <si>
    <t xml:space="preserve">:</t>
  </si>
  <si>
    <t xml:space="preserve">u"\f\f\f\f\f\f" HEBREW_QAMATS</t>
  </si>
  <si>
    <t xml:space="preserve">KC_R</t>
  </si>
  <si>
    <t xml:space="preserve">r</t>
  </si>
  <si>
    <t xml:space="preserve">R</t>
  </si>
  <si>
    <r>
      <rPr>
        <sz val="10"/>
        <rFont val="Arial"/>
        <family val="2"/>
        <charset val="1"/>
      </rPr>
      <t xml:space="preserve">u"\v" </t>
    </r>
    <r>
      <rPr>
        <sz val="12"/>
        <rFont val="Ubuntu Mono"/>
        <family val="0"/>
        <charset val="1"/>
      </rPr>
      <t xml:space="preserve">ARABIC_DAMMATAN</t>
    </r>
  </si>
  <si>
    <t xml:space="preserve">KC_S</t>
  </si>
  <si>
    <t xml:space="preserve">s</t>
  </si>
  <si>
    <t xml:space="preserve">S</t>
  </si>
  <si>
    <t xml:space="preserve">LATIN_0111</t>
  </si>
  <si>
    <t xml:space="preserve">KC_T</t>
  </si>
  <si>
    <t xml:space="preserve">t</t>
  </si>
  <si>
    <t xml:space="preserve">KC_U</t>
  </si>
  <si>
    <t xml:space="preserve">u</t>
  </si>
  <si>
    <t xml:space="preserve">U</t>
  </si>
  <si>
    <t xml:space="preserve">KC_V</t>
  </si>
  <si>
    <t xml:space="preserve">v</t>
  </si>
  <si>
    <t xml:space="preserve">V</t>
  </si>
  <si>
    <t xml:space="preserve">KC_W</t>
  </si>
  <si>
    <t xml:space="preserve">w</t>
  </si>
  <si>
    <t xml:space="preserve">W</t>
  </si>
  <si>
    <t xml:space="preserve">z</t>
  </si>
  <si>
    <t xml:space="preserve">Z</t>
  </si>
  <si>
    <t xml:space="preserve">u"\v" ARABIC_FATHATAN</t>
  </si>
  <si>
    <t xml:space="preserve">'</t>
  </si>
  <si>
    <t xml:space="preserve">&gt;</t>
  </si>
  <si>
    <t xml:space="preserve">|</t>
  </si>
  <si>
    <t xml:space="preserve">KC_X</t>
  </si>
  <si>
    <t xml:space="preserve">x</t>
  </si>
  <si>
    <t xml:space="preserve">u"\v" ARABIC_SUKUN</t>
  </si>
  <si>
    <t xml:space="preserve">#</t>
  </si>
  <si>
    <t xml:space="preserve">KC_Y</t>
  </si>
  <si>
    <t xml:space="preserve">y</t>
  </si>
  <si>
    <t xml:space="preserve">Y</t>
  </si>
  <si>
    <t xml:space="preserve">u"\f\f\f\f\f\f" HEBREW_LOWER_DOT</t>
  </si>
  <si>
    <t xml:space="preserve">KC_Z</t>
  </si>
  <si>
    <t xml:space="preserve">~</t>
  </si>
  <si>
    <t xml:space="preserve">KC_1</t>
  </si>
  <si>
    <t xml:space="preserve">!</t>
  </si>
  <si>
    <t xml:space="preserve">+</t>
  </si>
  <si>
    <t xml:space="preserve">KC_2</t>
  </si>
  <si>
    <t xml:space="preserve">u"\f\f" E_WITH_ACUTE_SMALL</t>
  </si>
  <si>
    <t xml:space="preserve">u" " SUPER_SCRIPT_2</t>
  </si>
  <si>
    <t xml:space="preserve">u" " MOD_CARON</t>
  </si>
  <si>
    <t xml:space="preserve">u"\f\f\f\f" LATIN_0115</t>
  </si>
  <si>
    <t xml:space="preserve">KC_3</t>
  </si>
  <si>
    <t xml:space="preserve">u"\f\f" POUND_SIGN</t>
  </si>
  <si>
    <t xml:space="preserve">^</t>
  </si>
  <si>
    <t xml:space="preserve">u" " SUPER_SCRIPT_3</t>
  </si>
  <si>
    <t xml:space="preserve">u"\f\f\f\f" LATIN_0161</t>
  </si>
  <si>
    <t xml:space="preserve">KC_4</t>
  </si>
  <si>
    <t xml:space="preserve">$</t>
  </si>
  <si>
    <t xml:space="preserve">u"\f\f" SECTION</t>
  </si>
  <si>
    <t xml:space="preserve"> </t>
  </si>
  <si>
    <t xml:space="preserve">4</t>
  </si>
  <si>
    <t xml:space="preserve">u"\v\x05\x05" NEW_SHEQEL_SIGN</t>
  </si>
  <si>
    <t xml:space="preserve">u"\f\f\f\f" LATIN_010D</t>
  </si>
  <si>
    <t xml:space="preserve">KC_5</t>
  </si>
  <si>
    <t xml:space="preserve">%</t>
  </si>
  <si>
    <t xml:space="preserve">(</t>
  </si>
  <si>
    <t xml:space="preserve">u" " EURO_SIGN</t>
  </si>
  <si>
    <t xml:space="preserve">5</t>
  </si>
  <si>
    <t xml:space="preserve">u"\f\f\f\f" LATIN_0159</t>
  </si>
  <si>
    <t xml:space="preserve">KC_6</t>
  </si>
  <si>
    <t xml:space="preserve">-</t>
  </si>
  <si>
    <t xml:space="preserve">u"\f\f" PILCROW</t>
  </si>
  <si>
    <t xml:space="preserve">u"\f\f\f\f" LATIN_017E</t>
  </si>
  <si>
    <t xml:space="preserve">KC_7</t>
  </si>
  <si>
    <t xml:space="preserve">u"\f\f" E_WITH_GRAVE_SMALL</t>
  </si>
  <si>
    <t xml:space="preserve">.</t>
  </si>
  <si>
    <t xml:space="preserve">`</t>
  </si>
  <si>
    <t xml:space="preserve">_</t>
  </si>
  <si>
    <t xml:space="preserve">u"\f\f\f\f" LATIN_00FD</t>
  </si>
  <si>
    <t xml:space="preserve">KC_8</t>
  </si>
  <si>
    <t xml:space="preserve">*</t>
  </si>
  <si>
    <t xml:space="preserve">u". . ."</t>
  </si>
  <si>
    <t xml:space="preserve">u"\f\f\f\f" LATIN_00E1</t>
  </si>
  <si>
    <t xml:space="preserve">KC_9</t>
  </si>
  <si>
    <t xml:space="preserve">)</t>
  </si>
  <si>
    <t xml:space="preserve">u"\f\f" C_WITH_CEDILLA_SMALL</t>
  </si>
  <si>
    <t xml:space="preserve">u"\f\f" BROKEN_BAR</t>
  </si>
  <si>
    <t xml:space="preserve">--</t>
  </si>
  <si>
    <t xml:space="preserve">u"\f\f\f\f" LATIN_00ED</t>
  </si>
  <si>
    <t xml:space="preserve">KC_0</t>
  </si>
  <si>
    <t xml:space="preserve">u"\f\f" A_WITH_GRAVE_SMALL</t>
  </si>
  <si>
    <t xml:space="preserve">u"\f\f\f\f" LATIN_00E9</t>
  </si>
  <si>
    <t xml:space="preserve">KC_ENTER</t>
  </si>
  <si>
    <t xml:space="preserve">KC_ESCAPE</t>
  </si>
  <si>
    <t xml:space="preserve">Esc</t>
  </si>
  <si>
    <t xml:space="preserve">KC_BACKSPACE</t>
  </si>
  <si>
    <t xml:space="preserve">KC_TAB</t>
  </si>
  <si>
    <t xml:space="preserve">KC_SPACE</t>
  </si>
  <si>
    <t xml:space="preserve">KC_MINUS</t>
  </si>
  <si>
    <t xml:space="preserve">DIAERESIS u"--"</t>
  </si>
  <si>
    <t xml:space="preserve">KC_EQUAL</t>
  </si>
  <si>
    <t xml:space="preserve">=</t>
  </si>
  <si>
    <t xml:space="preserve">u"\f\f\f\f" CEDILLA PLUS_MINUS</t>
  </si>
  <si>
    <t xml:space="preserve">u"\f\f\f\f" CEDILLA</t>
  </si>
  <si>
    <t xml:space="preserve">KC_LBRC</t>
  </si>
  <si>
    <t xml:space="preserve">DIAERESIS </t>
  </si>
  <si>
    <t xml:space="preserve">LATIN_017C</t>
  </si>
  <si>
    <t xml:space="preserve">LATIN_0144</t>
  </si>
  <si>
    <t xml:space="preserve">LATIN_0103</t>
  </si>
  <si>
    <t xml:space="preserve">LATIN_0102</t>
  </si>
  <si>
    <t xml:space="preserve">u"[ {"</t>
  </si>
  <si>
    <t xml:space="preserve">u"\f\f\f\f\f\f" HEBREW_QAMATS_QATAN</t>
  </si>
  <si>
    <t xml:space="preserve">LATIN_00E5</t>
  </si>
  <si>
    <t xml:space="preserve">LATIN_00C5</t>
  </si>
  <si>
    <t xml:space="preserve">LATIN_00FA</t>
  </si>
  <si>
    <t xml:space="preserve">KC_RBRC</t>
  </si>
  <si>
    <t xml:space="preserve">LATIN_015B</t>
  </si>
  <si>
    <t xml:space="preserve">LATIN_0107</t>
  </si>
  <si>
    <t xml:space="preserve">u"] }"</t>
  </si>
  <si>
    <t xml:space="preserve">LATIN_00D7</t>
  </si>
  <si>
    <t xml:space="preserve">KC_BACKSLASH</t>
  </si>
  <si>
    <t xml:space="preserve">u"\f" SECTION</t>
  </si>
  <si>
    <t xml:space="preserve">u"\v" ARABIC_SHADDA</t>
  </si>
  <si>
    <t xml:space="preserve">,,</t>
  </si>
  <si>
    <t xml:space="preserve">\xb4\xb4</t>
  </si>
  <si>
    <t xml:space="preserve">LATIN_017A</t>
  </si>
  <si>
    <t xml:space="preserve">LATIN_00E2</t>
  </si>
  <si>
    <t xml:space="preserve">LATIN_00C2</t>
  </si>
  <si>
    <t xml:space="preserve">u"\\ |"</t>
  </si>
  <si>
    <t xml:space="preserve">u"\f\f\f\f\f\f" HEBREW_PASEQ</t>
  </si>
  <si>
    <t xml:space="preserve">KC_NONUS_HASH</t>
  </si>
  <si>
    <t xml:space="preserve">KC_SEMICOLON</t>
  </si>
  <si>
    <t xml:space="preserve">LATIN_015F</t>
  </si>
  <si>
    <t xml:space="preserve">LATIN_015E</t>
  </si>
  <si>
    <t xml:space="preserve">u"; :"</t>
  </si>
  <si>
    <t xml:space="preserve">u"\f\f\f\f\f" HEBREW_SOFPASUQ</t>
  </si>
  <si>
    <t xml:space="preserve">LATIN_00D8</t>
  </si>
  <si>
    <t xml:space="preserve">LATIN_00F8</t>
  </si>
  <si>
    <t xml:space="preserve">LATIN_016F</t>
  </si>
  <si>
    <t xml:space="preserve">KC_QUOTE</t>
  </si>
  <si>
    <t xml:space="preserve">LATIN_0105</t>
  </si>
  <si>
    <t xml:space="preserve">LATIN_0119</t>
  </si>
  <si>
    <t xml:space="preserve">LATIN_0163</t>
  </si>
  <si>
    <t xml:space="preserve">LATIN_0162</t>
  </si>
  <si>
    <t xml:space="preserve">u"’ \""</t>
  </si>
  <si>
    <t xml:space="preserve">´</t>
  </si>
  <si>
    <t xml:space="preserve">LATIN_00C6</t>
  </si>
  <si>
    <t xml:space="preserve">LATIN_00E6</t>
  </si>
  <si>
    <t xml:space="preserve">LATIN_00E1</t>
  </si>
  <si>
    <t xml:space="preserve">LATIN_00C1</t>
  </si>
  <si>
    <t xml:space="preserve">KC_GRAVE</t>
  </si>
  <si>
    <t xml:space="preserve">u"\v" SUPER_SCRIPT_2</t>
  </si>
  <si>
    <t xml:space="preserve">u"` ~"</t>
  </si>
  <si>
    <t xml:space="preserve">u"\f\f\f\f\f\f" HEBREW_HATAF_SEGOL</t>
  </si>
  <si>
    <t xml:space="preserve">KC_COMMA</t>
  </si>
  <si>
    <t xml:space="preserve">u"&lt; " DBL_ANGLE_QMARK_L</t>
  </si>
  <si>
    <t xml:space="preserve">KC_DOT</t>
  </si>
  <si>
    <t xml:space="preserve">u"&gt; " DBL_ANGLE_QMARK_R</t>
  </si>
  <si>
    <t xml:space="preserve">u"\f\f\f\f" HEBREW_NUNHAFUKHA</t>
  </si>
  <si>
    <t xml:space="preserve">KC_SLASH</t>
  </si>
  <si>
    <t xml:space="preserve">KC_NONUS_BACKSLASH</t>
  </si>
  <si>
    <t xml:space="preserve">{letter.hoffset}</t>
  </si>
  <si>
    <t xml:space="preserve">HIDE</t>
  </si>
  <si>
    <t xml:space="preserve">{letter.voffset}</t>
  </si>
  <si>
    <t xml:space="preserve">{num.hoffset}</t>
  </si>
  <si>
    <t xml:space="preserve">{num.voffset}</t>
  </si>
  <si>
    <t xml:space="preserve">{sym.hoffset}</t>
  </si>
  <si>
    <t xml:space="preserve">{sym.voffset}</t>
  </si>
  <si>
    <t xml:space="preserve">lower</t>
  </si>
  <si>
    <t xml:space="preserve">upper</t>
  </si>
  <si>
    <t xml:space="preserve">caps</t>
  </si>
  <si>
    <t xml:space="preserve">ALT Gr</t>
  </si>
  <si>
    <t xml:space="preserve">if unspecified exactly like ‘upper’ case!</t>
  </si>
  <si>
    <t xml:space="preserve">https://www.branah.com/english</t>
  </si>
  <si>
    <t xml:space="preserve">https://www.branah.com/german</t>
  </si>
  <si>
    <t xml:space="preserve">https://www.branah.com/french</t>
  </si>
  <si>
    <t xml:space="preserve">https://www.branah.com/spanish</t>
  </si>
  <si>
    <t xml:space="preserve">https://www.branah.com/portuguese</t>
  </si>
  <si>
    <t xml:space="preserve">https://www.branah.com/italian</t>
  </si>
  <si>
    <t xml:space="preserve">https://www.branah.com/turkish</t>
  </si>
  <si>
    <t xml:space="preserve">https://www.branah.com/korean</t>
  </si>
  <si>
    <t xml:space="preserve">https://www.branah.com/japanese</t>
  </si>
  <si>
    <t xml:space="preserve">https://www.branah.com/arabic</t>
  </si>
  <si>
    <t xml:space="preserve">https://www.branah.com/greek</t>
  </si>
  <si>
    <t xml:space="preserve">https://www.branah.com/ukrainian</t>
  </si>
  <si>
    <t xml:space="preserve">https://www.branah.com/russian</t>
  </si>
  <si>
    <t xml:space="preserve">https://www.branah.com/belarusian</t>
  </si>
  <si>
    <t xml:space="preserve">https://www.branah.com/kazakh</t>
  </si>
  <si>
    <t xml:space="preserve">https://www.branah.com/bulgarian</t>
  </si>
  <si>
    <t xml:space="preserve">https://www.branah.com/polish</t>
  </si>
  <si>
    <t xml:space="preserve">https://www.branah.com/romanian</t>
  </si>
  <si>
    <t xml:space="preserve">https://www.branah.com/chinese</t>
  </si>
  <si>
    <t xml:space="preserve">https://www.branah.com/dutch</t>
  </si>
  <si>
    <t xml:space="preserve">https://www.branah.com/hebrew</t>
  </si>
  <si>
    <t xml:space="preserve">https://www.branah.com/swedish</t>
  </si>
  <si>
    <t xml:space="preserve">https://www.branah.com/finnish</t>
  </si>
  <si>
    <t xml:space="preserve">https://www.branah.com/norwegian</t>
  </si>
  <si>
    <t xml:space="preserve">https://www.branah.com/hungarian</t>
  </si>
  <si>
    <t xml:space="preserve">(Cangjie Input)</t>
  </si>
  <si>
    <t xml:space="preserve">Escape Codes</t>
  </si>
  <si>
    <t xml:space="preserve">\0x5</t>
  </si>
  <si>
    <t xml:space="preserve">y+=2</t>
  </si>
  <si>
    <t xml:space="preserve">\0x18</t>
  </si>
  <si>
    <t xml:space="preserve">x,y back to start</t>
  </si>
  <si>
    <t xml:space="preserve">\b</t>
  </si>
  <si>
    <t xml:space="preserve">x-=2</t>
  </si>
  <si>
    <t xml:space="preserve">\f</t>
  </si>
  <si>
    <t xml:space="preserve">y-=2</t>
  </si>
  <si>
    <t xml:space="preserve">\t</t>
  </si>
  <si>
    <t xml:space="preserve">Tab 0/36/72</t>
  </si>
  <si>
    <t xml:space="preserve">\n</t>
  </si>
  <si>
    <t xml:space="preserve">New line (font[0] height)</t>
  </si>
  <si>
    <t xml:space="preserve">\v</t>
  </si>
  <si>
    <t xml:space="preserve">Vertical Tab 0/15/30/45</t>
  </si>
  <si>
    <t xml:space="preserve">\r</t>
  </si>
  <si>
    <t xml:space="preserve">x back to cursor start</t>
  </si>
  <si>
    <t xml:space="preserve">À</t>
  </si>
  <si>
    <t xml:space="preserve">Á</t>
  </si>
  <si>
    <t xml:space="preserve">Â</t>
  </si>
  <si>
    <t xml:space="preserve">Ã</t>
  </si>
  <si>
    <t xml:space="preserve">Ä</t>
  </si>
  <si>
    <t xml:space="preserve">Å</t>
  </si>
  <si>
    <t xml:space="preserve">Æ</t>
  </si>
  <si>
    <t xml:space="preserve">Ā</t>
  </si>
  <si>
    <t xml:space="preserve">Ă</t>
  </si>
  <si>
    <t xml:space="preserve">Ą</t>
  </si>
  <si>
    <t xml:space="preserve">Min</t>
  </si>
  <si>
    <t xml:space="preserve">Max</t>
  </si>
  <si>
    <t xml:space="preserve">à</t>
  </si>
  <si>
    <t xml:space="preserve">á</t>
  </si>
  <si>
    <t xml:space="preserve">â</t>
  </si>
  <si>
    <t xml:space="preserve">ã</t>
  </si>
  <si>
    <t xml:space="preserve">ä</t>
  </si>
  <si>
    <t xml:space="preserve">å</t>
  </si>
  <si>
    <t xml:space="preserve">æ</t>
  </si>
  <si>
    <t xml:space="preserve">ā</t>
  </si>
  <si>
    <t xml:space="preserve">ă</t>
  </si>
  <si>
    <t xml:space="preserve">ą</t>
  </si>
  <si>
    <t xml:space="preserve">Ç</t>
  </si>
  <si>
    <t xml:space="preserve">Ć</t>
  </si>
  <si>
    <t xml:space="preserve">Ĉ</t>
  </si>
  <si>
    <t xml:space="preserve">Ċ</t>
  </si>
  <si>
    <t xml:space="preserve">Č</t>
  </si>
  <si>
    <t xml:space="preserve">ç</t>
  </si>
  <si>
    <t xml:space="preserve">ć</t>
  </si>
  <si>
    <t xml:space="preserve">ĉ</t>
  </si>
  <si>
    <t xml:space="preserve">ċ</t>
  </si>
  <si>
    <t xml:space="preserve">č</t>
  </si>
  <si>
    <t xml:space="preserve">Ð</t>
  </si>
  <si>
    <t xml:space="preserve">Ď</t>
  </si>
  <si>
    <t xml:space="preserve">Đ</t>
  </si>
  <si>
    <t xml:space="preserve">ð</t>
  </si>
  <si>
    <t xml:space="preserve">ď</t>
  </si>
  <si>
    <t xml:space="preserve">đ</t>
  </si>
  <si>
    <t xml:space="preserve">È</t>
  </si>
  <si>
    <t xml:space="preserve">É</t>
  </si>
  <si>
    <t xml:space="preserve">Ê</t>
  </si>
  <si>
    <t xml:space="preserve">Ë</t>
  </si>
  <si>
    <t xml:space="preserve">Ē</t>
  </si>
  <si>
    <t xml:space="preserve">Ĕ</t>
  </si>
  <si>
    <t xml:space="preserve">Ė</t>
  </si>
  <si>
    <t xml:space="preserve">Ę</t>
  </si>
  <si>
    <t xml:space="preserve">Ě</t>
  </si>
  <si>
    <t xml:space="preserve">è</t>
  </si>
  <si>
    <t xml:space="preserve">é</t>
  </si>
  <si>
    <t xml:space="preserve">ê</t>
  </si>
  <si>
    <t xml:space="preserve">ë</t>
  </si>
  <si>
    <t xml:space="preserve">ē</t>
  </si>
  <si>
    <t xml:space="preserve">ĕ</t>
  </si>
  <si>
    <t xml:space="preserve">ė</t>
  </si>
  <si>
    <t xml:space="preserve">ę</t>
  </si>
  <si>
    <t xml:space="preserve">ě</t>
  </si>
  <si>
    <t xml:space="preserve">Ĝ</t>
  </si>
  <si>
    <t xml:space="preserve">Ğ</t>
  </si>
  <si>
    <t xml:space="preserve">Ġ</t>
  </si>
  <si>
    <t xml:space="preserve">Ģ</t>
  </si>
  <si>
    <t xml:space="preserve">ĝ</t>
  </si>
  <si>
    <t xml:space="preserve">ğ</t>
  </si>
  <si>
    <t xml:space="preserve">ġ</t>
  </si>
  <si>
    <t xml:space="preserve">ģ</t>
  </si>
  <si>
    <t xml:space="preserve">Ĥ</t>
  </si>
  <si>
    <t xml:space="preserve">Ħ</t>
  </si>
  <si>
    <t xml:space="preserve">ĥ</t>
  </si>
  <si>
    <t xml:space="preserve">ħ</t>
  </si>
  <si>
    <t xml:space="preserve">Ì</t>
  </si>
  <si>
    <t xml:space="preserve">Í</t>
  </si>
  <si>
    <t xml:space="preserve">Î</t>
  </si>
  <si>
    <t xml:space="preserve">Ï</t>
  </si>
  <si>
    <t xml:space="preserve">Ĩ</t>
  </si>
  <si>
    <t xml:space="preserve">Ī</t>
  </si>
  <si>
    <t xml:space="preserve">Ĭ</t>
  </si>
  <si>
    <t xml:space="preserve">Į</t>
  </si>
  <si>
    <t xml:space="preserve">İ</t>
  </si>
  <si>
    <t xml:space="preserve">Ĳ</t>
  </si>
  <si>
    <t xml:space="preserve">ì</t>
  </si>
  <si>
    <t xml:space="preserve">í</t>
  </si>
  <si>
    <t xml:space="preserve">î</t>
  </si>
  <si>
    <t xml:space="preserve">ï</t>
  </si>
  <si>
    <t xml:space="preserve">ĩ</t>
  </si>
  <si>
    <t xml:space="preserve">ī</t>
  </si>
  <si>
    <t xml:space="preserve">ĭ</t>
  </si>
  <si>
    <t xml:space="preserve">į</t>
  </si>
  <si>
    <t xml:space="preserve">ı</t>
  </si>
  <si>
    <t xml:space="preserve">ĳ</t>
  </si>
  <si>
    <t xml:space="preserve">Ĵ</t>
  </si>
  <si>
    <t xml:space="preserve">ĵ</t>
  </si>
  <si>
    <t xml:space="preserve">Ķ</t>
  </si>
  <si>
    <t xml:space="preserve">ķ</t>
  </si>
  <si>
    <t xml:space="preserve">ĸ</t>
  </si>
  <si>
    <t xml:space="preserve">Ĺ</t>
  </si>
  <si>
    <t xml:space="preserve">Ļ</t>
  </si>
  <si>
    <t xml:space="preserve">Ľ</t>
  </si>
  <si>
    <t xml:space="preserve">Ŀ</t>
  </si>
  <si>
    <t xml:space="preserve">Ł</t>
  </si>
  <si>
    <t xml:space="preserve">ĺ</t>
  </si>
  <si>
    <t xml:space="preserve">ļ</t>
  </si>
  <si>
    <t xml:space="preserve">ľ</t>
  </si>
  <si>
    <t xml:space="preserve">ŀ</t>
  </si>
  <si>
    <t xml:space="preserve">ł</t>
  </si>
  <si>
    <t xml:space="preserve">Ñ</t>
  </si>
  <si>
    <t xml:space="preserve">Ń</t>
  </si>
  <si>
    <t xml:space="preserve">Ņ</t>
  </si>
  <si>
    <t xml:space="preserve">Ň</t>
  </si>
  <si>
    <t xml:space="preserve">Ŋ</t>
  </si>
  <si>
    <t xml:space="preserve">ñ</t>
  </si>
  <si>
    <t xml:space="preserve">ń</t>
  </si>
  <si>
    <t xml:space="preserve">ņ</t>
  </si>
  <si>
    <t xml:space="preserve">ň</t>
  </si>
  <si>
    <t xml:space="preserve">ŋ</t>
  </si>
  <si>
    <t xml:space="preserve">ŉ</t>
  </si>
  <si>
    <t xml:space="preserve">Ò</t>
  </si>
  <si>
    <t xml:space="preserve">Ó</t>
  </si>
  <si>
    <t xml:space="preserve">Ô</t>
  </si>
  <si>
    <t xml:space="preserve">Õ</t>
  </si>
  <si>
    <t xml:space="preserve">Ö</t>
  </si>
  <si>
    <t xml:space="preserve">Ō</t>
  </si>
  <si>
    <t xml:space="preserve">Ŏ</t>
  </si>
  <si>
    <t xml:space="preserve">Ő</t>
  </si>
  <si>
    <t xml:space="preserve">Œ</t>
  </si>
  <si>
    <t xml:space="preserve">Ø</t>
  </si>
  <si>
    <t xml:space="preserve">ò</t>
  </si>
  <si>
    <t xml:space="preserve">ó</t>
  </si>
  <si>
    <t xml:space="preserve">ô</t>
  </si>
  <si>
    <t xml:space="preserve">õ</t>
  </si>
  <si>
    <t xml:space="preserve">ö</t>
  </si>
  <si>
    <t xml:space="preserve">ō</t>
  </si>
  <si>
    <t xml:space="preserve">ŏ</t>
  </si>
  <si>
    <t xml:space="preserve">ő</t>
  </si>
  <si>
    <t xml:space="preserve">œ</t>
  </si>
  <si>
    <t xml:space="preserve">ø</t>
  </si>
  <si>
    <t xml:space="preserve">Ŕ</t>
  </si>
  <si>
    <t xml:space="preserve">Ŗ</t>
  </si>
  <si>
    <t xml:space="preserve">Ř</t>
  </si>
  <si>
    <t xml:space="preserve">ŕ</t>
  </si>
  <si>
    <t xml:space="preserve">ŗ</t>
  </si>
  <si>
    <t xml:space="preserve">ř</t>
  </si>
  <si>
    <t xml:space="preserve">ẞ</t>
  </si>
  <si>
    <t xml:space="preserve">Ś</t>
  </si>
  <si>
    <t xml:space="preserve">Ŝ</t>
  </si>
  <si>
    <t xml:space="preserve">Ş</t>
  </si>
  <si>
    <t xml:space="preserve">Š</t>
  </si>
  <si>
    <t xml:space="preserve">ß</t>
  </si>
  <si>
    <t xml:space="preserve">ś</t>
  </si>
  <si>
    <t xml:space="preserve">ŝ</t>
  </si>
  <si>
    <t xml:space="preserve">ş</t>
  </si>
  <si>
    <t xml:space="preserve">š</t>
  </si>
  <si>
    <t xml:space="preserve">Þ</t>
  </si>
  <si>
    <t xml:space="preserve">Ţ</t>
  </si>
  <si>
    <t xml:space="preserve">Ť</t>
  </si>
  <si>
    <t xml:space="preserve">Ŧ</t>
  </si>
  <si>
    <t xml:space="preserve">þ</t>
  </si>
  <si>
    <t xml:space="preserve">ţ</t>
  </si>
  <si>
    <t xml:space="preserve">ť</t>
  </si>
  <si>
    <t xml:space="preserve">ŧ</t>
  </si>
  <si>
    <t xml:space="preserve">Ù</t>
  </si>
  <si>
    <t xml:space="preserve">Ú</t>
  </si>
  <si>
    <t xml:space="preserve">Û</t>
  </si>
  <si>
    <t xml:space="preserve">Ü</t>
  </si>
  <si>
    <t xml:space="preserve">Ũ</t>
  </si>
  <si>
    <t xml:space="preserve">Ū</t>
  </si>
  <si>
    <t xml:space="preserve">Ŭ</t>
  </si>
  <si>
    <t xml:space="preserve">Ů</t>
  </si>
  <si>
    <t xml:space="preserve">Ű</t>
  </si>
  <si>
    <t xml:space="preserve">Ų</t>
  </si>
  <si>
    <t xml:space="preserve">ù</t>
  </si>
  <si>
    <t xml:space="preserve">ú</t>
  </si>
  <si>
    <t xml:space="preserve">û</t>
  </si>
  <si>
    <t xml:space="preserve">ü</t>
  </si>
  <si>
    <t xml:space="preserve">ũ</t>
  </si>
  <si>
    <t xml:space="preserve">ū</t>
  </si>
  <si>
    <t xml:space="preserve">ŭ</t>
  </si>
  <si>
    <t xml:space="preserve">ů</t>
  </si>
  <si>
    <t xml:space="preserve">ű</t>
  </si>
  <si>
    <t xml:space="preserve">ų</t>
  </si>
  <si>
    <t xml:space="preserve">Ŵ</t>
  </si>
  <si>
    <t xml:space="preserve">ŵ</t>
  </si>
  <si>
    <t xml:space="preserve">Ý</t>
  </si>
  <si>
    <t xml:space="preserve">Ŷ</t>
  </si>
  <si>
    <t xml:space="preserve">Ÿ</t>
  </si>
  <si>
    <t xml:space="preserve">ý</t>
  </si>
  <si>
    <t xml:space="preserve">ŷ</t>
  </si>
  <si>
    <t xml:space="preserve">ÿ</t>
  </si>
  <si>
    <t xml:space="preserve">Ź</t>
  </si>
  <si>
    <t xml:space="preserve">Ż</t>
  </si>
  <si>
    <t xml:space="preserve">Ž</t>
  </si>
  <si>
    <t xml:space="preserve">ź</t>
  </si>
  <si>
    <t xml:space="preserve">ż</t>
  </si>
  <si>
    <t xml:space="preserve">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</si>
</sst>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sz val="12"/>
      <name val="Ubuntu Mono"/>
      <family val="0"/>
      <charset val="1"/>
    </font>
    <font>
      <sz val="10"/>
      <color rgb="FFFFFFF0"/>
      <name val="Arial"/>
      <family val="2"/>
      <charset val="1"/>
    </font>
    <font>
      <sz val="10"/>
      <color rgb="FF0000FF"/>
      <name val="Arial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AFAD2"/>
        <bgColor rgb="FFF6F9D4"/>
      </patternFill>
    </fill>
    <fill>
      <patternFill patternType="solid">
        <fgColor rgb="FFF6F9D4"/>
        <bgColor rgb="FFFAFAD2"/>
      </patternFill>
    </fill>
    <fill>
      <patternFill patternType="solid">
        <fgColor rgb="FFE8F2A1"/>
        <bgColor rgb="FFF0E68C"/>
      </patternFill>
    </fill>
    <fill>
      <patternFill patternType="solid">
        <fgColor rgb="FF8E86AE"/>
        <bgColor rgb="FF708090"/>
      </patternFill>
    </fill>
    <fill>
      <patternFill patternType="solid">
        <fgColor rgb="FF81D41A"/>
        <bgColor rgb="FFADFF2F"/>
      </patternFill>
    </fill>
    <fill>
      <patternFill patternType="solid">
        <fgColor rgb="FFFFB66C"/>
        <bgColor rgb="FFF8BBD0"/>
      </patternFill>
    </fill>
    <fill>
      <patternFill patternType="solid">
        <fgColor rgb="FFDDDDDD"/>
        <bgColor rgb="FFFFE4C4"/>
      </patternFill>
    </fill>
    <fill>
      <patternFill patternType="solid">
        <fgColor rgb="FFBDB76B"/>
        <bgColor rgb="FFFFB66C"/>
      </patternFill>
    </fill>
    <fill>
      <patternFill patternType="solid">
        <fgColor rgb="FFF8BBD0"/>
        <bgColor rgb="FFDDDDDD"/>
      </patternFill>
    </fill>
    <fill>
      <patternFill patternType="solid">
        <fgColor rgb="FF6495ED"/>
        <bgColor rgb="FF5F9EA0"/>
      </patternFill>
    </fill>
    <fill>
      <patternFill patternType="solid">
        <fgColor rgb="FF7FFFD4"/>
        <bgColor rgb="FF90EE90"/>
      </patternFill>
    </fill>
    <fill>
      <patternFill patternType="solid">
        <fgColor rgb="FFFF69B4"/>
        <bgColor rgb="FFDB7093"/>
      </patternFill>
    </fill>
    <fill>
      <patternFill patternType="solid">
        <fgColor rgb="FFF0E68C"/>
        <bgColor rgb="FFE8F2A1"/>
      </patternFill>
    </fill>
    <fill>
      <patternFill patternType="solid">
        <fgColor rgb="FFFF4500"/>
        <bgColor rgb="FFFF6347"/>
      </patternFill>
    </fill>
    <fill>
      <patternFill patternType="solid">
        <fgColor rgb="FFFF8C00"/>
        <bgColor rgb="FFFFA500"/>
      </patternFill>
    </fill>
    <fill>
      <patternFill patternType="solid">
        <fgColor rgb="FF00CED1"/>
        <bgColor rgb="FF00FFFF"/>
      </patternFill>
    </fill>
    <fill>
      <patternFill patternType="solid">
        <fgColor rgb="FF90EE90"/>
        <bgColor rgb="FF7FFFD4"/>
      </patternFill>
    </fill>
    <fill>
      <patternFill patternType="solid">
        <fgColor rgb="FFAFEEEE"/>
        <bgColor rgb="FFDDDDDD"/>
      </patternFill>
    </fill>
    <fill>
      <patternFill patternType="solid">
        <fgColor rgb="FFDB7093"/>
        <bgColor rgb="FFFF69B4"/>
      </patternFill>
    </fill>
    <fill>
      <patternFill patternType="solid">
        <fgColor rgb="FFFFA500"/>
        <bgColor rgb="FFFF8C00"/>
      </patternFill>
    </fill>
    <fill>
      <patternFill patternType="solid">
        <fgColor rgb="FFADFF2F"/>
        <bgColor rgb="FF90EE90"/>
      </patternFill>
    </fill>
    <fill>
      <patternFill patternType="solid">
        <fgColor rgb="FFFFF0F5"/>
        <bgColor rgb="FFFFFFF0"/>
      </patternFill>
    </fill>
    <fill>
      <patternFill patternType="solid">
        <fgColor rgb="FF5F9EA0"/>
        <bgColor rgb="FF708090"/>
      </patternFill>
    </fill>
    <fill>
      <patternFill patternType="solid">
        <fgColor rgb="FFFFE4C4"/>
        <bgColor rgb="FFF6F9D4"/>
      </patternFill>
    </fill>
    <fill>
      <patternFill patternType="solid">
        <fgColor rgb="FFFF6347"/>
        <bgColor rgb="FFFF45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8090"/>
      </bottom>
      <diagonal/>
    </border>
    <border diagonalUp="false" diagonalDown="false">
      <left/>
      <right/>
      <top style="thin">
        <color rgb="FF708090"/>
      </top>
      <bottom style="thin">
        <color rgb="FF708090"/>
      </bottom>
      <diagonal/>
    </border>
    <border diagonalUp="false" diagonalDown="false">
      <left/>
      <right/>
      <top style="thin">
        <color rgb="FF708090"/>
      </top>
      <bottom/>
      <diagonal/>
    </border>
    <border diagonalUp="false" diagonalDown="false">
      <left/>
      <right/>
      <top style="thin">
        <color rgb="FF708090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1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1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1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9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9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1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1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1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8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8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9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9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1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4500"/>
      <rgbColor rgb="FF00FF00"/>
      <rgbColor rgb="FF0000FF"/>
      <rgbColor rgb="FFADFF2F"/>
      <rgbColor rgb="FFFF00FF"/>
      <rgbColor rgb="FF00FFFF"/>
      <rgbColor rgb="FF800000"/>
      <rgbColor rgb="FF008000"/>
      <rgbColor rgb="FF000080"/>
      <rgbColor rgb="FFFF8C00"/>
      <rgbColor rgb="FF800080"/>
      <rgbColor rgb="FF008080"/>
      <rgbColor rgb="FFBDB76B"/>
      <rgbColor rgb="FF708090"/>
      <rgbColor rgb="FF6495ED"/>
      <rgbColor rgb="FF993366"/>
      <rgbColor rgb="FFFAFAD2"/>
      <rgbColor rgb="FFAFEEEE"/>
      <rgbColor rgb="FF660066"/>
      <rgbColor rgb="FFDB7093"/>
      <rgbColor rgb="FF0066CC"/>
      <rgbColor rgb="FFDDDDDD"/>
      <rgbColor rgb="FF000080"/>
      <rgbColor rgb="FFFF00FF"/>
      <rgbColor rgb="FFFFE4C4"/>
      <rgbColor rgb="FF00FFFF"/>
      <rgbColor rgb="FF800080"/>
      <rgbColor rgb="FF800000"/>
      <rgbColor rgb="FF008080"/>
      <rgbColor rgb="FF0000FF"/>
      <rgbColor rgb="FF00CED1"/>
      <rgbColor rgb="FFFFFFF0"/>
      <rgbColor rgb="FFF6F9D4"/>
      <rgbColor rgb="FFE8F2A1"/>
      <rgbColor rgb="FF7FFFD4"/>
      <rgbColor rgb="FFF8BBD0"/>
      <rgbColor rgb="FFFF69B4"/>
      <rgbColor rgb="FFF0E68C"/>
      <rgbColor rgb="FF3366FF"/>
      <rgbColor rgb="FF90EE90"/>
      <rgbColor rgb="FF81D41A"/>
      <rgbColor rgb="FFFFB66C"/>
      <rgbColor rgb="FFFFA500"/>
      <rgbColor rgb="FFFF6347"/>
      <rgbColor rgb="FFFFF0F5"/>
      <rgbColor rgb="FF8E86AE"/>
      <rgbColor rgb="FF003366"/>
      <rgbColor rgb="FF5F9EA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ranah.com/english" TargetMode="External"/><Relationship Id="rId2" Type="http://schemas.openxmlformats.org/officeDocument/2006/relationships/hyperlink" Target="https://www.branah.com/portuguese" TargetMode="External"/><Relationship Id="rId3" Type="http://schemas.openxmlformats.org/officeDocument/2006/relationships/hyperlink" Target="https://www.branah.com/italian" TargetMode="External"/><Relationship Id="rId4" Type="http://schemas.openxmlformats.org/officeDocument/2006/relationships/hyperlink" Target="https://www.branah.com/greek" TargetMode="External"/><Relationship Id="rId5" Type="http://schemas.openxmlformats.org/officeDocument/2006/relationships/hyperlink" Target="https://www.branah.com/ukrainian" TargetMode="External"/><Relationship Id="rId6" Type="http://schemas.openxmlformats.org/officeDocument/2006/relationships/hyperlink" Target="https://www.branah.com/russian" TargetMode="External"/><Relationship Id="rId7" Type="http://schemas.openxmlformats.org/officeDocument/2006/relationships/hyperlink" Target="https://www.branah.com/belarusian" TargetMode="External"/><Relationship Id="rId8" Type="http://schemas.openxmlformats.org/officeDocument/2006/relationships/hyperlink" Target="https://www.branah.com/kazakh" TargetMode="External"/><Relationship Id="rId9" Type="http://schemas.openxmlformats.org/officeDocument/2006/relationships/hyperlink" Target="https://www.branah.com/bulgarian" TargetMode="External"/><Relationship Id="rId10" Type="http://schemas.openxmlformats.org/officeDocument/2006/relationships/hyperlink" Target="https://www.branah.com/romanian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&#192;" TargetMode="External"/><Relationship Id="rId2" Type="http://schemas.openxmlformats.org/officeDocument/2006/relationships/hyperlink" Target="https://en.wikipedia.org/wiki/&#193;" TargetMode="External"/><Relationship Id="rId3" Type="http://schemas.openxmlformats.org/officeDocument/2006/relationships/hyperlink" Target="https://en.wikipedia.org/wiki/&#194;" TargetMode="External"/><Relationship Id="rId4" Type="http://schemas.openxmlformats.org/officeDocument/2006/relationships/hyperlink" Target="https://en.wikipedia.org/wiki/&#195;" TargetMode="External"/><Relationship Id="rId5" Type="http://schemas.openxmlformats.org/officeDocument/2006/relationships/hyperlink" Target="https://en.wikipedia.org/wiki/&#196;" TargetMode="External"/><Relationship Id="rId6" Type="http://schemas.openxmlformats.org/officeDocument/2006/relationships/hyperlink" Target="https://en.wikipedia.org/wiki/&#197;" TargetMode="External"/><Relationship Id="rId7" Type="http://schemas.openxmlformats.org/officeDocument/2006/relationships/hyperlink" Target="https://en.wikipedia.org/wiki/&#198;" TargetMode="External"/><Relationship Id="rId8" Type="http://schemas.openxmlformats.org/officeDocument/2006/relationships/hyperlink" Target="https://en.wikipedia.org/wiki/&#256;" TargetMode="External"/><Relationship Id="rId9" Type="http://schemas.openxmlformats.org/officeDocument/2006/relationships/hyperlink" Target="https://en.wikipedia.org/wiki/&#258;" TargetMode="External"/><Relationship Id="rId10" Type="http://schemas.openxmlformats.org/officeDocument/2006/relationships/hyperlink" Target="https://en.wikipedia.org/wiki/&#260;" TargetMode="External"/><Relationship Id="rId11" Type="http://schemas.openxmlformats.org/officeDocument/2006/relationships/hyperlink" Target="https://en.wikipedia.org/wiki/&#192;" TargetMode="External"/><Relationship Id="rId12" Type="http://schemas.openxmlformats.org/officeDocument/2006/relationships/hyperlink" Target="https://en.wikipedia.org/wiki/&#193;" TargetMode="External"/><Relationship Id="rId13" Type="http://schemas.openxmlformats.org/officeDocument/2006/relationships/hyperlink" Target="https://en.wikipedia.org/wiki/&#194;" TargetMode="External"/><Relationship Id="rId14" Type="http://schemas.openxmlformats.org/officeDocument/2006/relationships/hyperlink" Target="https://en.wikipedia.org/wiki/&#195;" TargetMode="External"/><Relationship Id="rId15" Type="http://schemas.openxmlformats.org/officeDocument/2006/relationships/hyperlink" Target="https://en.wikipedia.org/wiki/&#196;" TargetMode="External"/><Relationship Id="rId16" Type="http://schemas.openxmlformats.org/officeDocument/2006/relationships/hyperlink" Target="https://en.wikipedia.org/wiki/&#197;" TargetMode="External"/><Relationship Id="rId17" Type="http://schemas.openxmlformats.org/officeDocument/2006/relationships/hyperlink" Target="https://en.wikipedia.org/wiki/&#198;" TargetMode="External"/><Relationship Id="rId18" Type="http://schemas.openxmlformats.org/officeDocument/2006/relationships/hyperlink" Target="https://en.wikipedia.org/wiki/&#256;" TargetMode="External"/><Relationship Id="rId19" Type="http://schemas.openxmlformats.org/officeDocument/2006/relationships/hyperlink" Target="https://en.wikipedia.org/wiki/&#258;" TargetMode="External"/><Relationship Id="rId20" Type="http://schemas.openxmlformats.org/officeDocument/2006/relationships/hyperlink" Target="https://en.wikipedia.org/wiki/&#260;" TargetMode="External"/><Relationship Id="rId21" Type="http://schemas.openxmlformats.org/officeDocument/2006/relationships/hyperlink" Target="https://en.wikipedia.org/wiki/&#199;" TargetMode="External"/><Relationship Id="rId22" Type="http://schemas.openxmlformats.org/officeDocument/2006/relationships/hyperlink" Target="https://en.wikipedia.org/wiki/&#262;" TargetMode="External"/><Relationship Id="rId23" Type="http://schemas.openxmlformats.org/officeDocument/2006/relationships/hyperlink" Target="https://en.wikipedia.org/wiki/&#264;" TargetMode="External"/><Relationship Id="rId24" Type="http://schemas.openxmlformats.org/officeDocument/2006/relationships/hyperlink" Target="https://en.wikipedia.org/wiki/&#266;" TargetMode="External"/><Relationship Id="rId25" Type="http://schemas.openxmlformats.org/officeDocument/2006/relationships/hyperlink" Target="https://en.wikipedia.org/wiki/&#268;" TargetMode="External"/><Relationship Id="rId26" Type="http://schemas.openxmlformats.org/officeDocument/2006/relationships/hyperlink" Target="https://en.wikipedia.org/wiki/&#199;" TargetMode="External"/><Relationship Id="rId27" Type="http://schemas.openxmlformats.org/officeDocument/2006/relationships/hyperlink" Target="https://en.wikipedia.org/wiki/&#262;" TargetMode="External"/><Relationship Id="rId28" Type="http://schemas.openxmlformats.org/officeDocument/2006/relationships/hyperlink" Target="https://en.wikipedia.org/wiki/&#264;" TargetMode="External"/><Relationship Id="rId29" Type="http://schemas.openxmlformats.org/officeDocument/2006/relationships/hyperlink" Target="https://en.wikipedia.org/wiki/&#266;" TargetMode="External"/><Relationship Id="rId30" Type="http://schemas.openxmlformats.org/officeDocument/2006/relationships/hyperlink" Target="https://en.wikipedia.org/wiki/&#268;" TargetMode="External"/><Relationship Id="rId31" Type="http://schemas.openxmlformats.org/officeDocument/2006/relationships/hyperlink" Target="https://en.wikipedia.org/wiki/&#208;" TargetMode="External"/><Relationship Id="rId32" Type="http://schemas.openxmlformats.org/officeDocument/2006/relationships/hyperlink" Target="https://en.wikipedia.org/wiki/&#270;" TargetMode="External"/><Relationship Id="rId33" Type="http://schemas.openxmlformats.org/officeDocument/2006/relationships/hyperlink" Target="https://en.wikipedia.org/wiki/&#272;" TargetMode="External"/><Relationship Id="rId34" Type="http://schemas.openxmlformats.org/officeDocument/2006/relationships/hyperlink" Target="https://en.wikipedia.org/wiki/&#208;" TargetMode="External"/><Relationship Id="rId35" Type="http://schemas.openxmlformats.org/officeDocument/2006/relationships/hyperlink" Target="https://en.wikipedia.org/wiki/&#270;" TargetMode="External"/><Relationship Id="rId36" Type="http://schemas.openxmlformats.org/officeDocument/2006/relationships/hyperlink" Target="https://en.wikipedia.org/wiki/&#272;" TargetMode="External"/><Relationship Id="rId37" Type="http://schemas.openxmlformats.org/officeDocument/2006/relationships/hyperlink" Target="https://en.wikipedia.org/wiki/&#200;" TargetMode="External"/><Relationship Id="rId38" Type="http://schemas.openxmlformats.org/officeDocument/2006/relationships/hyperlink" Target="https://en.wikipedia.org/wiki/&#201;" TargetMode="External"/><Relationship Id="rId39" Type="http://schemas.openxmlformats.org/officeDocument/2006/relationships/hyperlink" Target="https://en.wikipedia.org/wiki/&#202;" TargetMode="External"/><Relationship Id="rId40" Type="http://schemas.openxmlformats.org/officeDocument/2006/relationships/hyperlink" Target="https://en.wikipedia.org/wiki/&#203;" TargetMode="External"/><Relationship Id="rId41" Type="http://schemas.openxmlformats.org/officeDocument/2006/relationships/hyperlink" Target="https://en.wikipedia.org/wiki/&#274;" TargetMode="External"/><Relationship Id="rId42" Type="http://schemas.openxmlformats.org/officeDocument/2006/relationships/hyperlink" Target="https://en.wikipedia.org/wiki/&#276;" TargetMode="External"/><Relationship Id="rId43" Type="http://schemas.openxmlformats.org/officeDocument/2006/relationships/hyperlink" Target="https://en.wikipedia.org/wiki/&#278;" TargetMode="External"/><Relationship Id="rId44" Type="http://schemas.openxmlformats.org/officeDocument/2006/relationships/hyperlink" Target="https://en.wikipedia.org/wiki/&#280;" TargetMode="External"/><Relationship Id="rId45" Type="http://schemas.openxmlformats.org/officeDocument/2006/relationships/hyperlink" Target="https://en.wikipedia.org/wiki/&#282;" TargetMode="External"/><Relationship Id="rId46" Type="http://schemas.openxmlformats.org/officeDocument/2006/relationships/hyperlink" Target="https://en.wikipedia.org/wiki/&#200;" TargetMode="External"/><Relationship Id="rId47" Type="http://schemas.openxmlformats.org/officeDocument/2006/relationships/hyperlink" Target="https://en.wikipedia.org/wiki/&#201;" TargetMode="External"/><Relationship Id="rId48" Type="http://schemas.openxmlformats.org/officeDocument/2006/relationships/hyperlink" Target="https://en.wikipedia.org/wiki/&#202;" TargetMode="External"/><Relationship Id="rId49" Type="http://schemas.openxmlformats.org/officeDocument/2006/relationships/hyperlink" Target="https://en.wikipedia.org/wiki/&#203;" TargetMode="External"/><Relationship Id="rId50" Type="http://schemas.openxmlformats.org/officeDocument/2006/relationships/hyperlink" Target="https://en.wikipedia.org/wiki/&#274;" TargetMode="External"/><Relationship Id="rId51" Type="http://schemas.openxmlformats.org/officeDocument/2006/relationships/hyperlink" Target="https://en.wikipedia.org/wiki/&#276;" TargetMode="External"/><Relationship Id="rId52" Type="http://schemas.openxmlformats.org/officeDocument/2006/relationships/hyperlink" Target="https://en.wikipedia.org/wiki/&#278;" TargetMode="External"/><Relationship Id="rId53" Type="http://schemas.openxmlformats.org/officeDocument/2006/relationships/hyperlink" Target="https://en.wikipedia.org/wiki/&#280;" TargetMode="External"/><Relationship Id="rId54" Type="http://schemas.openxmlformats.org/officeDocument/2006/relationships/hyperlink" Target="https://en.wikipedia.org/wiki/&#282;" TargetMode="External"/><Relationship Id="rId55" Type="http://schemas.openxmlformats.org/officeDocument/2006/relationships/hyperlink" Target="https://en.wikipedia.org/wiki/&#284;" TargetMode="External"/><Relationship Id="rId56" Type="http://schemas.openxmlformats.org/officeDocument/2006/relationships/hyperlink" Target="https://en.wikipedia.org/wiki/&#286;" TargetMode="External"/><Relationship Id="rId57" Type="http://schemas.openxmlformats.org/officeDocument/2006/relationships/hyperlink" Target="https://en.wikipedia.org/wiki/&#288;" TargetMode="External"/><Relationship Id="rId58" Type="http://schemas.openxmlformats.org/officeDocument/2006/relationships/hyperlink" Target="https://en.wikipedia.org/wiki/&#290;" TargetMode="External"/><Relationship Id="rId59" Type="http://schemas.openxmlformats.org/officeDocument/2006/relationships/hyperlink" Target="https://en.wikipedia.org/wiki/&#284;" TargetMode="External"/><Relationship Id="rId60" Type="http://schemas.openxmlformats.org/officeDocument/2006/relationships/hyperlink" Target="https://en.wikipedia.org/wiki/&#286;" TargetMode="External"/><Relationship Id="rId61" Type="http://schemas.openxmlformats.org/officeDocument/2006/relationships/hyperlink" Target="https://en.wikipedia.org/wiki/&#288;" TargetMode="External"/><Relationship Id="rId62" Type="http://schemas.openxmlformats.org/officeDocument/2006/relationships/hyperlink" Target="https://en.wikipedia.org/wiki/&#290;" TargetMode="External"/><Relationship Id="rId63" Type="http://schemas.openxmlformats.org/officeDocument/2006/relationships/hyperlink" Target="https://en.wikipedia.org/wiki/&#292;" TargetMode="External"/><Relationship Id="rId64" Type="http://schemas.openxmlformats.org/officeDocument/2006/relationships/hyperlink" Target="https://en.wikipedia.org/wiki/&#294;" TargetMode="External"/><Relationship Id="rId65" Type="http://schemas.openxmlformats.org/officeDocument/2006/relationships/hyperlink" Target="https://en.wikipedia.org/wiki/&#292;" TargetMode="External"/><Relationship Id="rId66" Type="http://schemas.openxmlformats.org/officeDocument/2006/relationships/hyperlink" Target="https://en.wikipedia.org/wiki/&#294;" TargetMode="External"/><Relationship Id="rId67" Type="http://schemas.openxmlformats.org/officeDocument/2006/relationships/hyperlink" Target="https://en.wikipedia.org/wiki/&#204;" TargetMode="External"/><Relationship Id="rId68" Type="http://schemas.openxmlformats.org/officeDocument/2006/relationships/hyperlink" Target="https://en.wikipedia.org/wiki/&#205;" TargetMode="External"/><Relationship Id="rId69" Type="http://schemas.openxmlformats.org/officeDocument/2006/relationships/hyperlink" Target="https://en.wikipedia.org/wiki/&#206;" TargetMode="External"/><Relationship Id="rId70" Type="http://schemas.openxmlformats.org/officeDocument/2006/relationships/hyperlink" Target="https://en.wikipedia.org/wiki/&#207;" TargetMode="External"/><Relationship Id="rId71" Type="http://schemas.openxmlformats.org/officeDocument/2006/relationships/hyperlink" Target="https://en.wikipedia.org/wiki/&#296;" TargetMode="External"/><Relationship Id="rId72" Type="http://schemas.openxmlformats.org/officeDocument/2006/relationships/hyperlink" Target="https://en.wikipedia.org/wiki/&#298;" TargetMode="External"/><Relationship Id="rId73" Type="http://schemas.openxmlformats.org/officeDocument/2006/relationships/hyperlink" Target="https://en.wikipedia.org/wiki/&#300;" TargetMode="External"/><Relationship Id="rId74" Type="http://schemas.openxmlformats.org/officeDocument/2006/relationships/hyperlink" Target="https://en.wikipedia.org/wiki/&#302;" TargetMode="External"/><Relationship Id="rId75" Type="http://schemas.openxmlformats.org/officeDocument/2006/relationships/hyperlink" Target="https://en.wikipedia.org/wiki/&#304;" TargetMode="External"/><Relationship Id="rId76" Type="http://schemas.openxmlformats.org/officeDocument/2006/relationships/hyperlink" Target="https://en.wikipedia.org/wiki/&#306;" TargetMode="External"/><Relationship Id="rId77" Type="http://schemas.openxmlformats.org/officeDocument/2006/relationships/hyperlink" Target="https://en.wikipedia.org/wiki/&#204;" TargetMode="External"/><Relationship Id="rId78" Type="http://schemas.openxmlformats.org/officeDocument/2006/relationships/hyperlink" Target="https://en.wikipedia.org/wiki/&#205;" TargetMode="External"/><Relationship Id="rId79" Type="http://schemas.openxmlformats.org/officeDocument/2006/relationships/hyperlink" Target="https://en.wikipedia.org/wiki/&#206;" TargetMode="External"/><Relationship Id="rId80" Type="http://schemas.openxmlformats.org/officeDocument/2006/relationships/hyperlink" Target="https://en.wikipedia.org/wiki/&#207;" TargetMode="External"/><Relationship Id="rId81" Type="http://schemas.openxmlformats.org/officeDocument/2006/relationships/hyperlink" Target="https://en.wikipedia.org/wiki/&#296;" TargetMode="External"/><Relationship Id="rId82" Type="http://schemas.openxmlformats.org/officeDocument/2006/relationships/hyperlink" Target="https://en.wikipedia.org/wiki/&#298;" TargetMode="External"/><Relationship Id="rId83" Type="http://schemas.openxmlformats.org/officeDocument/2006/relationships/hyperlink" Target="https://en.wikipedia.org/wiki/&#300;" TargetMode="External"/><Relationship Id="rId84" Type="http://schemas.openxmlformats.org/officeDocument/2006/relationships/hyperlink" Target="https://en.wikipedia.org/wiki/&#302;" TargetMode="External"/><Relationship Id="rId85" Type="http://schemas.openxmlformats.org/officeDocument/2006/relationships/hyperlink" Target="https://en.wikipedia.org/wiki/Dotless_I" TargetMode="External"/><Relationship Id="rId86" Type="http://schemas.openxmlformats.org/officeDocument/2006/relationships/hyperlink" Target="https://en.wikipedia.org/wiki/&#306;" TargetMode="External"/><Relationship Id="rId87" Type="http://schemas.openxmlformats.org/officeDocument/2006/relationships/hyperlink" Target="https://en.wikipedia.org/wiki/&#308;" TargetMode="External"/><Relationship Id="rId88" Type="http://schemas.openxmlformats.org/officeDocument/2006/relationships/hyperlink" Target="https://en.wikipedia.org/wiki/&#308;" TargetMode="External"/><Relationship Id="rId89" Type="http://schemas.openxmlformats.org/officeDocument/2006/relationships/hyperlink" Target="https://en.wikipedia.org/wiki/&#310;" TargetMode="External"/><Relationship Id="rId90" Type="http://schemas.openxmlformats.org/officeDocument/2006/relationships/hyperlink" Target="https://en.wikipedia.org/wiki/&#310;" TargetMode="External"/><Relationship Id="rId91" Type="http://schemas.openxmlformats.org/officeDocument/2006/relationships/hyperlink" Target="https://en.wikipedia.org/wiki/&#312;" TargetMode="External"/><Relationship Id="rId92" Type="http://schemas.openxmlformats.org/officeDocument/2006/relationships/hyperlink" Target="https://en.wikipedia.org/wiki/&#313;" TargetMode="External"/><Relationship Id="rId93" Type="http://schemas.openxmlformats.org/officeDocument/2006/relationships/hyperlink" Target="https://en.wikipedia.org/wiki/&#315;" TargetMode="External"/><Relationship Id="rId94" Type="http://schemas.openxmlformats.org/officeDocument/2006/relationships/hyperlink" Target="https://en.wikipedia.org/wiki/&#317;" TargetMode="External"/><Relationship Id="rId95" Type="http://schemas.openxmlformats.org/officeDocument/2006/relationships/hyperlink" Target="https://en.wikipedia.org/wiki/&#319;" TargetMode="External"/><Relationship Id="rId96" Type="http://schemas.openxmlformats.org/officeDocument/2006/relationships/hyperlink" Target="https://en.wikipedia.org/wiki/&#321;" TargetMode="External"/><Relationship Id="rId97" Type="http://schemas.openxmlformats.org/officeDocument/2006/relationships/hyperlink" Target="https://en.wikipedia.org/wiki/&#313;" TargetMode="External"/><Relationship Id="rId98" Type="http://schemas.openxmlformats.org/officeDocument/2006/relationships/hyperlink" Target="https://en.wikipedia.org/wiki/&#315;" TargetMode="External"/><Relationship Id="rId99" Type="http://schemas.openxmlformats.org/officeDocument/2006/relationships/hyperlink" Target="https://en.wikipedia.org/wiki/&#317;" TargetMode="External"/><Relationship Id="rId100" Type="http://schemas.openxmlformats.org/officeDocument/2006/relationships/hyperlink" Target="https://en.wikipedia.org/wiki/&#319;" TargetMode="External"/><Relationship Id="rId101" Type="http://schemas.openxmlformats.org/officeDocument/2006/relationships/hyperlink" Target="https://en.wikipedia.org/wiki/&#321;" TargetMode="External"/><Relationship Id="rId102" Type="http://schemas.openxmlformats.org/officeDocument/2006/relationships/hyperlink" Target="https://en.wikipedia.org/wiki/&#209;" TargetMode="External"/><Relationship Id="rId103" Type="http://schemas.openxmlformats.org/officeDocument/2006/relationships/hyperlink" Target="https://en.wikipedia.org/wiki/&#323;" TargetMode="External"/><Relationship Id="rId104" Type="http://schemas.openxmlformats.org/officeDocument/2006/relationships/hyperlink" Target="https://en.wikipedia.org/wiki/&#325;" TargetMode="External"/><Relationship Id="rId105" Type="http://schemas.openxmlformats.org/officeDocument/2006/relationships/hyperlink" Target="https://en.wikipedia.org/wiki/&#327;" TargetMode="External"/><Relationship Id="rId106" Type="http://schemas.openxmlformats.org/officeDocument/2006/relationships/hyperlink" Target="https://en.wikipedia.org/wiki/&#330;" TargetMode="External"/><Relationship Id="rId107" Type="http://schemas.openxmlformats.org/officeDocument/2006/relationships/hyperlink" Target="https://en.wikipedia.org/wiki/&#209;" TargetMode="External"/><Relationship Id="rId108" Type="http://schemas.openxmlformats.org/officeDocument/2006/relationships/hyperlink" Target="https://en.wikipedia.org/wiki/&#323;" TargetMode="External"/><Relationship Id="rId109" Type="http://schemas.openxmlformats.org/officeDocument/2006/relationships/hyperlink" Target="https://en.wikipedia.org/wiki/&#325;" TargetMode="External"/><Relationship Id="rId110" Type="http://schemas.openxmlformats.org/officeDocument/2006/relationships/hyperlink" Target="https://en.wikipedia.org/wiki/&#327;" TargetMode="External"/><Relationship Id="rId111" Type="http://schemas.openxmlformats.org/officeDocument/2006/relationships/hyperlink" Target="https://en.wikipedia.org/wiki/&#330;" TargetMode="External"/><Relationship Id="rId112" Type="http://schemas.openxmlformats.org/officeDocument/2006/relationships/hyperlink" Target="https://en.wikipedia.org/wiki/&#700;N" TargetMode="External"/><Relationship Id="rId113" Type="http://schemas.openxmlformats.org/officeDocument/2006/relationships/hyperlink" Target="https://en.wikipedia.org/wiki/&#210;" TargetMode="External"/><Relationship Id="rId114" Type="http://schemas.openxmlformats.org/officeDocument/2006/relationships/hyperlink" Target="https://en.wikipedia.org/wiki/&#211;" TargetMode="External"/><Relationship Id="rId115" Type="http://schemas.openxmlformats.org/officeDocument/2006/relationships/hyperlink" Target="https://en.wikipedia.org/wiki/&#212;" TargetMode="External"/><Relationship Id="rId116" Type="http://schemas.openxmlformats.org/officeDocument/2006/relationships/hyperlink" Target="https://en.wikipedia.org/wiki/&#213;" TargetMode="External"/><Relationship Id="rId117" Type="http://schemas.openxmlformats.org/officeDocument/2006/relationships/hyperlink" Target="https://en.wikipedia.org/wiki/&#214;" TargetMode="External"/><Relationship Id="rId118" Type="http://schemas.openxmlformats.org/officeDocument/2006/relationships/hyperlink" Target="https://en.wikipedia.org/wiki/&#332;" TargetMode="External"/><Relationship Id="rId119" Type="http://schemas.openxmlformats.org/officeDocument/2006/relationships/hyperlink" Target="https://en.wikipedia.org/wiki/&#334;" TargetMode="External"/><Relationship Id="rId120" Type="http://schemas.openxmlformats.org/officeDocument/2006/relationships/hyperlink" Target="https://en.wikipedia.org/wiki/&#336;" TargetMode="External"/><Relationship Id="rId121" Type="http://schemas.openxmlformats.org/officeDocument/2006/relationships/hyperlink" Target="https://en.wikipedia.org/wiki/&#338;" TargetMode="External"/><Relationship Id="rId122" Type="http://schemas.openxmlformats.org/officeDocument/2006/relationships/hyperlink" Target="https://en.wikipedia.org/wiki/&#216;" TargetMode="External"/><Relationship Id="rId123" Type="http://schemas.openxmlformats.org/officeDocument/2006/relationships/hyperlink" Target="https://en.wikipedia.org/wiki/&#210;" TargetMode="External"/><Relationship Id="rId124" Type="http://schemas.openxmlformats.org/officeDocument/2006/relationships/hyperlink" Target="https://en.wikipedia.org/wiki/&#211;" TargetMode="External"/><Relationship Id="rId125" Type="http://schemas.openxmlformats.org/officeDocument/2006/relationships/hyperlink" Target="https://en.wikipedia.org/wiki/&#212;" TargetMode="External"/><Relationship Id="rId126" Type="http://schemas.openxmlformats.org/officeDocument/2006/relationships/hyperlink" Target="https://en.wikipedia.org/wiki/&#213;" TargetMode="External"/><Relationship Id="rId127" Type="http://schemas.openxmlformats.org/officeDocument/2006/relationships/hyperlink" Target="https://en.wikipedia.org/wiki/&#214;" TargetMode="External"/><Relationship Id="rId128" Type="http://schemas.openxmlformats.org/officeDocument/2006/relationships/hyperlink" Target="https://en.wikipedia.org/wiki/&#332;" TargetMode="External"/><Relationship Id="rId129" Type="http://schemas.openxmlformats.org/officeDocument/2006/relationships/hyperlink" Target="https://en.wikipedia.org/wiki/&#334;" TargetMode="External"/><Relationship Id="rId130" Type="http://schemas.openxmlformats.org/officeDocument/2006/relationships/hyperlink" Target="https://en.wikipedia.org/wiki/&#336;" TargetMode="External"/><Relationship Id="rId131" Type="http://schemas.openxmlformats.org/officeDocument/2006/relationships/hyperlink" Target="https://en.wikipedia.org/wiki/&#338;" TargetMode="External"/><Relationship Id="rId132" Type="http://schemas.openxmlformats.org/officeDocument/2006/relationships/hyperlink" Target="https://en.wikipedia.org/wiki/&#216;" TargetMode="External"/><Relationship Id="rId133" Type="http://schemas.openxmlformats.org/officeDocument/2006/relationships/hyperlink" Target="https://en.wikipedia.org/wiki/&#340;" TargetMode="External"/><Relationship Id="rId134" Type="http://schemas.openxmlformats.org/officeDocument/2006/relationships/hyperlink" Target="https://en.wikipedia.org/wiki/&#342;" TargetMode="External"/><Relationship Id="rId135" Type="http://schemas.openxmlformats.org/officeDocument/2006/relationships/hyperlink" Target="https://en.wikipedia.org/wiki/&#344;" TargetMode="External"/><Relationship Id="rId136" Type="http://schemas.openxmlformats.org/officeDocument/2006/relationships/hyperlink" Target="https://en.wikipedia.org/wiki/&#340;" TargetMode="External"/><Relationship Id="rId137" Type="http://schemas.openxmlformats.org/officeDocument/2006/relationships/hyperlink" Target="https://en.wikipedia.org/wiki/&#342;" TargetMode="External"/><Relationship Id="rId138" Type="http://schemas.openxmlformats.org/officeDocument/2006/relationships/hyperlink" Target="https://en.wikipedia.org/wiki/&#344;" TargetMode="External"/><Relationship Id="rId139" Type="http://schemas.openxmlformats.org/officeDocument/2006/relationships/hyperlink" Target="https://en.wikipedia.org/wiki/&#7838;" TargetMode="External"/><Relationship Id="rId140" Type="http://schemas.openxmlformats.org/officeDocument/2006/relationships/hyperlink" Target="https://en.wikipedia.org/wiki/&#346;" TargetMode="External"/><Relationship Id="rId141" Type="http://schemas.openxmlformats.org/officeDocument/2006/relationships/hyperlink" Target="https://en.wikipedia.org/wiki/&#348;" TargetMode="External"/><Relationship Id="rId142" Type="http://schemas.openxmlformats.org/officeDocument/2006/relationships/hyperlink" Target="https://en.wikipedia.org/wiki/&#350;" TargetMode="External"/><Relationship Id="rId143" Type="http://schemas.openxmlformats.org/officeDocument/2006/relationships/hyperlink" Target="https://en.wikipedia.org/wiki/&#352;" TargetMode="External"/><Relationship Id="rId144" Type="http://schemas.openxmlformats.org/officeDocument/2006/relationships/hyperlink" Target="https://en.wikipedia.org/wiki/&#223;" TargetMode="External"/><Relationship Id="rId145" Type="http://schemas.openxmlformats.org/officeDocument/2006/relationships/hyperlink" Target="https://en.wikipedia.org/wiki/&#346;" TargetMode="External"/><Relationship Id="rId146" Type="http://schemas.openxmlformats.org/officeDocument/2006/relationships/hyperlink" Target="https://en.wikipedia.org/wiki/&#348;" TargetMode="External"/><Relationship Id="rId147" Type="http://schemas.openxmlformats.org/officeDocument/2006/relationships/hyperlink" Target="https://en.wikipedia.org/wiki/&#350;" TargetMode="External"/><Relationship Id="rId148" Type="http://schemas.openxmlformats.org/officeDocument/2006/relationships/hyperlink" Target="https://en.wikipedia.org/wiki/&#352;" TargetMode="External"/><Relationship Id="rId149" Type="http://schemas.openxmlformats.org/officeDocument/2006/relationships/hyperlink" Target="https://en.wikipedia.org/wiki/&#222;" TargetMode="External"/><Relationship Id="rId150" Type="http://schemas.openxmlformats.org/officeDocument/2006/relationships/hyperlink" Target="https://en.wikipedia.org/wiki/&#354;" TargetMode="External"/><Relationship Id="rId151" Type="http://schemas.openxmlformats.org/officeDocument/2006/relationships/hyperlink" Target="https://en.wikipedia.org/wiki/&#356;" TargetMode="External"/><Relationship Id="rId152" Type="http://schemas.openxmlformats.org/officeDocument/2006/relationships/hyperlink" Target="https://en.wikipedia.org/wiki/&#358;" TargetMode="External"/><Relationship Id="rId153" Type="http://schemas.openxmlformats.org/officeDocument/2006/relationships/hyperlink" Target="https://en.wikipedia.org/wiki/&#222;" TargetMode="External"/><Relationship Id="rId154" Type="http://schemas.openxmlformats.org/officeDocument/2006/relationships/hyperlink" Target="https://en.wikipedia.org/wiki/&#354;" TargetMode="External"/><Relationship Id="rId155" Type="http://schemas.openxmlformats.org/officeDocument/2006/relationships/hyperlink" Target="https://en.wikipedia.org/wiki/&#356;" TargetMode="External"/><Relationship Id="rId156" Type="http://schemas.openxmlformats.org/officeDocument/2006/relationships/hyperlink" Target="https://en.wikipedia.org/wiki/&#358;" TargetMode="External"/><Relationship Id="rId157" Type="http://schemas.openxmlformats.org/officeDocument/2006/relationships/hyperlink" Target="https://en.wikipedia.org/wiki/&#217;" TargetMode="External"/><Relationship Id="rId158" Type="http://schemas.openxmlformats.org/officeDocument/2006/relationships/hyperlink" Target="https://en.wikipedia.org/wiki/&#218;" TargetMode="External"/><Relationship Id="rId159" Type="http://schemas.openxmlformats.org/officeDocument/2006/relationships/hyperlink" Target="https://en.wikipedia.org/wiki/&#219;" TargetMode="External"/><Relationship Id="rId160" Type="http://schemas.openxmlformats.org/officeDocument/2006/relationships/hyperlink" Target="https://en.wikipedia.org/wiki/&#220;" TargetMode="External"/><Relationship Id="rId161" Type="http://schemas.openxmlformats.org/officeDocument/2006/relationships/hyperlink" Target="https://en.wikipedia.org/wiki/&#360;" TargetMode="External"/><Relationship Id="rId162" Type="http://schemas.openxmlformats.org/officeDocument/2006/relationships/hyperlink" Target="https://en.wikipedia.org/wiki/&#362;" TargetMode="External"/><Relationship Id="rId163" Type="http://schemas.openxmlformats.org/officeDocument/2006/relationships/hyperlink" Target="https://en.wikipedia.org/wiki/&#364;" TargetMode="External"/><Relationship Id="rId164" Type="http://schemas.openxmlformats.org/officeDocument/2006/relationships/hyperlink" Target="https://en.wikipedia.org/wiki/&#366;" TargetMode="External"/><Relationship Id="rId165" Type="http://schemas.openxmlformats.org/officeDocument/2006/relationships/hyperlink" Target="https://en.wikipedia.org/wiki/&#368;" TargetMode="External"/><Relationship Id="rId166" Type="http://schemas.openxmlformats.org/officeDocument/2006/relationships/hyperlink" Target="https://en.wikipedia.org/wiki/&#370;" TargetMode="External"/><Relationship Id="rId167" Type="http://schemas.openxmlformats.org/officeDocument/2006/relationships/hyperlink" Target="https://en.wikipedia.org/wiki/&#217;" TargetMode="External"/><Relationship Id="rId168" Type="http://schemas.openxmlformats.org/officeDocument/2006/relationships/hyperlink" Target="https://en.wikipedia.org/wiki/&#218;" TargetMode="External"/><Relationship Id="rId169" Type="http://schemas.openxmlformats.org/officeDocument/2006/relationships/hyperlink" Target="https://en.wikipedia.org/wiki/&#219;" TargetMode="External"/><Relationship Id="rId170" Type="http://schemas.openxmlformats.org/officeDocument/2006/relationships/hyperlink" Target="https://en.wikipedia.org/wiki/&#220;" TargetMode="External"/><Relationship Id="rId171" Type="http://schemas.openxmlformats.org/officeDocument/2006/relationships/hyperlink" Target="https://en.wikipedia.org/wiki/&#360;" TargetMode="External"/><Relationship Id="rId172" Type="http://schemas.openxmlformats.org/officeDocument/2006/relationships/hyperlink" Target="https://en.wikipedia.org/wiki/&#362;" TargetMode="External"/><Relationship Id="rId173" Type="http://schemas.openxmlformats.org/officeDocument/2006/relationships/hyperlink" Target="https://en.wikipedia.org/wiki/&#364;" TargetMode="External"/><Relationship Id="rId174" Type="http://schemas.openxmlformats.org/officeDocument/2006/relationships/hyperlink" Target="https://en.wikipedia.org/wiki/&#366;" TargetMode="External"/><Relationship Id="rId175" Type="http://schemas.openxmlformats.org/officeDocument/2006/relationships/hyperlink" Target="https://en.wikipedia.org/wiki/&#368;" TargetMode="External"/><Relationship Id="rId176" Type="http://schemas.openxmlformats.org/officeDocument/2006/relationships/hyperlink" Target="https://en.wikipedia.org/wiki/&#370;" TargetMode="External"/><Relationship Id="rId177" Type="http://schemas.openxmlformats.org/officeDocument/2006/relationships/hyperlink" Target="https://en.wikipedia.org/wiki/&#372;" TargetMode="External"/><Relationship Id="rId178" Type="http://schemas.openxmlformats.org/officeDocument/2006/relationships/hyperlink" Target="https://en.wikipedia.org/wiki/&#372;" TargetMode="External"/><Relationship Id="rId179" Type="http://schemas.openxmlformats.org/officeDocument/2006/relationships/hyperlink" Target="https://en.wikipedia.org/wiki/&#221;" TargetMode="External"/><Relationship Id="rId180" Type="http://schemas.openxmlformats.org/officeDocument/2006/relationships/hyperlink" Target="https://en.wikipedia.org/wiki/&#374;" TargetMode="External"/><Relationship Id="rId181" Type="http://schemas.openxmlformats.org/officeDocument/2006/relationships/hyperlink" Target="https://en.wikipedia.org/wiki/&#376;" TargetMode="External"/><Relationship Id="rId182" Type="http://schemas.openxmlformats.org/officeDocument/2006/relationships/hyperlink" Target="https://en.wikipedia.org/wiki/&#221;" TargetMode="External"/><Relationship Id="rId183" Type="http://schemas.openxmlformats.org/officeDocument/2006/relationships/hyperlink" Target="https://en.wikipedia.org/wiki/&#374;" TargetMode="External"/><Relationship Id="rId184" Type="http://schemas.openxmlformats.org/officeDocument/2006/relationships/hyperlink" Target="https://en.wikipedia.org/wiki/&#376;" TargetMode="External"/><Relationship Id="rId185" Type="http://schemas.openxmlformats.org/officeDocument/2006/relationships/hyperlink" Target="https://en.wikipedia.org/wiki/&#377;" TargetMode="External"/><Relationship Id="rId186" Type="http://schemas.openxmlformats.org/officeDocument/2006/relationships/hyperlink" Target="https://en.wikipedia.org/wiki/&#379;" TargetMode="External"/><Relationship Id="rId187" Type="http://schemas.openxmlformats.org/officeDocument/2006/relationships/hyperlink" Target="https://en.wikipedia.org/wiki/&#381;" TargetMode="External"/><Relationship Id="rId188" Type="http://schemas.openxmlformats.org/officeDocument/2006/relationships/hyperlink" Target="https://en.wikipedia.org/wiki/&#377;" TargetMode="External"/><Relationship Id="rId189" Type="http://schemas.openxmlformats.org/officeDocument/2006/relationships/hyperlink" Target="https://en.wikipedia.org/wiki/&#379;" TargetMode="External"/><Relationship Id="rId190" Type="http://schemas.openxmlformats.org/officeDocument/2006/relationships/hyperlink" Target="https://en.wikipedia.org/wiki/&#381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97"/>
  <sheetViews>
    <sheetView showFormulas="false" showGridLines="true" showRowColHeaders="true" showZeros="true" rightToLeft="false" tabSelected="false" showOutlineSymbols="true" defaultGridColor="true" view="normal" topLeftCell="A902" colorId="64" zoomScale="120" zoomScaleNormal="120" zoomScalePageLayoutView="100" workbookViewId="0">
      <selection pane="topLeft" activeCell="I917" activeCellId="0" sqref="I917"/>
    </sheetView>
  </sheetViews>
  <sheetFormatPr defaultColWidth="12.5234375" defaultRowHeight="15" customHeight="false" zeroHeight="false" outlineLevelRow="0" outlineLevelCol="0"/>
  <cols>
    <col collapsed="false" customWidth="true" hidden="false" outlineLevel="0" max="1" min="1" style="1" width="39.25"/>
    <col collapsed="false" customWidth="true" hidden="false" outlineLevel="0" max="2" min="2" style="2" width="15.74"/>
    <col collapsed="false" customWidth="true" hidden="false" outlineLevel="0" max="4" min="3" style="1" width="15.74"/>
    <col collapsed="false" customWidth="true" hidden="false" outlineLevel="0" max="5" min="5" style="3" width="11.57"/>
  </cols>
  <sheetData>
    <row r="1" customFormat="false" ht="24.85" hidden="false" customHeight="tru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</row>
    <row r="2" customFormat="false" ht="15" hidden="false" customHeight="false" outlineLevel="0" collapsed="false">
      <c r="A2" s="7" t="s">
        <v>6</v>
      </c>
      <c r="B2" s="8" t="s">
        <v>7</v>
      </c>
      <c r="C2" s="7" t="n">
        <f aca="false">HEX2DEC(B2)</f>
        <v>32</v>
      </c>
      <c r="D2" s="9" t="str">
        <f aca="false">DEC2HEX(C2,8)</f>
        <v>00000020</v>
      </c>
      <c r="E2" s="10" t="str">
        <f aca="false">_xlfn.UNICHAR(C2)</f>
        <v> </v>
      </c>
      <c r="F2" s="7" t="n">
        <v>0</v>
      </c>
    </row>
    <row r="3" customFormat="false" ht="15" hidden="false" customHeight="false" outlineLevel="0" collapsed="false">
      <c r="A3" s="7" t="s">
        <v>8</v>
      </c>
      <c r="B3" s="8" t="s">
        <v>9</v>
      </c>
      <c r="C3" s="7" t="n">
        <f aca="false">HEX2DEC(B3)</f>
        <v>34</v>
      </c>
      <c r="D3" s="9" t="str">
        <f aca="false">DEC2HEX(C3,8)</f>
        <v>00000022</v>
      </c>
      <c r="E3" s="10" t="str">
        <f aca="false">_xlfn.UNICHAR(C3)</f>
        <v>"</v>
      </c>
      <c r="F3" s="7" t="n">
        <f aca="false">C3-C2</f>
        <v>2</v>
      </c>
    </row>
    <row r="4" customFormat="false" ht="15" hidden="false" customHeight="false" outlineLevel="0" collapsed="false">
      <c r="A4" s="7" t="s">
        <v>10</v>
      </c>
      <c r="B4" s="8" t="s">
        <v>11</v>
      </c>
      <c r="C4" s="7" t="n">
        <f aca="false">HEX2DEC(B4)</f>
        <v>44</v>
      </c>
      <c r="D4" s="9" t="str">
        <f aca="false">DEC2HEX(C4,8)</f>
        <v>0000002C</v>
      </c>
      <c r="E4" s="10" t="str">
        <f aca="false">_xlfn.UNICHAR(C4)</f>
        <v>,</v>
      </c>
      <c r="F4" s="7" t="n">
        <f aca="false">C4-C3</f>
        <v>10</v>
      </c>
    </row>
    <row r="5" customFormat="false" ht="15" hidden="false" customHeight="false" outlineLevel="0" collapsed="false">
      <c r="A5" s="7" t="s">
        <v>12</v>
      </c>
      <c r="B5" s="8" t="s">
        <v>13</v>
      </c>
      <c r="C5" s="7" t="n">
        <f aca="false">HEX2DEC(B5)</f>
        <v>48</v>
      </c>
      <c r="D5" s="9" t="str">
        <f aca="false">DEC2HEX(C5,8)</f>
        <v>00000030</v>
      </c>
      <c r="E5" s="10" t="str">
        <f aca="false">_xlfn.UNICHAR(C5)</f>
        <v>0</v>
      </c>
      <c r="F5" s="7" t="n">
        <f aca="false">C5-C4</f>
        <v>4</v>
      </c>
    </row>
    <row r="6" customFormat="false" ht="15" hidden="false" customHeight="false" outlineLevel="0" collapsed="false">
      <c r="A6" s="7" t="s">
        <v>14</v>
      </c>
      <c r="B6" s="8" t="s">
        <v>15</v>
      </c>
      <c r="C6" s="7" t="n">
        <f aca="false">HEX2DEC(B6)</f>
        <v>61</v>
      </c>
      <c r="D6" s="9" t="str">
        <f aca="false">DEC2HEX(C6,8)</f>
        <v>0000003D</v>
      </c>
      <c r="E6" s="10" t="str">
        <f aca="false">_xlfn.UNICHAR(C6)</f>
        <v>=</v>
      </c>
      <c r="F6" s="7" t="n">
        <f aca="false">C6-C5</f>
        <v>13</v>
      </c>
    </row>
    <row r="7" customFormat="false" ht="15" hidden="false" customHeight="false" outlineLevel="0" collapsed="false">
      <c r="A7" s="7" t="s">
        <v>16</v>
      </c>
      <c r="B7" s="8" t="s">
        <v>17</v>
      </c>
      <c r="C7" s="7" t="n">
        <f aca="false">HEX2DEC(B7)</f>
        <v>92</v>
      </c>
      <c r="D7" s="9" t="str">
        <f aca="false">DEC2HEX(C7,8)</f>
        <v>0000005C</v>
      </c>
      <c r="E7" s="10" t="str">
        <f aca="false">_xlfn.UNICHAR(C7)</f>
        <v>\</v>
      </c>
      <c r="F7" s="7" t="n">
        <f aca="false">C7-C6</f>
        <v>31</v>
      </c>
    </row>
    <row r="8" customFormat="false" ht="15" hidden="false" customHeight="false" outlineLevel="0" collapsed="false">
      <c r="A8" s="7" t="s">
        <v>18</v>
      </c>
      <c r="B8" s="8" t="n">
        <v>60</v>
      </c>
      <c r="C8" s="7" t="n">
        <f aca="false">HEX2DEC(B8)</f>
        <v>96</v>
      </c>
      <c r="D8" s="9" t="str">
        <f aca="false">DEC2HEX(C8,8)</f>
        <v>00000060</v>
      </c>
      <c r="E8" s="10" t="str">
        <f aca="false">_xlfn.UNICHAR(C8)</f>
        <v>`</v>
      </c>
      <c r="F8" s="7" t="n">
        <f aca="false">C8-C7</f>
        <v>4</v>
      </c>
    </row>
    <row r="9" customFormat="false" ht="15" hidden="false" customHeight="false" outlineLevel="0" collapsed="false">
      <c r="A9" s="7" t="s">
        <v>19</v>
      </c>
      <c r="B9" s="8" t="inlineStr">
        <is>
          <t>100005</t>
        </is>
      </c>
      <c r="C9" s="7" t="n">
        <f aca="false">HEX2DEC(B9)</f>
        <v>1048581</v>
      </c>
      <c r="D9" s="9" t="str">
        <f aca="false">DEC2HEX(C9,8)</f>
        <v>00100005</v>
      </c>
      <c r="E9" s="10" t="str">
        <f aca="false">_xlfn.UNICHAR(C9)</f>
        <v></v>
      </c>
      <c r="F9" s="7" t="n">
        <f aca="false">C9-C8</f>
        <v>1048485</v>
      </c>
    </row>
    <row r="10" customFormat="false" ht="15" hidden="false" customHeight="false" outlineLevel="0" collapsed="false">
      <c r="A10" s="7" t="s">
        <v>20</v>
      </c>
      <c r="B10" s="8" t="inlineStr">
        <is>
          <t>100006</t>
        </is>
      </c>
      <c r="C10" s="7" t="n">
        <f aca="false">HEX2DEC(B10)</f>
        <v>1048582</v>
      </c>
      <c r="D10" s="9" t="str">
        <f aca="false">DEC2HEX(C10,8)</f>
        <v>00100006</v>
      </c>
      <c r="E10" s="10" t="str">
        <f aca="false">_xlfn.UNICHAR(C10)</f>
        <v></v>
      </c>
      <c r="F10" s="7" t="n">
        <f aca="false">C10-C9</f>
        <v>1</v>
      </c>
    </row>
    <row r="11" customFormat="false" ht="15" hidden="false" customHeight="false" outlineLevel="0" collapsed="false">
      <c r="A11" s="7" t="s">
        <v>21</v>
      </c>
      <c r="B11" s="8" t="inlineStr">
        <is>
          <t>100007</t>
        </is>
      </c>
      <c r="C11" s="7" t="n">
        <f aca="false">HEX2DEC(B11)</f>
        <v>1048583</v>
      </c>
      <c r="D11" s="9" t="str">
        <f aca="false">DEC2HEX(C11,8)</f>
        <v>00100007</v>
      </c>
      <c r="E11" s="10" t="str">
        <f aca="false">_xlfn.UNICHAR(C11)</f>
        <v></v>
      </c>
      <c r="F11" s="7" t="n">
        <f aca="false">C11-C10</f>
        <v>1</v>
      </c>
    </row>
    <row r="12" customFormat="false" ht="15" hidden="false" customHeight="false" outlineLevel="0" collapsed="false">
      <c r="A12" s="7" t="s">
        <v>22</v>
      </c>
      <c r="B12" s="8" t="inlineStr">
        <is>
          <t>100008</t>
        </is>
      </c>
      <c r="C12" s="7" t="n">
        <f aca="false">HEX2DEC(B12)</f>
        <v>1048584</v>
      </c>
      <c r="D12" s="9" t="str">
        <f aca="false">DEC2HEX(C12,8)</f>
        <v>00100008</v>
      </c>
      <c r="E12" s="10" t="str">
        <f aca="false">_xlfn.UNICHAR(C12)</f>
        <v></v>
      </c>
      <c r="F12" s="7" t="n">
        <f aca="false">C12-C11</f>
        <v>1</v>
      </c>
    </row>
    <row r="13" customFormat="false" ht="15" hidden="false" customHeight="false" outlineLevel="0" collapsed="false">
      <c r="A13" s="7" t="s">
        <v>23</v>
      </c>
      <c r="B13" s="8" t="inlineStr">
        <is>
          <t>100009</t>
        </is>
      </c>
      <c r="C13" s="7" t="n">
        <f aca="false">HEX2DEC(B13)</f>
        <v>1048585</v>
      </c>
      <c r="D13" s="9" t="str">
        <f aca="false">DEC2HEX(C13,8)</f>
        <v>00100009</v>
      </c>
      <c r="E13" s="10" t="str">
        <f aca="false">_xlfn.UNICHAR(C13)</f>
        <v></v>
      </c>
      <c r="F13" s="7" t="n">
        <f aca="false">C13-C12</f>
        <v>1</v>
      </c>
    </row>
    <row r="14" customFormat="false" ht="15" hidden="false" customHeight="false" outlineLevel="0" collapsed="false">
      <c r="A14" s="7" t="s">
        <v>24</v>
      </c>
      <c r="B14" s="8" t="inlineStr">
        <is>
          <t>10000A</t>
        </is>
      </c>
      <c r="C14" s="7" t="n">
        <f aca="false">HEX2DEC(B14)</f>
        <v>1048586</v>
      </c>
      <c r="D14" s="9" t="str">
        <f aca="false">DEC2HEX(C14,8)</f>
        <v>0010000A</v>
      </c>
      <c r="E14" s="10" t="str">
        <f aca="false">_xlfn.UNICHAR(C14)</f>
        <v></v>
      </c>
      <c r="F14" s="7" t="n">
        <f aca="false">C14-C13</f>
        <v>1</v>
      </c>
    </row>
    <row r="15" customFormat="false" ht="15" hidden="false" customHeight="false" outlineLevel="0" collapsed="false">
      <c r="A15" s="7" t="s">
        <v>25</v>
      </c>
      <c r="B15" s="8" t="inlineStr">
        <is>
          <t>10000B</t>
        </is>
      </c>
      <c r="C15" s="7" t="n">
        <f aca="false">HEX2DEC(B15)</f>
        <v>1048587</v>
      </c>
      <c r="D15" s="9" t="str">
        <f aca="false">DEC2HEX(C15,8)</f>
        <v>0010000B</v>
      </c>
      <c r="E15" s="10" t="str">
        <f aca="false">_xlfn.UNICHAR(C15)</f>
        <v></v>
      </c>
      <c r="F15" s="7" t="n">
        <f aca="false">C15-C14</f>
        <v>1</v>
      </c>
    </row>
    <row r="16" customFormat="false" ht="15" hidden="false" customHeight="false" outlineLevel="0" collapsed="false">
      <c r="A16" s="7" t="s">
        <v>26</v>
      </c>
      <c r="B16" s="8" t="inlineStr">
        <is>
          <t>10000C</t>
        </is>
      </c>
      <c r="C16" s="7" t="n">
        <f aca="false">HEX2DEC(B16)</f>
        <v>1048588</v>
      </c>
      <c r="D16" s="9" t="str">
        <f aca="false">DEC2HEX(C16,8)</f>
        <v>0010000C</v>
      </c>
      <c r="E16" s="10" t="str">
        <f aca="false">_xlfn.UNICHAR(C16)</f>
        <v></v>
      </c>
      <c r="F16" s="7" t="n">
        <f aca="false">C16-C15</f>
        <v>1</v>
      </c>
    </row>
    <row r="17" customFormat="false" ht="15" hidden="false" customHeight="false" outlineLevel="0" collapsed="false">
      <c r="A17" s="7" t="s">
        <v>27</v>
      </c>
      <c r="B17" s="8" t="inlineStr">
        <is>
          <t>10000D</t>
        </is>
      </c>
      <c r="C17" s="7" t="n">
        <f aca="false">HEX2DEC(B17)</f>
        <v>1048589</v>
      </c>
      <c r="D17" s="9" t="str">
        <f aca="false">DEC2HEX(C17,8)</f>
        <v>0010000D</v>
      </c>
      <c r="E17" s="10" t="str">
        <f aca="false">_xlfn.UNICHAR(C17)</f>
        <v></v>
      </c>
      <c r="F17" s="7" t="n">
        <f aca="false">C17-C16</f>
        <v>1</v>
      </c>
    </row>
    <row r="18" customFormat="false" ht="15" hidden="false" customHeight="false" outlineLevel="0" collapsed="false">
      <c r="A18" s="7" t="s">
        <v>33</v>
      </c>
      <c r="B18" s="8" t="inlineStr">
        <is>
          <t>100011</t>
        </is>
      </c>
      <c r="C18" s="7" t="n">
        <f aca="false">HEX2DEC(B18)</f>
        <v>1048593</v>
      </c>
      <c r="D18" s="9" t="str">
        <f aca="false">DEC2HEX(C18,8)</f>
        <v>00100011</v>
      </c>
      <c r="E18" s="10" t="str">
        <f aca="false">_xlfn.UNICHAR(C18)</f>
        <v></v>
      </c>
      <c r="F18" s="7" t="n">
        <f aca="false">C18-C17</f>
        <v>4</v>
      </c>
    </row>
    <row r="19" customFormat="false" ht="15" hidden="false" customHeight="false" outlineLevel="0" collapsed="false">
      <c r="A19" s="7" t="s">
        <v>35</v>
      </c>
      <c r="B19" s="8" t="inlineStr">
        <is>
          <t>100012</t>
        </is>
      </c>
      <c r="C19" s="7" t="n">
        <f aca="false">HEX2DEC(B19)</f>
        <v>1048594</v>
      </c>
      <c r="D19" s="9" t="str">
        <f aca="false">DEC2HEX(C19,8)</f>
        <v>00100012</v>
      </c>
      <c r="E19" s="10" t="str">
        <f aca="false">_xlfn.UNICHAR(C19)</f>
        <v></v>
      </c>
      <c r="F19" s="7" t="n">
        <f aca="false">C19-C18</f>
        <v>1</v>
      </c>
    </row>
    <row r="20" customFormat="false" ht="15" hidden="false" customHeight="false" outlineLevel="0" collapsed="false">
      <c r="A20" s="7" t="s">
        <v>37</v>
      </c>
      <c r="B20" s="8" t="inlineStr">
        <is>
          <t>100013</t>
        </is>
      </c>
      <c r="C20" s="7" t="n">
        <f aca="false">HEX2DEC(B20)</f>
        <v>1048595</v>
      </c>
      <c r="D20" s="9" t="str">
        <f aca="false">DEC2HEX(C20,8)</f>
        <v>00100013</v>
      </c>
      <c r="E20" s="10" t="str">
        <f aca="false">_xlfn.UNICHAR(C20)</f>
        <v></v>
      </c>
      <c r="F20" s="7" t="n">
        <f aca="false">C20-C19</f>
        <v>1</v>
      </c>
    </row>
    <row r="21" customFormat="false" ht="15" hidden="false" customHeight="false" outlineLevel="0" collapsed="false">
      <c r="A21" s="7" t="s">
        <v>39</v>
      </c>
      <c r="B21" s="8" t="inlineStr">
        <is>
          <t>100014</t>
        </is>
      </c>
      <c r="C21" s="7" t="n">
        <f aca="false">HEX2DEC(B21)</f>
        <v>1048596</v>
      </c>
      <c r="D21" s="9" t="str">
        <f aca="false">DEC2HEX(C21,8)</f>
        <v>00100014</v>
      </c>
      <c r="E21" s="10" t="str">
        <f aca="false">_xlfn.UNICHAR(C21)</f>
        <v></v>
      </c>
      <c r="F21" s="7" t="n">
        <f aca="false">C21-C20</f>
        <v>1</v>
      </c>
    </row>
    <row r="22" customFormat="false" ht="15" hidden="false" customHeight="false" outlineLevel="0" collapsed="false">
      <c r="A22" s="7" t="s">
        <v>41</v>
      </c>
      <c r="B22" s="8" t="inlineStr">
        <is>
          <t>100015</t>
        </is>
      </c>
      <c r="C22" s="7" t="n">
        <f aca="false">HEX2DEC(B22)</f>
        <v>1048597</v>
      </c>
      <c r="D22" s="9" t="str">
        <f aca="false">DEC2HEX(C22,8)</f>
        <v>00100015</v>
      </c>
      <c r="E22" s="10" t="str">
        <f aca="false">_xlfn.UNICHAR(C22)</f>
        <v></v>
      </c>
      <c r="F22" s="7" t="n">
        <f aca="false">C22-C21</f>
        <v>1</v>
      </c>
    </row>
    <row r="23" customFormat="false" ht="15" hidden="false" customHeight="false" outlineLevel="0" collapsed="false">
      <c r="A23" s="7" t="s">
        <v>42</v>
      </c>
      <c r="B23" s="8" t="inlineStr">
        <is>
          <t>100016</t>
        </is>
      </c>
      <c r="C23" s="7" t="n">
        <f aca="false">HEX2DEC(B23)</f>
        <v>1048598</v>
      </c>
      <c r="D23" s="9" t="str">
        <f aca="false">DEC2HEX(C23,8)</f>
        <v>00100016</v>
      </c>
      <c r="E23" s="10" t="str">
        <f aca="false">_xlfn.UNICHAR(C23)</f>
        <v></v>
      </c>
      <c r="F23" s="7" t="n">
        <f aca="false">C23-C22</f>
        <v>1</v>
      </c>
    </row>
    <row r="24" customFormat="false" ht="15" hidden="false" customHeight="false" outlineLevel="0" collapsed="false">
      <c r="A24" s="7" t="s">
        <v>43</v>
      </c>
      <c r="B24" s="8" t="inlineStr">
        <is>
          <t>100017</t>
        </is>
      </c>
      <c r="C24" s="7" t="n">
        <f aca="false">HEX2DEC(B24)</f>
        <v>1048599</v>
      </c>
      <c r="D24" s="9" t="str">
        <f aca="false">DEC2HEX(C24,8)</f>
        <v>00100017</v>
      </c>
      <c r="E24" s="10" t="str">
        <f aca="false">_xlfn.UNICHAR(C24)</f>
        <v></v>
      </c>
      <c r="F24" s="7" t="n">
        <f aca="false">C24-C23</f>
        <v>1</v>
      </c>
    </row>
    <row r="25" customFormat="false" ht="15" hidden="false" customHeight="false" outlineLevel="0" collapsed="false">
      <c r="A25" s="7" t="inlineStr">
        <is>
          <t>ICON_OS_WINDOWS</t>
        </is>
      </c>
      <c r="B25" s="8" t="inlineStr">
        <is>
          <t>100019</t>
        </is>
      </c>
      <c r="C25" s="7" t="n">
        <f aca="false">HEX2DEC(B25)</f>
        <v>1048601</v>
      </c>
      <c r="D25" s="9" t="str">
        <f aca="false">DEC2HEX(C25,8)</f>
        <v>00100019</v>
      </c>
      <c r="E25" s="10" t="str">
        <f aca="false">_xlfn.UNICHAR(C25)</f>
        <v/>
      </c>
      <c r="F25" s="7" t="n">
        <f aca="false">C25-C24</f>
        <v>2</v>
      </c>
    </row>
    <row r="26" customFormat="false" ht="15" hidden="false" customHeight="false" outlineLevel="0" collapsed="false">
      <c r="A26" s="7" t="inlineStr">
        <is>
          <t>ICON_OS_LINUX</t>
        </is>
      </c>
      <c r="B26" s="8" t="inlineStr">
        <is>
          <t>10001A</t>
        </is>
      </c>
      <c r="C26" s="7" t="n">
        <f aca="false">HEX2DEC(B26)</f>
        <v>1048602</v>
      </c>
      <c r="D26" s="9" t="str">
        <f aca="false">DEC2HEX(C26,8)</f>
        <v>0010001A</v>
      </c>
      <c r="E26" s="10" t="str">
        <f aca="false">_xlfn.UNICHAR(C26)</f>
        <v/>
      </c>
      <c r="F26" s="7" t="n">
        <f aca="false">C26-C25</f>
        <v>1</v>
      </c>
    </row>
    <row r="27" customFormat="false" ht="15" hidden="false" customHeight="false" outlineLevel="0" collapsed="false">
      <c r="A27" s="7" t="inlineStr">
        <is>
          <t>ICON_OS_ANDROID</t>
        </is>
      </c>
      <c r="B27" s="8" t="inlineStr">
        <is>
          <t>10001B</t>
        </is>
      </c>
      <c r="C27" s="7" t="n">
        <f aca="false">HEX2DEC(B27)</f>
        <v>1048603</v>
      </c>
      <c r="D27" s="9" t="str">
        <f aca="false">DEC2HEX(C27,8)</f>
        <v>0010001B</v>
      </c>
      <c r="E27" s="10" t="str">
        <f aca="false">_xlfn.UNICHAR(C27)</f>
        <v/>
      </c>
      <c r="F27" s="7" t="n">
        <f aca="false">C27-C26</f>
        <v>1</v>
      </c>
    </row>
    <row r="28" customFormat="false" ht="15" hidden="false" customHeight="false" outlineLevel="0" collapsed="false">
      <c r="A28" s="7" t="inlineStr">
        <is>
          <t>ICON_MAC_CONTROL</t>
        </is>
      </c>
      <c r="B28" s="8" t="inlineStr">
        <is>
          <t>10001C</t>
        </is>
      </c>
      <c r="C28" s="7" t="n">
        <f aca="false">HEX2DEC(B28)</f>
        <v>1048604</v>
      </c>
      <c r="D28" s="9" t="str">
        <f aca="false">DEC2HEX(C28,8)</f>
        <v>0010001C</v>
      </c>
      <c r="E28" s="10" t="str">
        <f aca="false">_xlfn.UNICHAR(C28)</f>
        <v/>
      </c>
      <c r="F28" s="7" t="n">
        <f aca="false">C28-C27</f>
        <v>1</v>
      </c>
    </row>
    <row r="29" customFormat="false" ht="15" hidden="false" customHeight="false" outlineLevel="0" collapsed="false">
      <c r="A29" s="7" t="s">
        <v>45</v>
      </c>
      <c r="B29" s="8" t="s">
        <v>46</v>
      </c>
      <c r="C29" s="7" t="n">
        <f aca="false">HEX2DEC(B29)</f>
        <v>161</v>
      </c>
      <c r="D29" s="9" t="str">
        <f aca="false">DEC2HEX(C29,8)</f>
        <v>000000A1</v>
      </c>
      <c r="E29" s="10" t="str">
        <f aca="false">_xlfn.UNICHAR(C29)</f>
        <v>¡</v>
      </c>
      <c r="F29" s="7" t="n">
        <f aca="false">C29-C28</f>
        <v>-1048443</v>
      </c>
    </row>
    <row r="30" customFormat="false" ht="15" hidden="false" customHeight="false" outlineLevel="0" collapsed="false">
      <c r="A30" s="7" t="s">
        <v>47</v>
      </c>
      <c r="B30" s="8" t="s">
        <v>48</v>
      </c>
      <c r="C30" s="7" t="n">
        <f aca="false">HEX2DEC(B30)</f>
        <v>162</v>
      </c>
      <c r="D30" s="9" t="str">
        <f aca="false">DEC2HEX(C30,8)</f>
        <v>000000A2</v>
      </c>
      <c r="E30" s="10" t="str">
        <f aca="false">_xlfn.UNICHAR(C30)</f>
        <v>¢</v>
      </c>
      <c r="F30" s="7" t="n">
        <f aca="false">C30-C29</f>
        <v>1</v>
      </c>
    </row>
    <row r="31" customFormat="false" ht="15" hidden="false" customHeight="false" outlineLevel="0" collapsed="false">
      <c r="A31" s="7" t="s">
        <v>49</v>
      </c>
      <c r="B31" s="8" t="s">
        <v>50</v>
      </c>
      <c r="C31" s="7" t="n">
        <f aca="false">HEX2DEC(B31)</f>
        <v>163</v>
      </c>
      <c r="D31" s="9" t="str">
        <f aca="false">DEC2HEX(C31,8)</f>
        <v>000000A3</v>
      </c>
      <c r="E31" s="10" t="str">
        <f aca="false">_xlfn.UNICHAR(C31)</f>
        <v>£</v>
      </c>
      <c r="F31" s="7" t="n">
        <f aca="false">C31-C30</f>
        <v>1</v>
      </c>
    </row>
    <row r="32" customFormat="false" ht="15" hidden="false" customHeight="false" outlineLevel="0" collapsed="false">
      <c r="A32" s="7" t="s">
        <v>51</v>
      </c>
      <c r="B32" s="8" t="s">
        <v>52</v>
      </c>
      <c r="C32" s="7" t="n">
        <f aca="false">HEX2DEC(B32)</f>
        <v>164</v>
      </c>
      <c r="D32" s="9" t="str">
        <f aca="false">DEC2HEX(C32,8)</f>
        <v>000000A4</v>
      </c>
      <c r="E32" s="10" t="str">
        <f aca="false">_xlfn.UNICHAR(C32)</f>
        <v>¤</v>
      </c>
      <c r="F32" s="7" t="n">
        <f aca="false">C32-C31</f>
        <v>1</v>
      </c>
    </row>
    <row r="33" customFormat="false" ht="15" hidden="false" customHeight="false" outlineLevel="0" collapsed="false">
      <c r="A33" s="7" t="s">
        <v>53</v>
      </c>
      <c r="B33" s="8" t="s">
        <v>54</v>
      </c>
      <c r="C33" s="7" t="n">
        <f aca="false">HEX2DEC(B33)</f>
        <v>165</v>
      </c>
      <c r="D33" s="9" t="str">
        <f aca="false">DEC2HEX(C33,8)</f>
        <v>000000A5</v>
      </c>
      <c r="E33" s="10" t="str">
        <f aca="false">_xlfn.UNICHAR(C33)</f>
        <v>¥</v>
      </c>
      <c r="F33" s="7" t="n">
        <f aca="false">C33-C32</f>
        <v>1</v>
      </c>
    </row>
    <row r="34" customFormat="false" ht="15" hidden="false" customHeight="false" outlineLevel="0" collapsed="false">
      <c r="A34" s="7" t="s">
        <v>55</v>
      </c>
      <c r="B34" s="8" t="s">
        <v>56</v>
      </c>
      <c r="C34" s="7" t="n">
        <f aca="false">HEX2DEC(B34)</f>
        <v>166</v>
      </c>
      <c r="D34" s="9" t="str">
        <f aca="false">DEC2HEX(C34,8)</f>
        <v>000000A6</v>
      </c>
      <c r="E34" s="10" t="str">
        <f aca="false">_xlfn.UNICHAR(C34)</f>
        <v>¦</v>
      </c>
      <c r="F34" s="7" t="n">
        <f aca="false">C34-C33</f>
        <v>1</v>
      </c>
    </row>
    <row r="35" customFormat="false" ht="15" hidden="false" customHeight="false" outlineLevel="0" collapsed="false">
      <c r="A35" s="7" t="s">
        <v>57</v>
      </c>
      <c r="B35" s="8" t="s">
        <v>58</v>
      </c>
      <c r="C35" s="7" t="n">
        <f aca="false">HEX2DEC(B35)</f>
        <v>167</v>
      </c>
      <c r="D35" s="9" t="str">
        <f aca="false">DEC2HEX(C35,8)</f>
        <v>000000A7</v>
      </c>
      <c r="E35" s="10" t="str">
        <f aca="false">_xlfn.UNICHAR(C35)</f>
        <v>§</v>
      </c>
      <c r="F35" s="7" t="n">
        <f aca="false">C35-C34</f>
        <v>1</v>
      </c>
    </row>
    <row r="36" customFormat="false" ht="15" hidden="false" customHeight="false" outlineLevel="0" collapsed="false">
      <c r="A36" s="7" t="s">
        <v>59</v>
      </c>
      <c r="B36" s="8" t="s">
        <v>60</v>
      </c>
      <c r="C36" s="7" t="n">
        <f aca="false">HEX2DEC(B36)</f>
        <v>168</v>
      </c>
      <c r="D36" s="9" t="str">
        <f aca="false">DEC2HEX(C36,8)</f>
        <v>000000A8</v>
      </c>
      <c r="E36" s="10" t="str">
        <f aca="false">_xlfn.UNICHAR(C36)</f>
        <v>¨</v>
      </c>
      <c r="F36" s="7" t="n">
        <f aca="false">C36-C35</f>
        <v>1</v>
      </c>
    </row>
    <row r="37" customFormat="false" ht="15" hidden="false" customHeight="false" outlineLevel="0" collapsed="false">
      <c r="A37" s="7" t="s">
        <v>61</v>
      </c>
      <c r="B37" s="11" t="s">
        <v>60</v>
      </c>
      <c r="C37" s="7" t="n">
        <f aca="false">HEX2DEC(B37)</f>
        <v>168</v>
      </c>
      <c r="D37" s="9" t="str">
        <f aca="false">DEC2HEX(C37,8)</f>
        <v>000000A8</v>
      </c>
      <c r="E37" s="10" t="str">
        <f aca="false">_xlfn.UNICHAR(C37)</f>
        <v>¨</v>
      </c>
      <c r="F37" s="7" t="n">
        <f aca="false">C37-C36</f>
        <v>0</v>
      </c>
    </row>
    <row r="38" customFormat="false" ht="15" hidden="false" customHeight="false" outlineLevel="0" collapsed="false">
      <c r="A38" s="7" t="s">
        <v>62</v>
      </c>
      <c r="B38" s="8" t="s">
        <v>63</v>
      </c>
      <c r="C38" s="7" t="n">
        <f aca="false">HEX2DEC(B38)</f>
        <v>169</v>
      </c>
      <c r="D38" s="9" t="str">
        <f aca="false">DEC2HEX(C38,8)</f>
        <v>000000A9</v>
      </c>
      <c r="E38" s="10" t="str">
        <f aca="false">_xlfn.UNICHAR(C38)</f>
        <v>©</v>
      </c>
      <c r="F38" s="7" t="n">
        <f aca="false">C38-C37</f>
        <v>1</v>
      </c>
    </row>
    <row r="39" customFormat="false" ht="15" hidden="false" customHeight="false" outlineLevel="0" collapsed="false">
      <c r="A39" s="7" t="s">
        <v>64</v>
      </c>
      <c r="B39" s="8" t="s">
        <v>65</v>
      </c>
      <c r="C39" s="7" t="n">
        <f aca="false">HEX2DEC(B39)</f>
        <v>170</v>
      </c>
      <c r="D39" s="9" t="str">
        <f aca="false">DEC2HEX(C39,8)</f>
        <v>000000AA</v>
      </c>
      <c r="E39" s="10" t="str">
        <f aca="false">_xlfn.UNICHAR(C39)</f>
        <v>ª</v>
      </c>
      <c r="F39" s="7" t="n">
        <f aca="false">C39-C38</f>
        <v>1</v>
      </c>
    </row>
    <row r="40" customFormat="false" ht="15" hidden="false" customHeight="false" outlineLevel="0" collapsed="false">
      <c r="A40" s="7" t="s">
        <v>66</v>
      </c>
      <c r="B40" s="8" t="s">
        <v>67</v>
      </c>
      <c r="C40" s="7" t="n">
        <f aca="false">HEX2DEC(B40)</f>
        <v>171</v>
      </c>
      <c r="D40" s="9" t="str">
        <f aca="false">DEC2HEX(C40,8)</f>
        <v>000000AB</v>
      </c>
      <c r="E40" s="10" t="str">
        <f aca="false">_xlfn.UNICHAR(C40)</f>
        <v>«</v>
      </c>
      <c r="F40" s="7" t="n">
        <f aca="false">C40-C39</f>
        <v>1</v>
      </c>
    </row>
    <row r="41" customFormat="false" ht="15" hidden="false" customHeight="false" outlineLevel="0" collapsed="false">
      <c r="A41" s="7" t="s">
        <v>68</v>
      </c>
      <c r="B41" s="8" t="s">
        <v>69</v>
      </c>
      <c r="C41" s="7" t="n">
        <f aca="false">HEX2DEC(B41)</f>
        <v>172</v>
      </c>
      <c r="D41" s="9" t="str">
        <f aca="false">DEC2HEX(C41,8)</f>
        <v>000000AC</v>
      </c>
      <c r="E41" s="10" t="str">
        <f aca="false">_xlfn.UNICHAR(C41)</f>
        <v>¬</v>
      </c>
      <c r="F41" s="7" t="n">
        <f aca="false">C41-C40</f>
        <v>1</v>
      </c>
    </row>
    <row r="42" customFormat="false" ht="15" hidden="false" customHeight="false" outlineLevel="0" collapsed="false">
      <c r="A42" s="7" t="s">
        <v>70</v>
      </c>
      <c r="B42" s="8" t="s">
        <v>71</v>
      </c>
      <c r="C42" s="7" t="n">
        <f aca="false">HEX2DEC(B42)</f>
        <v>174</v>
      </c>
      <c r="D42" s="9" t="str">
        <f aca="false">DEC2HEX(C42,8)</f>
        <v>000000AE</v>
      </c>
      <c r="E42" s="10" t="str">
        <f aca="false">_xlfn.UNICHAR(C42)</f>
        <v>®</v>
      </c>
      <c r="F42" s="7" t="n">
        <f aca="false">C42-C41</f>
        <v>2</v>
      </c>
    </row>
    <row r="43" customFormat="false" ht="15" hidden="false" customHeight="false" outlineLevel="0" collapsed="false">
      <c r="A43" s="7" t="s">
        <v>72</v>
      </c>
      <c r="B43" s="8" t="s">
        <v>73</v>
      </c>
      <c r="C43" s="7" t="n">
        <f aca="false">HEX2DEC(B43)</f>
        <v>176</v>
      </c>
      <c r="D43" s="9" t="str">
        <f aca="false">DEC2HEX(C43,8)</f>
        <v>000000B0</v>
      </c>
      <c r="E43" s="10" t="str">
        <f aca="false">_xlfn.UNICHAR(C43)</f>
        <v>°</v>
      </c>
      <c r="F43" s="7" t="n">
        <f aca="false">C43-C42</f>
        <v>2</v>
      </c>
    </row>
    <row r="44" customFormat="false" ht="15" hidden="false" customHeight="false" outlineLevel="0" collapsed="false">
      <c r="A44" s="7" t="s">
        <v>74</v>
      </c>
      <c r="B44" s="8" t="s">
        <v>75</v>
      </c>
      <c r="C44" s="7" t="n">
        <f aca="false">HEX2DEC(B44)</f>
        <v>177</v>
      </c>
      <c r="D44" s="9" t="str">
        <f aca="false">DEC2HEX(C44,8)</f>
        <v>000000B1</v>
      </c>
      <c r="E44" s="10" t="str">
        <f aca="false">_xlfn.UNICHAR(C44)</f>
        <v>±</v>
      </c>
      <c r="F44" s="7" t="n">
        <f aca="false">C44-C43</f>
        <v>1</v>
      </c>
    </row>
    <row r="45" customFormat="false" ht="15" hidden="false" customHeight="false" outlineLevel="0" collapsed="false">
      <c r="A45" s="7" t="s">
        <v>76</v>
      </c>
      <c r="B45" s="8" t="s">
        <v>77</v>
      </c>
      <c r="C45" s="7" t="n">
        <f aca="false">HEX2DEC(B45)</f>
        <v>178</v>
      </c>
      <c r="D45" s="9" t="str">
        <f aca="false">DEC2HEX(C45,8)</f>
        <v>000000B2</v>
      </c>
      <c r="E45" s="10" t="str">
        <f aca="false">_xlfn.UNICHAR(C45)</f>
        <v>²</v>
      </c>
      <c r="F45" s="7" t="n">
        <f aca="false">C45-C44</f>
        <v>1</v>
      </c>
    </row>
    <row r="46" customFormat="false" ht="15" hidden="false" customHeight="false" outlineLevel="0" collapsed="false">
      <c r="A46" s="7" t="s">
        <v>78</v>
      </c>
      <c r="B46" s="8" t="s">
        <v>79</v>
      </c>
      <c r="C46" s="7" t="n">
        <f aca="false">HEX2DEC(B46)</f>
        <v>179</v>
      </c>
      <c r="D46" s="9" t="str">
        <f aca="false">DEC2HEX(C46,8)</f>
        <v>000000B3</v>
      </c>
      <c r="E46" s="10" t="str">
        <f aca="false">_xlfn.UNICHAR(C46)</f>
        <v>³</v>
      </c>
      <c r="F46" s="7" t="n">
        <f aca="false">C46-C45</f>
        <v>1</v>
      </c>
    </row>
    <row r="47" customFormat="false" ht="15" hidden="false" customHeight="false" outlineLevel="0" collapsed="false">
      <c r="A47" s="7" t="s">
        <v>80</v>
      </c>
      <c r="B47" s="8" t="s">
        <v>81</v>
      </c>
      <c r="C47" s="7" t="n">
        <f aca="false">HEX2DEC(B47)</f>
        <v>180</v>
      </c>
      <c r="D47" s="9" t="str">
        <f aca="false">DEC2HEX(C47,8)</f>
        <v>000000B4</v>
      </c>
      <c r="E47" s="10" t="str">
        <f aca="false">_xlfn.UNICHAR(C47)</f>
        <v>´</v>
      </c>
      <c r="F47" s="7" t="n">
        <f aca="false">C47-C46</f>
        <v>1</v>
      </c>
    </row>
    <row r="48" customFormat="false" ht="15" hidden="false" customHeight="false" outlineLevel="0" collapsed="false">
      <c r="A48" s="7" t="s">
        <v>82</v>
      </c>
      <c r="B48" s="8" t="s">
        <v>83</v>
      </c>
      <c r="C48" s="7" t="n">
        <f aca="false">HEX2DEC(B48)</f>
        <v>181</v>
      </c>
      <c r="D48" s="9" t="str">
        <f aca="false">DEC2HEX(C48,8)</f>
        <v>000000B5</v>
      </c>
      <c r="E48" s="10" t="str">
        <f aca="false">_xlfn.UNICHAR(C48)</f>
        <v>µ</v>
      </c>
      <c r="F48" s="7" t="n">
        <f aca="false">C48-C47</f>
        <v>1</v>
      </c>
    </row>
    <row r="49" customFormat="false" ht="15" hidden="false" customHeight="false" outlineLevel="0" collapsed="false">
      <c r="A49" s="7" t="s">
        <v>84</v>
      </c>
      <c r="B49" s="8" t="s">
        <v>85</v>
      </c>
      <c r="C49" s="7" t="n">
        <f aca="false">HEX2DEC(B49)</f>
        <v>182</v>
      </c>
      <c r="D49" s="9" t="str">
        <f aca="false">DEC2HEX(C49,8)</f>
        <v>000000B6</v>
      </c>
      <c r="E49" s="10" t="str">
        <f aca="false">_xlfn.UNICHAR(C49)</f>
        <v>¶</v>
      </c>
      <c r="F49" s="7" t="n">
        <f aca="false">C49-C48</f>
        <v>1</v>
      </c>
    </row>
    <row r="50" customFormat="false" ht="15" hidden="false" customHeight="false" outlineLevel="0" collapsed="false">
      <c r="A50" s="7" t="s">
        <v>86</v>
      </c>
      <c r="B50" s="8" t="s">
        <v>87</v>
      </c>
      <c r="C50" s="7" t="n">
        <f aca="false">HEX2DEC(B50)</f>
        <v>183</v>
      </c>
      <c r="D50" s="9" t="str">
        <f aca="false">DEC2HEX(C50,8)</f>
        <v>000000B7</v>
      </c>
      <c r="E50" s="10" t="str">
        <f aca="false">_xlfn.UNICHAR(C50)</f>
        <v>·</v>
      </c>
      <c r="F50" s="7" t="n">
        <f aca="false">C50-C49</f>
        <v>1</v>
      </c>
    </row>
    <row r="51" customFormat="false" ht="15" hidden="false" customHeight="false" outlineLevel="0" collapsed="false">
      <c r="A51" s="7" t="s">
        <v>88</v>
      </c>
      <c r="B51" s="8" t="s">
        <v>89</v>
      </c>
      <c r="C51" s="7" t="n">
        <f aca="false">HEX2DEC(B51)</f>
        <v>184</v>
      </c>
      <c r="D51" s="9" t="str">
        <f aca="false">DEC2HEX(C51,8)</f>
        <v>000000B8</v>
      </c>
      <c r="E51" s="10" t="str">
        <f aca="false">_xlfn.UNICHAR(C51)</f>
        <v>¸</v>
      </c>
      <c r="F51" s="7" t="n">
        <f aca="false">C51-C50</f>
        <v>1</v>
      </c>
    </row>
    <row r="52" customFormat="false" ht="15" hidden="false" customHeight="false" outlineLevel="0" collapsed="false">
      <c r="A52" s="7" t="s">
        <v>90</v>
      </c>
      <c r="B52" s="8" t="s">
        <v>91</v>
      </c>
      <c r="C52" s="7" t="n">
        <f aca="false">HEX2DEC(B52)</f>
        <v>185</v>
      </c>
      <c r="D52" s="9" t="str">
        <f aca="false">DEC2HEX(C52,8)</f>
        <v>000000B9</v>
      </c>
      <c r="E52" s="10" t="str">
        <f aca="false">_xlfn.UNICHAR(C52)</f>
        <v>¹</v>
      </c>
      <c r="F52" s="7" t="n">
        <f aca="false">C52-C51</f>
        <v>1</v>
      </c>
    </row>
    <row r="53" customFormat="false" ht="15" hidden="false" customHeight="false" outlineLevel="0" collapsed="false">
      <c r="A53" s="12" t="s">
        <v>92</v>
      </c>
      <c r="B53" s="8" t="s">
        <v>93</v>
      </c>
      <c r="C53" s="7" t="n">
        <f aca="false">HEX2DEC(B53)</f>
        <v>186</v>
      </c>
      <c r="D53" s="9" t="str">
        <f aca="false">DEC2HEX(C53,8)</f>
        <v>000000BA</v>
      </c>
      <c r="E53" s="10" t="str">
        <f aca="false">_xlfn.UNICHAR(C53)</f>
        <v>º</v>
      </c>
      <c r="F53" s="7" t="n">
        <f aca="false">C53-C52</f>
        <v>1</v>
      </c>
    </row>
    <row r="54" customFormat="false" ht="15" hidden="false" customHeight="false" outlineLevel="0" collapsed="false">
      <c r="A54" s="7" t="s">
        <v>94</v>
      </c>
      <c r="B54" s="8" t="s">
        <v>95</v>
      </c>
      <c r="C54" s="7" t="n">
        <f aca="false">HEX2DEC(B54)</f>
        <v>187</v>
      </c>
      <c r="D54" s="9" t="str">
        <f aca="false">DEC2HEX(C54,8)</f>
        <v>000000BB</v>
      </c>
      <c r="E54" s="10" t="str">
        <f aca="false">_xlfn.UNICHAR(C54)</f>
        <v>»</v>
      </c>
      <c r="F54" s="7" t="n">
        <f aca="false">C54-C53</f>
        <v>1</v>
      </c>
    </row>
    <row r="55" customFormat="false" ht="15" hidden="false" customHeight="false" outlineLevel="0" collapsed="false">
      <c r="A55" s="7" t="s">
        <v>96</v>
      </c>
      <c r="B55" s="8" t="s">
        <v>97</v>
      </c>
      <c r="C55" s="7" t="n">
        <f aca="false">HEX2DEC(B55)</f>
        <v>188</v>
      </c>
      <c r="D55" s="9" t="str">
        <f aca="false">DEC2HEX(C55,8)</f>
        <v>000000BC</v>
      </c>
      <c r="E55" s="10" t="str">
        <f aca="false">_xlfn.UNICHAR(C55)</f>
        <v>¼</v>
      </c>
      <c r="F55" s="7" t="n">
        <f aca="false">C55-C54</f>
        <v>1</v>
      </c>
    </row>
    <row r="56" customFormat="false" ht="15" hidden="false" customHeight="false" outlineLevel="0" collapsed="false">
      <c r="A56" s="7" t="s">
        <v>98</v>
      </c>
      <c r="B56" s="8" t="s">
        <v>99</v>
      </c>
      <c r="C56" s="7" t="n">
        <f aca="false">HEX2DEC(B56)</f>
        <v>189</v>
      </c>
      <c r="D56" s="9" t="str">
        <f aca="false">DEC2HEX(C56,8)</f>
        <v>000000BD</v>
      </c>
      <c r="E56" s="10" t="str">
        <f aca="false">_xlfn.UNICHAR(C56)</f>
        <v>½</v>
      </c>
      <c r="F56" s="7" t="n">
        <f aca="false">C56-C55</f>
        <v>1</v>
      </c>
    </row>
    <row r="57" customFormat="false" ht="15" hidden="false" customHeight="false" outlineLevel="0" collapsed="false">
      <c r="A57" s="7" t="s">
        <v>100</v>
      </c>
      <c r="B57" s="8" t="s">
        <v>101</v>
      </c>
      <c r="C57" s="7" t="n">
        <f aca="false">HEX2DEC(B57)</f>
        <v>190</v>
      </c>
      <c r="D57" s="9" t="str">
        <f aca="false">DEC2HEX(C57,8)</f>
        <v>000000BE</v>
      </c>
      <c r="E57" s="10" t="str">
        <f aca="false">_xlfn.UNICHAR(C57)</f>
        <v>¾</v>
      </c>
      <c r="F57" s="7" t="n">
        <f aca="false">C57-C56</f>
        <v>1</v>
      </c>
    </row>
    <row r="58" customFormat="false" ht="15" hidden="false" customHeight="false" outlineLevel="0" collapsed="false">
      <c r="A58" s="7" t="s">
        <v>102</v>
      </c>
      <c r="B58" s="8" t="s">
        <v>103</v>
      </c>
      <c r="C58" s="7" t="n">
        <f aca="false">HEX2DEC(B58)</f>
        <v>191</v>
      </c>
      <c r="D58" s="9" t="str">
        <f aca="false">DEC2HEX(C58,8)</f>
        <v>000000BF</v>
      </c>
      <c r="E58" s="10" t="str">
        <f aca="false">_xlfn.UNICHAR(C58)</f>
        <v>¿</v>
      </c>
      <c r="F58" s="7" t="n">
        <f aca="false">C58-C57</f>
        <v>1</v>
      </c>
    </row>
    <row r="59" customFormat="false" ht="15" hidden="false" customHeight="false" outlineLevel="0" collapsed="false">
      <c r="A59" s="7" t="s">
        <v>104</v>
      </c>
      <c r="B59" s="8" t="s">
        <v>105</v>
      </c>
      <c r="C59" s="7" t="n">
        <f aca="false">HEX2DEC(B59)</f>
        <v>192</v>
      </c>
      <c r="D59" s="9" t="str">
        <f aca="false">DEC2HEX(C59,8)</f>
        <v>000000C0</v>
      </c>
      <c r="E59" s="10" t="str">
        <f aca="false">_xlfn.UNICHAR(C59)</f>
        <v>À</v>
      </c>
      <c r="F59" s="7" t="n">
        <f aca="false">C59-C58</f>
        <v>1</v>
      </c>
    </row>
    <row r="60" customFormat="false" ht="15" hidden="false" customHeight="false" outlineLevel="0" collapsed="false">
      <c r="A60" s="7" t="s">
        <v>104</v>
      </c>
      <c r="B60" s="8" t="s">
        <v>105</v>
      </c>
      <c r="C60" s="7" t="n">
        <f aca="false">HEX2DEC(B60)</f>
        <v>192</v>
      </c>
      <c r="D60" s="9" t="str">
        <f aca="false">DEC2HEX(C60,8)</f>
        <v>000000C0</v>
      </c>
      <c r="E60" s="10" t="str">
        <f aca="false">_xlfn.UNICHAR(C60)</f>
        <v>À</v>
      </c>
      <c r="F60" s="7" t="n">
        <f aca="false">C60-C59</f>
        <v>0</v>
      </c>
    </row>
    <row r="61" customFormat="false" ht="15" hidden="false" customHeight="false" outlineLevel="0" collapsed="false">
      <c r="A61" s="7" t="s">
        <v>106</v>
      </c>
      <c r="B61" s="8" t="s">
        <v>107</v>
      </c>
      <c r="C61" s="7" t="n">
        <f aca="false">HEX2DEC(B61)</f>
        <v>196</v>
      </c>
      <c r="D61" s="9" t="str">
        <f aca="false">DEC2HEX(C61,8)</f>
        <v>000000C4</v>
      </c>
      <c r="E61" s="10" t="str">
        <f aca="false">_xlfn.UNICHAR(C61)</f>
        <v>Ä</v>
      </c>
      <c r="F61" s="7" t="n">
        <f aca="false">C61-C60</f>
        <v>4</v>
      </c>
    </row>
    <row r="62" customFormat="false" ht="15" hidden="false" customHeight="false" outlineLevel="0" collapsed="false">
      <c r="A62" s="7" t="s">
        <v>108</v>
      </c>
      <c r="B62" s="8" t="s">
        <v>109</v>
      </c>
      <c r="C62" s="7" t="n">
        <f aca="false">HEX2DEC(B62)</f>
        <v>199</v>
      </c>
      <c r="D62" s="9" t="str">
        <f aca="false">DEC2HEX(C62,8)</f>
        <v>000000C7</v>
      </c>
      <c r="E62" s="10" t="str">
        <f aca="false">_xlfn.UNICHAR(C62)</f>
        <v>Ç</v>
      </c>
      <c r="F62" s="7" t="n">
        <f aca="false">C62-C61</f>
        <v>3</v>
      </c>
    </row>
    <row r="63" customFormat="false" ht="15" hidden="false" customHeight="false" outlineLevel="0" collapsed="false">
      <c r="A63" s="7" t="s">
        <v>110</v>
      </c>
      <c r="B63" s="8" t="s">
        <v>111</v>
      </c>
      <c r="C63" s="7" t="n">
        <f aca="false">HEX2DEC(B63)</f>
        <v>200</v>
      </c>
      <c r="D63" s="9" t="str">
        <f aca="false">DEC2HEX(C63,8)</f>
        <v>000000C8</v>
      </c>
      <c r="E63" s="10" t="str">
        <f aca="false">_xlfn.UNICHAR(C63)</f>
        <v>È</v>
      </c>
      <c r="F63" s="7" t="n">
        <f aca="false">C63-C62</f>
        <v>1</v>
      </c>
    </row>
    <row r="64" customFormat="false" ht="15" hidden="false" customHeight="false" outlineLevel="0" collapsed="false">
      <c r="A64" s="7" t="s">
        <v>112</v>
      </c>
      <c r="B64" s="8" t="s">
        <v>113</v>
      </c>
      <c r="C64" s="7" t="n">
        <f aca="false">HEX2DEC(B64)</f>
        <v>201</v>
      </c>
      <c r="D64" s="9" t="str">
        <f aca="false">DEC2HEX(C64,8)</f>
        <v>000000C9</v>
      </c>
      <c r="E64" s="10" t="str">
        <f aca="false">_xlfn.UNICHAR(C64)</f>
        <v>É</v>
      </c>
      <c r="F64" s="7" t="n">
        <f aca="false">C64-C63</f>
        <v>1</v>
      </c>
    </row>
    <row r="65" customFormat="false" ht="15" hidden="false" customHeight="false" outlineLevel="0" collapsed="false">
      <c r="A65" s="7" t="s">
        <v>114</v>
      </c>
      <c r="B65" s="8" t="s">
        <v>115</v>
      </c>
      <c r="C65" s="7" t="n">
        <f aca="false">HEX2DEC(B65)</f>
        <v>205</v>
      </c>
      <c r="D65" s="9" t="str">
        <f aca="false">DEC2HEX(C65,8)</f>
        <v>000000CD</v>
      </c>
      <c r="E65" s="10" t="str">
        <f aca="false">_xlfn.UNICHAR(C65)</f>
        <v>Í</v>
      </c>
      <c r="F65" s="7" t="n">
        <f aca="false">C65-C64</f>
        <v>4</v>
      </c>
    </row>
    <row r="66" customFormat="false" ht="15" hidden="false" customHeight="false" outlineLevel="0" collapsed="false">
      <c r="A66" s="7" t="s">
        <v>116</v>
      </c>
      <c r="B66" s="8" t="s">
        <v>115</v>
      </c>
      <c r="C66" s="7" t="n">
        <f aca="false">HEX2DEC(B66)</f>
        <v>205</v>
      </c>
      <c r="D66" s="9" t="str">
        <f aca="false">DEC2HEX(C66,8)</f>
        <v>000000CD</v>
      </c>
      <c r="E66" s="10" t="str">
        <f aca="false">_xlfn.UNICHAR(C66)</f>
        <v>Í</v>
      </c>
      <c r="F66" s="7" t="n">
        <f aca="false">C66-C65</f>
        <v>0</v>
      </c>
    </row>
    <row r="67" customFormat="false" ht="15" hidden="false" customHeight="false" outlineLevel="0" collapsed="false">
      <c r="A67" s="7" t="s">
        <v>117</v>
      </c>
      <c r="B67" s="8" t="s">
        <v>118</v>
      </c>
      <c r="C67" s="7" t="n">
        <f aca="false">HEX2DEC(B67)</f>
        <v>206</v>
      </c>
      <c r="D67" s="9" t="str">
        <f aca="false">DEC2HEX(C67,8)</f>
        <v>000000CE</v>
      </c>
      <c r="E67" s="10" t="str">
        <f aca="false">_xlfn.UNICHAR(C67)</f>
        <v>Î</v>
      </c>
      <c r="F67" s="7" t="n">
        <f aca="false">C67-C66</f>
        <v>1</v>
      </c>
    </row>
    <row r="68" customFormat="false" ht="15" hidden="false" customHeight="false" outlineLevel="0" collapsed="false">
      <c r="A68" s="7" t="s">
        <v>119</v>
      </c>
      <c r="B68" s="8" t="s">
        <v>120</v>
      </c>
      <c r="C68" s="7" t="n">
        <f aca="false">HEX2DEC(B68)</f>
        <v>209</v>
      </c>
      <c r="D68" s="9" t="str">
        <f aca="false">DEC2HEX(C68,8)</f>
        <v>000000D1</v>
      </c>
      <c r="E68" s="10" t="str">
        <f aca="false">_xlfn.UNICHAR(C68)</f>
        <v>Ñ</v>
      </c>
      <c r="F68" s="7" t="n">
        <f aca="false">C68-C67</f>
        <v>3</v>
      </c>
    </row>
    <row r="69" customFormat="false" ht="15" hidden="false" customHeight="false" outlineLevel="0" collapsed="false">
      <c r="A69" s="7" t="s">
        <v>121</v>
      </c>
      <c r="B69" s="8" t="s">
        <v>122</v>
      </c>
      <c r="C69" s="7" t="n">
        <f aca="false">HEX2DEC(B69)</f>
        <v>210</v>
      </c>
      <c r="D69" s="9" t="str">
        <f aca="false">DEC2HEX(C69,8)</f>
        <v>000000D2</v>
      </c>
      <c r="E69" s="10" t="str">
        <f aca="false">_xlfn.UNICHAR(C69)</f>
        <v>Ò</v>
      </c>
      <c r="F69" s="7" t="n">
        <f aca="false">C69-C68</f>
        <v>1</v>
      </c>
    </row>
    <row r="70" customFormat="false" ht="15" hidden="false" customHeight="false" outlineLevel="0" collapsed="false">
      <c r="A70" s="7" t="s">
        <v>123</v>
      </c>
      <c r="B70" s="8" t="s">
        <v>124</v>
      </c>
      <c r="C70" s="7" t="n">
        <f aca="false">HEX2DEC(B70)</f>
        <v>211</v>
      </c>
      <c r="D70" s="9" t="str">
        <f aca="false">DEC2HEX(C70,8)</f>
        <v>000000D3</v>
      </c>
      <c r="E70" s="10" t="str">
        <f aca="false">_xlfn.UNICHAR(C70)</f>
        <v>Ó</v>
      </c>
      <c r="F70" s="7" t="n">
        <f aca="false">C70-C69</f>
        <v>1</v>
      </c>
    </row>
    <row r="71" customFormat="false" ht="15" hidden="false" customHeight="false" outlineLevel="0" collapsed="false">
      <c r="A71" s="7" t="s">
        <v>125</v>
      </c>
      <c r="B71" s="8" t="s">
        <v>126</v>
      </c>
      <c r="C71" s="7" t="n">
        <f aca="false">HEX2DEC(B71)</f>
        <v>214</v>
      </c>
      <c r="D71" s="9" t="str">
        <f aca="false">DEC2HEX(C71,8)</f>
        <v>000000D6</v>
      </c>
      <c r="E71" s="10" t="str">
        <f aca="false">_xlfn.UNICHAR(C71)</f>
        <v>Ö</v>
      </c>
      <c r="F71" s="7" t="n">
        <f aca="false">C71-C70</f>
        <v>3</v>
      </c>
    </row>
    <row r="72" customFormat="false" ht="15" hidden="false" customHeight="false" outlineLevel="0" collapsed="false">
      <c r="A72" s="7" t="s">
        <v>127</v>
      </c>
      <c r="B72" s="8" t="s">
        <v>128</v>
      </c>
      <c r="C72" s="7" t="n">
        <f aca="false">HEX2DEC(B72)</f>
        <v>215</v>
      </c>
      <c r="D72" s="9" t="str">
        <f aca="false">DEC2HEX(C72,8)</f>
        <v>000000D7</v>
      </c>
      <c r="E72" s="10" t="str">
        <f aca="false">_xlfn.UNICHAR(C72)</f>
        <v>×</v>
      </c>
      <c r="F72" s="7" t="n">
        <f aca="false">C72-C71</f>
        <v>1</v>
      </c>
    </row>
    <row r="73" customFormat="false" ht="15" hidden="false" customHeight="false" outlineLevel="0" collapsed="false">
      <c r="A73" s="7" t="s">
        <v>129</v>
      </c>
      <c r="B73" s="8" t="s">
        <v>130</v>
      </c>
      <c r="C73" s="7" t="n">
        <f aca="false">HEX2DEC(B73)</f>
        <v>217</v>
      </c>
      <c r="D73" s="9" t="str">
        <f aca="false">DEC2HEX(C73,8)</f>
        <v>000000D9</v>
      </c>
      <c r="E73" s="10" t="str">
        <f aca="false">_xlfn.UNICHAR(C73)</f>
        <v>Ù</v>
      </c>
      <c r="F73" s="7" t="n">
        <f aca="false">C73-C72</f>
        <v>2</v>
      </c>
    </row>
    <row r="74" customFormat="false" ht="15" hidden="false" customHeight="false" outlineLevel="0" collapsed="false">
      <c r="A74" s="7" t="s">
        <v>129</v>
      </c>
      <c r="B74" s="8" t="s">
        <v>130</v>
      </c>
      <c r="C74" s="7" t="n">
        <f aca="false">HEX2DEC(B74)</f>
        <v>217</v>
      </c>
      <c r="D74" s="9" t="str">
        <f aca="false">DEC2HEX(C74,8)</f>
        <v>000000D9</v>
      </c>
      <c r="E74" s="10" t="str">
        <f aca="false">_xlfn.UNICHAR(C74)</f>
        <v>Ù</v>
      </c>
      <c r="F74" s="7" t="n">
        <f aca="false">C74-C73</f>
        <v>0</v>
      </c>
    </row>
    <row r="75" customFormat="false" ht="15" hidden="false" customHeight="false" outlineLevel="0" collapsed="false">
      <c r="A75" s="7" t="s">
        <v>131</v>
      </c>
      <c r="B75" s="8" t="s">
        <v>132</v>
      </c>
      <c r="C75" s="7" t="n">
        <f aca="false">HEX2DEC(B75)</f>
        <v>218</v>
      </c>
      <c r="D75" s="9" t="str">
        <f aca="false">DEC2HEX(C75,8)</f>
        <v>000000DA</v>
      </c>
      <c r="E75" s="10" t="str">
        <f aca="false">_xlfn.UNICHAR(C75)</f>
        <v>Ú</v>
      </c>
      <c r="F75" s="7" t="n">
        <f aca="false">C75-C74</f>
        <v>1</v>
      </c>
    </row>
    <row r="76" customFormat="false" ht="15" hidden="false" customHeight="false" outlineLevel="0" collapsed="false">
      <c r="A76" s="7" t="s">
        <v>133</v>
      </c>
      <c r="B76" s="8" t="s">
        <v>134</v>
      </c>
      <c r="C76" s="7" t="n">
        <f aca="false">HEX2DEC(B76)</f>
        <v>220</v>
      </c>
      <c r="D76" s="9" t="str">
        <f aca="false">DEC2HEX(C76,8)</f>
        <v>000000DC</v>
      </c>
      <c r="E76" s="10" t="str">
        <f aca="false">_xlfn.UNICHAR(C76)</f>
        <v>Ü</v>
      </c>
      <c r="F76" s="7" t="n">
        <f aca="false">C76-C75</f>
        <v>2</v>
      </c>
    </row>
    <row r="77" customFormat="false" ht="15" hidden="false" customHeight="false" outlineLevel="0" collapsed="false">
      <c r="A77" s="7" t="s">
        <v>135</v>
      </c>
      <c r="B77" s="8" t="s">
        <v>136</v>
      </c>
      <c r="C77" s="7" t="n">
        <f aca="false">HEX2DEC(B77)</f>
        <v>223</v>
      </c>
      <c r="D77" s="9" t="str">
        <f aca="false">DEC2HEX(C77,8)</f>
        <v>000000DF</v>
      </c>
      <c r="E77" s="10" t="str">
        <f aca="false">_xlfn.UNICHAR(C77)</f>
        <v>ß</v>
      </c>
      <c r="F77" s="7" t="n">
        <f aca="false">C77-C76</f>
        <v>3</v>
      </c>
    </row>
    <row r="78" customFormat="false" ht="15" hidden="false" customHeight="false" outlineLevel="0" collapsed="false">
      <c r="A78" s="7" t="s">
        <v>137</v>
      </c>
      <c r="B78" s="8" t="s">
        <v>138</v>
      </c>
      <c r="C78" s="7" t="n">
        <f aca="false">HEX2DEC(B78)</f>
        <v>224</v>
      </c>
      <c r="D78" s="9" t="str">
        <f aca="false">DEC2HEX(C78,8)</f>
        <v>000000E0</v>
      </c>
      <c r="E78" s="10" t="str">
        <f aca="false">_xlfn.UNICHAR(C78)</f>
        <v>à</v>
      </c>
      <c r="F78" s="7" t="n">
        <f aca="false">C78-C77</f>
        <v>1</v>
      </c>
    </row>
    <row r="79" customFormat="false" ht="15" hidden="false" customHeight="false" outlineLevel="0" collapsed="false">
      <c r="A79" s="7" t="s">
        <v>137</v>
      </c>
      <c r="B79" s="8" t="s">
        <v>138</v>
      </c>
      <c r="C79" s="7" t="n">
        <f aca="false">HEX2DEC(B79)</f>
        <v>224</v>
      </c>
      <c r="D79" s="9" t="str">
        <f aca="false">DEC2HEX(C79,8)</f>
        <v>000000E0</v>
      </c>
      <c r="E79" s="10" t="str">
        <f aca="false">_xlfn.UNICHAR(C79)</f>
        <v>à</v>
      </c>
      <c r="F79" s="7" t="n">
        <f aca="false">C79-C78</f>
        <v>0</v>
      </c>
    </row>
    <row r="80" customFormat="false" ht="15" hidden="false" customHeight="false" outlineLevel="0" collapsed="false">
      <c r="A80" s="7" t="s">
        <v>139</v>
      </c>
      <c r="B80" s="8" t="s">
        <v>140</v>
      </c>
      <c r="C80" s="7" t="n">
        <f aca="false">HEX2DEC(B80)</f>
        <v>228</v>
      </c>
      <c r="D80" s="9" t="str">
        <f aca="false">DEC2HEX(C80,8)</f>
        <v>000000E4</v>
      </c>
      <c r="E80" s="10" t="str">
        <f aca="false">_xlfn.UNICHAR(C80)</f>
        <v>ä</v>
      </c>
      <c r="F80" s="7" t="n">
        <f aca="false">C80-C79</f>
        <v>4</v>
      </c>
    </row>
    <row r="81" customFormat="false" ht="15" hidden="false" customHeight="false" outlineLevel="0" collapsed="false">
      <c r="A81" s="7" t="s">
        <v>141</v>
      </c>
      <c r="B81" s="8" t="s">
        <v>142</v>
      </c>
      <c r="C81" s="7" t="n">
        <f aca="false">HEX2DEC(B81)</f>
        <v>230</v>
      </c>
      <c r="D81" s="9" t="str">
        <f aca="false">DEC2HEX(C81,8)</f>
        <v>000000E6</v>
      </c>
      <c r="E81" s="10" t="str">
        <f aca="false">_xlfn.UNICHAR(C81)</f>
        <v>æ</v>
      </c>
      <c r="F81" s="7" t="n">
        <f aca="false">C81-C80</f>
        <v>2</v>
      </c>
    </row>
    <row r="82" customFormat="false" ht="15" hidden="false" customHeight="false" outlineLevel="0" collapsed="false">
      <c r="A82" s="7" t="s">
        <v>143</v>
      </c>
      <c r="B82" s="8" t="s">
        <v>144</v>
      </c>
      <c r="C82" s="7" t="n">
        <f aca="false">HEX2DEC(B82)</f>
        <v>231</v>
      </c>
      <c r="D82" s="9" t="str">
        <f aca="false">DEC2HEX(C82,8)</f>
        <v>000000E7</v>
      </c>
      <c r="E82" s="10" t="str">
        <f aca="false">_xlfn.UNICHAR(C82)</f>
        <v>ç</v>
      </c>
      <c r="F82" s="7" t="n">
        <f aca="false">C82-C81</f>
        <v>1</v>
      </c>
    </row>
    <row r="83" customFormat="false" ht="15" hidden="false" customHeight="false" outlineLevel="0" collapsed="false">
      <c r="A83" s="7" t="s">
        <v>145</v>
      </c>
      <c r="B83" s="8" t="s">
        <v>146</v>
      </c>
      <c r="C83" s="7" t="n">
        <f aca="false">HEX2DEC(B83)</f>
        <v>232</v>
      </c>
      <c r="D83" s="9" t="str">
        <f aca="false">DEC2HEX(C83,8)</f>
        <v>000000E8</v>
      </c>
      <c r="E83" s="10" t="str">
        <f aca="false">_xlfn.UNICHAR(C83)</f>
        <v>è</v>
      </c>
      <c r="F83" s="7" t="n">
        <f aca="false">C83-C82</f>
        <v>1</v>
      </c>
    </row>
    <row r="84" customFormat="false" ht="15" hidden="false" customHeight="false" outlineLevel="0" collapsed="false">
      <c r="A84" s="7" t="s">
        <v>147</v>
      </c>
      <c r="B84" s="8" t="s">
        <v>148</v>
      </c>
      <c r="C84" s="7" t="n">
        <f aca="false">HEX2DEC(B84)</f>
        <v>233</v>
      </c>
      <c r="D84" s="9" t="str">
        <f aca="false">DEC2HEX(C84,8)</f>
        <v>000000E9</v>
      </c>
      <c r="E84" s="10" t="str">
        <f aca="false">_xlfn.UNICHAR(C84)</f>
        <v>é</v>
      </c>
      <c r="F84" s="7" t="n">
        <f aca="false">C84-C83</f>
        <v>1</v>
      </c>
    </row>
    <row r="85" customFormat="false" ht="15" hidden="false" customHeight="false" outlineLevel="0" collapsed="false">
      <c r="A85" s="7" t="s">
        <v>149</v>
      </c>
      <c r="B85" s="8" t="s">
        <v>150</v>
      </c>
      <c r="C85" s="7" t="n">
        <f aca="false">HEX2DEC(B85)</f>
        <v>236</v>
      </c>
      <c r="D85" s="9" t="str">
        <f aca="false">DEC2HEX(C85,8)</f>
        <v>000000EC</v>
      </c>
      <c r="E85" s="10" t="str">
        <f aca="false">_xlfn.UNICHAR(C85)</f>
        <v>ì</v>
      </c>
      <c r="F85" s="7" t="n">
        <f aca="false">C85-C84</f>
        <v>3</v>
      </c>
    </row>
    <row r="86" customFormat="false" ht="15" hidden="false" customHeight="false" outlineLevel="0" collapsed="false">
      <c r="A86" s="7" t="s">
        <v>151</v>
      </c>
      <c r="B86" s="8" t="s">
        <v>152</v>
      </c>
      <c r="C86" s="7" t="n">
        <f aca="false">HEX2DEC(B86)</f>
        <v>237</v>
      </c>
      <c r="D86" s="9" t="str">
        <f aca="false">DEC2HEX(C86,8)</f>
        <v>000000ED</v>
      </c>
      <c r="E86" s="10" t="str">
        <f aca="false">_xlfn.UNICHAR(C86)</f>
        <v>í</v>
      </c>
      <c r="F86" s="7" t="n">
        <f aca="false">C86-C85</f>
        <v>1</v>
      </c>
    </row>
    <row r="87" customFormat="false" ht="15" hidden="false" customHeight="false" outlineLevel="0" collapsed="false">
      <c r="A87" s="7" t="s">
        <v>153</v>
      </c>
      <c r="B87" s="8" t="s">
        <v>154</v>
      </c>
      <c r="C87" s="7" t="n">
        <f aca="false">HEX2DEC(B87)</f>
        <v>238</v>
      </c>
      <c r="D87" s="9" t="str">
        <f aca="false">DEC2HEX(C87,8)</f>
        <v>000000EE</v>
      </c>
      <c r="E87" s="10" t="str">
        <f aca="false">_xlfn.UNICHAR(C87)</f>
        <v>î</v>
      </c>
      <c r="F87" s="7" t="n">
        <f aca="false">C87-C86</f>
        <v>1</v>
      </c>
    </row>
    <row r="88" customFormat="false" ht="15" hidden="false" customHeight="false" outlineLevel="0" collapsed="false">
      <c r="A88" s="7" t="s">
        <v>155</v>
      </c>
      <c r="B88" s="8" t="s">
        <v>156</v>
      </c>
      <c r="C88" s="7" t="n">
        <f aca="false">HEX2DEC(B88)</f>
        <v>241</v>
      </c>
      <c r="D88" s="9" t="str">
        <f aca="false">DEC2HEX(C88,8)</f>
        <v>000000F1</v>
      </c>
      <c r="E88" s="10" t="str">
        <f aca="false">_xlfn.UNICHAR(C88)</f>
        <v>ñ</v>
      </c>
      <c r="F88" s="7" t="n">
        <f aca="false">C88-C87</f>
        <v>3</v>
      </c>
    </row>
    <row r="89" customFormat="false" ht="15" hidden="false" customHeight="false" outlineLevel="0" collapsed="false">
      <c r="A89" s="7" t="s">
        <v>157</v>
      </c>
      <c r="B89" s="8" t="s">
        <v>158</v>
      </c>
      <c r="C89" s="7" t="n">
        <f aca="false">HEX2DEC(B89)</f>
        <v>242</v>
      </c>
      <c r="D89" s="9" t="str">
        <f aca="false">DEC2HEX(C89,8)</f>
        <v>000000F2</v>
      </c>
      <c r="E89" s="10" t="str">
        <f aca="false">_xlfn.UNICHAR(C89)</f>
        <v>ò</v>
      </c>
      <c r="F89" s="7" t="n">
        <f aca="false">C89-C88</f>
        <v>1</v>
      </c>
    </row>
    <row r="90" customFormat="false" ht="15" hidden="false" customHeight="false" outlineLevel="0" collapsed="false">
      <c r="A90" s="7" t="s">
        <v>159</v>
      </c>
      <c r="B90" s="8" t="s">
        <v>160</v>
      </c>
      <c r="C90" s="7" t="n">
        <f aca="false">HEX2DEC(B90)</f>
        <v>243</v>
      </c>
      <c r="D90" s="9" t="str">
        <f aca="false">DEC2HEX(C90,8)</f>
        <v>000000F3</v>
      </c>
      <c r="E90" s="10" t="str">
        <f aca="false">_xlfn.UNICHAR(C90)</f>
        <v>ó</v>
      </c>
      <c r="F90" s="7" t="n">
        <f aca="false">C90-C89</f>
        <v>1</v>
      </c>
    </row>
    <row r="91" customFormat="false" ht="15" hidden="false" customHeight="false" outlineLevel="0" collapsed="false">
      <c r="A91" s="7" t="s">
        <v>161</v>
      </c>
      <c r="B91" s="8" t="s">
        <v>162</v>
      </c>
      <c r="C91" s="7" t="n">
        <f aca="false">HEX2DEC(B91)</f>
        <v>246</v>
      </c>
      <c r="D91" s="9" t="str">
        <f aca="false">DEC2HEX(C91,8)</f>
        <v>000000F6</v>
      </c>
      <c r="E91" s="10" t="str">
        <f aca="false">_xlfn.UNICHAR(C91)</f>
        <v>ö</v>
      </c>
      <c r="F91" s="7" t="n">
        <f aca="false">C91-C90</f>
        <v>3</v>
      </c>
    </row>
    <row r="92" customFormat="false" ht="15" hidden="false" customHeight="false" outlineLevel="0" collapsed="false">
      <c r="A92" s="7" t="s">
        <v>163</v>
      </c>
      <c r="B92" s="8" t="s">
        <v>164</v>
      </c>
      <c r="C92" s="7" t="n">
        <f aca="false">HEX2DEC(B92)</f>
        <v>247</v>
      </c>
      <c r="D92" s="9" t="str">
        <f aca="false">DEC2HEX(C92,8)</f>
        <v>000000F7</v>
      </c>
      <c r="E92" s="10" t="str">
        <f aca="false">_xlfn.UNICHAR(C92)</f>
        <v>÷</v>
      </c>
      <c r="F92" s="7" t="n">
        <f aca="false">C92-C91</f>
        <v>1</v>
      </c>
    </row>
    <row r="93" customFormat="false" ht="15" hidden="false" customHeight="false" outlineLevel="0" collapsed="false">
      <c r="A93" s="7" t="s">
        <v>165</v>
      </c>
      <c r="B93" s="8" t="s">
        <v>166</v>
      </c>
      <c r="C93" s="7" t="n">
        <f aca="false">HEX2DEC(B93)</f>
        <v>249</v>
      </c>
      <c r="D93" s="9" t="str">
        <f aca="false">DEC2HEX(C93,8)</f>
        <v>000000F9</v>
      </c>
      <c r="E93" s="10" t="str">
        <f aca="false">_xlfn.UNICHAR(C93)</f>
        <v>ù</v>
      </c>
      <c r="F93" s="7" t="n">
        <f aca="false">C93-C92</f>
        <v>2</v>
      </c>
    </row>
    <row r="94" customFormat="false" ht="15" hidden="false" customHeight="false" outlineLevel="0" collapsed="false">
      <c r="A94" s="7" t="s">
        <v>165</v>
      </c>
      <c r="B94" s="8" t="s">
        <v>166</v>
      </c>
      <c r="C94" s="7" t="n">
        <f aca="false">HEX2DEC(B94)</f>
        <v>249</v>
      </c>
      <c r="D94" s="9" t="str">
        <f aca="false">DEC2HEX(C94,8)</f>
        <v>000000F9</v>
      </c>
      <c r="E94" s="10" t="str">
        <f aca="false">_xlfn.UNICHAR(C94)</f>
        <v>ù</v>
      </c>
      <c r="F94" s="7" t="n">
        <f aca="false">C94-C93</f>
        <v>0</v>
      </c>
    </row>
    <row r="95" customFormat="false" ht="15" hidden="false" customHeight="false" outlineLevel="0" collapsed="false">
      <c r="A95" s="7" t="s">
        <v>167</v>
      </c>
      <c r="B95" s="8" t="s">
        <v>168</v>
      </c>
      <c r="C95" s="7" t="n">
        <f aca="false">HEX2DEC(B95)</f>
        <v>250</v>
      </c>
      <c r="D95" s="9" t="str">
        <f aca="false">DEC2HEX(C95,8)</f>
        <v>000000FA</v>
      </c>
      <c r="E95" s="10" t="str">
        <f aca="false">_xlfn.UNICHAR(C95)</f>
        <v>ú</v>
      </c>
      <c r="F95" s="7" t="n">
        <f aca="false">C95-C94</f>
        <v>1</v>
      </c>
    </row>
    <row r="96" customFormat="false" ht="15" hidden="false" customHeight="false" outlineLevel="0" collapsed="false">
      <c r="A96" s="7" t="s">
        <v>169</v>
      </c>
      <c r="B96" s="8" t="s">
        <v>170</v>
      </c>
      <c r="C96" s="7" t="n">
        <f aca="false">HEX2DEC(B96)</f>
        <v>252</v>
      </c>
      <c r="D96" s="9" t="str">
        <f aca="false">DEC2HEX(C96,8)</f>
        <v>000000FC</v>
      </c>
      <c r="E96" s="10" t="str">
        <f aca="false">_xlfn.UNICHAR(C96)</f>
        <v>ü</v>
      </c>
      <c r="F96" s="7" t="n">
        <f aca="false">C96-C95</f>
        <v>2</v>
      </c>
    </row>
    <row r="97" customFormat="false" ht="15" hidden="false" customHeight="false" outlineLevel="0" collapsed="false">
      <c r="A97" s="7" t="s">
        <v>171</v>
      </c>
      <c r="B97" s="8" t="s">
        <v>172</v>
      </c>
      <c r="C97" s="7" t="n">
        <f aca="false">HEX2DEC(B97)</f>
        <v>286</v>
      </c>
      <c r="D97" s="9" t="str">
        <f aca="false">DEC2HEX(C97,8)</f>
        <v>0000011E</v>
      </c>
      <c r="E97" s="10" t="str">
        <f aca="false">_xlfn.UNICHAR(C97)</f>
        <v>Ğ</v>
      </c>
      <c r="F97" s="7" t="n">
        <f aca="false">C97-C96</f>
        <v>34</v>
      </c>
    </row>
    <row r="98" customFormat="false" ht="15" hidden="false" customHeight="false" outlineLevel="0" collapsed="false">
      <c r="A98" s="7" t="s">
        <v>173</v>
      </c>
      <c r="B98" s="8" t="s">
        <v>174</v>
      </c>
      <c r="C98" s="7" t="n">
        <f aca="false">HEX2DEC(B98)</f>
        <v>287</v>
      </c>
      <c r="D98" s="9" t="str">
        <f aca="false">DEC2HEX(C98,8)</f>
        <v>0000011F</v>
      </c>
      <c r="E98" s="10" t="str">
        <f aca="false">_xlfn.UNICHAR(C98)</f>
        <v>ğ</v>
      </c>
      <c r="F98" s="7" t="n">
        <f aca="false">C98-C97</f>
        <v>1</v>
      </c>
    </row>
    <row r="99" customFormat="false" ht="15" hidden="false" customHeight="false" outlineLevel="0" collapsed="false">
      <c r="A99" s="7" t="s">
        <v>175</v>
      </c>
      <c r="B99" s="8" t="s">
        <v>176</v>
      </c>
      <c r="C99" s="7" t="n">
        <f aca="false">HEX2DEC(B99)</f>
        <v>304</v>
      </c>
      <c r="D99" s="9" t="str">
        <f aca="false">DEC2HEX(C99,8)</f>
        <v>00000130</v>
      </c>
      <c r="E99" s="10" t="str">
        <f aca="false">_xlfn.UNICHAR(C99)</f>
        <v>İ</v>
      </c>
      <c r="F99" s="7" t="n">
        <f aca="false">C99-C98</f>
        <v>17</v>
      </c>
    </row>
    <row r="100" customFormat="false" ht="15" hidden="false" customHeight="false" outlineLevel="0" collapsed="false">
      <c r="A100" s="7" t="s">
        <v>177</v>
      </c>
      <c r="B100" s="8" t="s">
        <v>178</v>
      </c>
      <c r="C100" s="7" t="n">
        <f aca="false">HEX2DEC(B100)</f>
        <v>305</v>
      </c>
      <c r="D100" s="9" t="str">
        <f aca="false">DEC2HEX(C100,8)</f>
        <v>00000131</v>
      </c>
      <c r="E100" s="10" t="str">
        <f aca="false">_xlfn.UNICHAR(C100)</f>
        <v>ı</v>
      </c>
      <c r="F100" s="7" t="n">
        <f aca="false">C100-C99</f>
        <v>1</v>
      </c>
    </row>
    <row r="101" customFormat="false" ht="15" hidden="false" customHeight="false" outlineLevel="0" collapsed="false">
      <c r="A101" s="7" t="s">
        <v>179</v>
      </c>
      <c r="B101" s="8" t="s">
        <v>180</v>
      </c>
      <c r="C101" s="7" t="n">
        <f aca="false">HEX2DEC(B101)</f>
        <v>350</v>
      </c>
      <c r="D101" s="9" t="str">
        <f aca="false">DEC2HEX(C101,8)</f>
        <v>0000015E</v>
      </c>
      <c r="E101" s="10" t="str">
        <f aca="false">_xlfn.UNICHAR(C101)</f>
        <v>Ş</v>
      </c>
      <c r="F101" s="7" t="n">
        <f aca="false">C101-C100</f>
        <v>45</v>
      </c>
    </row>
    <row r="102" customFormat="false" ht="15" hidden="false" customHeight="false" outlineLevel="0" collapsed="false">
      <c r="A102" s="7" t="s">
        <v>181</v>
      </c>
      <c r="B102" s="8" t="s">
        <v>182</v>
      </c>
      <c r="C102" s="7" t="n">
        <f aca="false">HEX2DEC(B102)</f>
        <v>351</v>
      </c>
      <c r="D102" s="9" t="str">
        <f aca="false">DEC2HEX(C102,8)</f>
        <v>0000015F</v>
      </c>
      <c r="E102" s="10" t="str">
        <f aca="false">_xlfn.UNICHAR(C102)</f>
        <v>ş</v>
      </c>
      <c r="F102" s="7" t="n">
        <f aca="false">C102-C101</f>
        <v>1</v>
      </c>
    </row>
    <row r="103" customFormat="false" ht="15" hidden="false" customHeight="false" outlineLevel="0" collapsed="false">
      <c r="A103" s="1" t="str">
        <f aca="false">_xlfn.TEXTJOIN( , ,"LATIN_",DEC2HEX(C102,4))</f>
        <v>LATIN_00C0</v>
      </c>
      <c r="B103" s="11" t="str">
        <f aca="false">DEC2HEX(C102)</f>
        <v>C0</v>
      </c>
      <c r="C103" s="1" t="n">
        <v>192</v>
      </c>
      <c r="D103" s="9" t="str">
        <f aca="false">DEC2HEX(C103,8)</f>
        <v>000000C0</v>
      </c>
      <c r="E103" s="10" t="str">
        <f aca="false">_xlfn.UNICHAR(C103)</f>
        <v>À</v>
      </c>
      <c r="F103" s="1" t="n">
        <f aca="false">C103-C102</f>
        <v/>
      </c>
      <c r="G103" s="13" t="s">
        <v>183</v>
      </c>
    </row>
    <row r="104" customFormat="false" ht="15" hidden="false" customHeight="false" outlineLevel="0" collapsed="false">
      <c r="A104" s="1" t="str">
        <f aca="false">_xlfn.TEXTJOIN( , ,"LATIN_",DEC2HEX(C103,4))</f>
        <v>LATIN_00C1</v>
      </c>
      <c r="B104" s="11" t="str">
        <f aca="false">DEC2HEX(C103)</f>
        <v>C1</v>
      </c>
      <c r="C104" s="1" t="n">
        <v>193</v>
      </c>
      <c r="D104" s="9" t="str">
        <f aca="false">DEC2HEX(C104,8)</f>
        <v>000000C1</v>
      </c>
      <c r="E104" s="10" t="str">
        <f aca="false">_xlfn.UNICHAR(C104)</f>
        <v>Á</v>
      </c>
      <c r="F104" s="1" t="n">
        <f aca="false">C104-C103</f>
        <v/>
      </c>
      <c r="G104" s="13"/>
    </row>
    <row r="105" customFormat="false" ht="15" hidden="false" customHeight="false" outlineLevel="0" collapsed="false">
      <c r="A105" s="1" t="str">
        <f aca="false">_xlfn.TEXTJOIN( , ,"LATIN_",DEC2HEX(C104,4))</f>
        <v>LATIN_00C2</v>
      </c>
      <c r="B105" s="11" t="str">
        <f aca="false">DEC2HEX(C104)</f>
        <v>C2</v>
      </c>
      <c r="C105" s="1" t="n">
        <v>194</v>
      </c>
      <c r="D105" s="9" t="str">
        <f aca="false">DEC2HEX(C105,8)</f>
        <v>000000C2</v>
      </c>
      <c r="E105" s="10" t="str">
        <f aca="false">_xlfn.UNICHAR(C105)</f>
        <v>Â</v>
      </c>
      <c r="F105" s="1" t="n">
        <f aca="false">C105-C104</f>
        <v/>
      </c>
      <c r="G105" s="13"/>
    </row>
    <row r="106" customFormat="false" ht="15" hidden="false" customHeight="false" outlineLevel="0" collapsed="false">
      <c r="A106" s="1" t="str">
        <f aca="false">_xlfn.TEXTJOIN( , ,"LATIN_",DEC2HEX(C105,4))</f>
        <v>LATIN_00C3</v>
      </c>
      <c r="B106" s="11" t="str">
        <f aca="false">DEC2HEX(C105)</f>
        <v>C3</v>
      </c>
      <c r="C106" s="1" t="n">
        <v>195</v>
      </c>
      <c r="D106" s="9" t="str">
        <f aca="false">DEC2HEX(C106,8)</f>
        <v>000000C3</v>
      </c>
      <c r="E106" s="10" t="str">
        <f aca="false">_xlfn.UNICHAR(C106)</f>
        <v>Ã</v>
      </c>
      <c r="F106" s="1" t="n">
        <f aca="false">C106-C105</f>
        <v/>
      </c>
      <c r="G106" s="13"/>
    </row>
    <row r="107" customFormat="false" ht="15" hidden="false" customHeight="false" outlineLevel="0" collapsed="false">
      <c r="A107" s="1" t="str">
        <f aca="false">_xlfn.TEXTJOIN( , ,"LATIN_",DEC2HEX(C106,4))</f>
        <v>LATIN_00C4</v>
      </c>
      <c r="B107" s="11" t="str">
        <f aca="false">DEC2HEX(C106)</f>
        <v>C4</v>
      </c>
      <c r="C107" s="1" t="n">
        <v>196</v>
      </c>
      <c r="D107" s="9" t="str">
        <f aca="false">DEC2HEX(C107,8)</f>
        <v>000000C4</v>
      </c>
      <c r="E107" s="10" t="str">
        <f aca="false">_xlfn.UNICHAR(C107)</f>
        <v>Ä</v>
      </c>
      <c r="F107" s="1" t="n">
        <f aca="false">C107-C106</f>
        <v/>
      </c>
      <c r="G107" s="13"/>
    </row>
    <row r="108" customFormat="false" ht="15" hidden="false" customHeight="false" outlineLevel="0" collapsed="false">
      <c r="A108" s="1" t="str">
        <f aca="false">_xlfn.TEXTJOIN( , ,"LATIN_",DEC2HEX(C107,4))</f>
        <v>LATIN_00C5</v>
      </c>
      <c r="B108" s="11" t="str">
        <f aca="false">DEC2HEX(C107)</f>
        <v>C5</v>
      </c>
      <c r="C108" s="1" t="n">
        <v>197</v>
      </c>
      <c r="D108" s="9" t="str">
        <f aca="false">DEC2HEX(C108,8)</f>
        <v>000000C5</v>
      </c>
      <c r="E108" s="10" t="str">
        <f aca="false">_xlfn.UNICHAR(C108)</f>
        <v>Å</v>
      </c>
      <c r="F108" s="1" t="n">
        <f aca="false">C108-C107</f>
        <v/>
      </c>
      <c r="G108" s="13"/>
    </row>
    <row r="109" customFormat="false" ht="15" hidden="false" customHeight="false" outlineLevel="0" collapsed="false">
      <c r="A109" s="1" t="str">
        <f aca="false">_xlfn.TEXTJOIN( , ,"LATIN_",DEC2HEX(C108,4))</f>
        <v>LATIN_00C6</v>
      </c>
      <c r="B109" s="11" t="str">
        <f aca="false">DEC2HEX(C108)</f>
        <v>C6</v>
      </c>
      <c r="C109" s="1" t="n">
        <v>198</v>
      </c>
      <c r="D109" s="9" t="str">
        <f aca="false">DEC2HEX(C109,8)</f>
        <v>000000C6</v>
      </c>
      <c r="E109" s="10" t="str">
        <f aca="false">_xlfn.UNICHAR(C109)</f>
        <v>Æ</v>
      </c>
      <c r="F109" s="1" t="n">
        <f aca="false">C109-C108</f>
        <v/>
      </c>
      <c r="G109" s="13"/>
    </row>
    <row r="110" customFormat="false" ht="15" hidden="false" customHeight="false" outlineLevel="0" collapsed="false">
      <c r="A110" s="1" t="str">
        <f aca="false">_xlfn.TEXTJOIN( , ,"LATIN_",DEC2HEX(C109,4))</f>
        <v>LATIN_00C7</v>
      </c>
      <c r="B110" s="11" t="str">
        <f aca="false">DEC2HEX(C109)</f>
        <v>C7</v>
      </c>
      <c r="C110" s="1" t="n">
        <v>199</v>
      </c>
      <c r="D110" s="9" t="str">
        <f aca="false">DEC2HEX(C110,8)</f>
        <v>000000C7</v>
      </c>
      <c r="E110" s="10" t="str">
        <f aca="false">_xlfn.UNICHAR(C110)</f>
        <v>Ç</v>
      </c>
      <c r="F110" s="1" t="n">
        <f aca="false">C110-C109</f>
        <v/>
      </c>
      <c r="G110" s="13"/>
    </row>
    <row r="111" customFormat="false" ht="15" hidden="false" customHeight="false" outlineLevel="0" collapsed="false">
      <c r="A111" s="1" t="str">
        <f aca="false">_xlfn.TEXTJOIN( , ,"LATIN_",DEC2HEX(C110,4))</f>
        <v>LATIN_00C8</v>
      </c>
      <c r="B111" s="11" t="str">
        <f aca="false">DEC2HEX(C110)</f>
        <v>C8</v>
      </c>
      <c r="C111" s="1" t="n">
        <v>200</v>
      </c>
      <c r="D111" s="9" t="str">
        <f aca="false">DEC2HEX(C111,8)</f>
        <v>000000C8</v>
      </c>
      <c r="E111" s="10" t="str">
        <f aca="false">_xlfn.UNICHAR(C111)</f>
        <v>È</v>
      </c>
      <c r="F111" s="1" t="n">
        <f aca="false">C111-C110</f>
        <v/>
      </c>
      <c r="G111" s="13"/>
    </row>
    <row r="112" customFormat="false" ht="15" hidden="false" customHeight="false" outlineLevel="0" collapsed="false">
      <c r="A112" s="1" t="str">
        <f aca="false">_xlfn.TEXTJOIN( , ,"LATIN_",DEC2HEX(C111,4))</f>
        <v>LATIN_00C9</v>
      </c>
      <c r="B112" s="11" t="str">
        <f aca="false">DEC2HEX(C111)</f>
        <v>C9</v>
      </c>
      <c r="C112" s="1" t="n">
        <v>201</v>
      </c>
      <c r="D112" s="9" t="str">
        <f aca="false">DEC2HEX(C112,8)</f>
        <v>000000C9</v>
      </c>
      <c r="E112" s="10" t="str">
        <f aca="false">_xlfn.UNICHAR(C112)</f>
        <v>É</v>
      </c>
      <c r="F112" s="1" t="n">
        <f aca="false">C112-C111</f>
        <v/>
      </c>
      <c r="G112" s="13"/>
    </row>
    <row r="113" customFormat="false" ht="15" hidden="false" customHeight="false" outlineLevel="0" collapsed="false">
      <c r="A113" s="1" t="str">
        <f aca="false">_xlfn.TEXTJOIN( , ,"LATIN_",DEC2HEX(C112,4))</f>
        <v>LATIN_00CA</v>
      </c>
      <c r="B113" s="11" t="str">
        <f aca="false">DEC2HEX(C112)</f>
        <v>CA</v>
      </c>
      <c r="C113" s="1" t="n">
        <v>202</v>
      </c>
      <c r="D113" s="9" t="str">
        <f aca="false">DEC2HEX(C113,8)</f>
        <v>000000CA</v>
      </c>
      <c r="E113" s="10" t="str">
        <f aca="false">_xlfn.UNICHAR(C113)</f>
        <v>Ê</v>
      </c>
      <c r="F113" s="1" t="n">
        <f aca="false">C113-C112</f>
        <v/>
      </c>
      <c r="G113" s="13"/>
    </row>
    <row r="114" customFormat="false" ht="15" hidden="false" customHeight="false" outlineLevel="0" collapsed="false">
      <c r="A114" s="1" t="str">
        <f aca="false">_xlfn.TEXTJOIN( , ,"LATIN_",DEC2HEX(C113,4))</f>
        <v>LATIN_00CB</v>
      </c>
      <c r="B114" s="11" t="str">
        <f aca="false">DEC2HEX(C113)</f>
        <v>CB</v>
      </c>
      <c r="C114" s="1" t="n">
        <v>203</v>
      </c>
      <c r="D114" s="9" t="str">
        <f aca="false">DEC2HEX(C114,8)</f>
        <v>000000CB</v>
      </c>
      <c r="E114" s="10" t="str">
        <f aca="false">_xlfn.UNICHAR(C114)</f>
        <v>Ë</v>
      </c>
      <c r="F114" s="1" t="n">
        <f aca="false">C114-C113</f>
        <v/>
      </c>
      <c r="G114" s="13"/>
    </row>
    <row r="115" customFormat="false" ht="15" hidden="false" customHeight="false" outlineLevel="0" collapsed="false">
      <c r="A115" s="1" t="str">
        <f aca="false">_xlfn.TEXTJOIN( , ,"LATIN_",DEC2HEX(C114,4))</f>
        <v>LATIN_00CC</v>
      </c>
      <c r="B115" s="11" t="str">
        <f aca="false">DEC2HEX(C114)</f>
        <v>CC</v>
      </c>
      <c r="C115" s="1" t="n">
        <v>204</v>
      </c>
      <c r="D115" s="9" t="str">
        <f aca="false">DEC2HEX(C115,8)</f>
        <v>000000CC</v>
      </c>
      <c r="E115" s="10" t="str">
        <f aca="false">_xlfn.UNICHAR(C115)</f>
        <v>Ì</v>
      </c>
      <c r="F115" s="1" t="n">
        <f aca="false">C115-C114</f>
        <v/>
      </c>
      <c r="G115" s="13"/>
    </row>
    <row r="116" customFormat="false" ht="15" hidden="false" customHeight="false" outlineLevel="0" collapsed="false">
      <c r="A116" s="1" t="str">
        <f aca="false">_xlfn.TEXTJOIN( , ,"LATIN_",DEC2HEX(C115,4))</f>
        <v>LATIN_00CD</v>
      </c>
      <c r="B116" s="11" t="str">
        <f aca="false">DEC2HEX(C115)</f>
        <v>CD</v>
      </c>
      <c r="C116" s="1" t="n">
        <v>205</v>
      </c>
      <c r="D116" s="9" t="str">
        <f aca="false">DEC2HEX(C116,8)</f>
        <v>000000CD</v>
      </c>
      <c r="E116" s="10" t="str">
        <f aca="false">_xlfn.UNICHAR(C116)</f>
        <v>Í</v>
      </c>
      <c r="F116" s="1" t="n">
        <f aca="false">C116-C115</f>
        <v/>
      </c>
      <c r="G116" s="13"/>
    </row>
    <row r="117" customFormat="false" ht="15" hidden="false" customHeight="false" outlineLevel="0" collapsed="false">
      <c r="A117" s="1" t="str">
        <f aca="false">_xlfn.TEXTJOIN( , ,"LATIN_",DEC2HEX(C116,4))</f>
        <v>LATIN_00CE</v>
      </c>
      <c r="B117" s="11" t="str">
        <f aca="false">DEC2HEX(C116)</f>
        <v>CE</v>
      </c>
      <c r="C117" s="1" t="n">
        <v>206</v>
      </c>
      <c r="D117" s="9" t="str">
        <f aca="false">DEC2HEX(C117,8)</f>
        <v>000000CE</v>
      </c>
      <c r="E117" s="10" t="str">
        <f aca="false">_xlfn.UNICHAR(C117)</f>
        <v>Î</v>
      </c>
      <c r="F117" s="1" t="n">
        <f aca="false">C117-C116</f>
        <v/>
      </c>
      <c r="G117" s="13"/>
    </row>
    <row r="118" customFormat="false" ht="15" hidden="false" customHeight="false" outlineLevel="0" collapsed="false">
      <c r="A118" s="1" t="str">
        <f aca="false">_xlfn.TEXTJOIN( , ,"LATIN_",DEC2HEX(C117,4))</f>
        <v>LATIN_00CF</v>
      </c>
      <c r="B118" s="11" t="str">
        <f aca="false">DEC2HEX(C117)</f>
        <v>CF</v>
      </c>
      <c r="C118" s="1" t="n">
        <v>207</v>
      </c>
      <c r="D118" s="9" t="str">
        <f aca="false">DEC2HEX(C118,8)</f>
        <v>000000CF</v>
      </c>
      <c r="E118" s="10" t="str">
        <f aca="false">_xlfn.UNICHAR(C118)</f>
        <v>Ï</v>
      </c>
      <c r="F118" s="1" t="n">
        <f aca="false">C118-C117</f>
        <v/>
      </c>
      <c r="G118" s="13"/>
    </row>
    <row r="119" customFormat="false" ht="15" hidden="false" customHeight="false" outlineLevel="0" collapsed="false">
      <c r="A119" s="1" t="str">
        <f aca="false">_xlfn.TEXTJOIN( , ,"LATIN_",DEC2HEX(C118,4))</f>
        <v>LATIN_00D0</v>
      </c>
      <c r="B119" s="11" t="str">
        <f aca="false">DEC2HEX(C118)</f>
        <v>D0</v>
      </c>
      <c r="C119" s="1" t="n">
        <v>208</v>
      </c>
      <c r="D119" s="9" t="str">
        <f aca="false">DEC2HEX(C119,8)</f>
        <v>000000D0</v>
      </c>
      <c r="E119" s="10" t="str">
        <f aca="false">_xlfn.UNICHAR(C119)</f>
        <v>Ð</v>
      </c>
      <c r="F119" s="1" t="n">
        <f aca="false">C119-C118</f>
        <v/>
      </c>
      <c r="G119" s="13"/>
    </row>
    <row r="120" customFormat="false" ht="15" hidden="false" customHeight="false" outlineLevel="0" collapsed="false">
      <c r="A120" s="1" t="str">
        <f aca="false">_xlfn.TEXTJOIN( , ,"LATIN_",DEC2HEX(C119,4))</f>
        <v>LATIN_00D1</v>
      </c>
      <c r="B120" s="11" t="str">
        <f aca="false">DEC2HEX(C119)</f>
        <v>D1</v>
      </c>
      <c r="C120" s="1" t="n">
        <v>209</v>
      </c>
      <c r="D120" s="9" t="str">
        <f aca="false">DEC2HEX(C120,8)</f>
        <v>000000D1</v>
      </c>
      <c r="E120" s="10" t="str">
        <f aca="false">_xlfn.UNICHAR(C120)</f>
        <v>Ñ</v>
      </c>
      <c r="F120" s="1" t="n">
        <f aca="false">C120-C119</f>
        <v/>
      </c>
      <c r="G120" s="13"/>
    </row>
    <row r="121" customFormat="false" ht="15" hidden="false" customHeight="false" outlineLevel="0" collapsed="false">
      <c r="A121" s="1" t="str">
        <f aca="false">_xlfn.TEXTJOIN( , ,"LATIN_",DEC2HEX(C120,4))</f>
        <v>LATIN_00D2</v>
      </c>
      <c r="B121" s="11" t="str">
        <f aca="false">DEC2HEX(C120)</f>
        <v>D2</v>
      </c>
      <c r="C121" s="1" t="n">
        <v>210</v>
      </c>
      <c r="D121" s="9" t="str">
        <f aca="false">DEC2HEX(C121,8)</f>
        <v>000000D2</v>
      </c>
      <c r="E121" s="10" t="str">
        <f aca="false">_xlfn.UNICHAR(C121)</f>
        <v>Ò</v>
      </c>
      <c r="F121" s="1" t="n">
        <f aca="false">C121-C120</f>
        <v/>
      </c>
      <c r="G121" s="13"/>
    </row>
    <row r="122" customFormat="false" ht="15" hidden="false" customHeight="false" outlineLevel="0" collapsed="false">
      <c r="A122" s="1" t="str">
        <f aca="false">_xlfn.TEXTJOIN( , ,"LATIN_",DEC2HEX(C121,4))</f>
        <v>LATIN_00D3</v>
      </c>
      <c r="B122" s="11" t="str">
        <f aca="false">DEC2HEX(C121)</f>
        <v>D3</v>
      </c>
      <c r="C122" s="1" t="n">
        <v>211</v>
      </c>
      <c r="D122" s="9" t="str">
        <f aca="false">DEC2HEX(C122,8)</f>
        <v>000000D3</v>
      </c>
      <c r="E122" s="10" t="str">
        <f aca="false">_xlfn.UNICHAR(C122)</f>
        <v>Ó</v>
      </c>
      <c r="F122" s="1" t="n">
        <f aca="false">C122-C121</f>
        <v/>
      </c>
      <c r="G122" s="13"/>
    </row>
    <row r="123" customFormat="false" ht="15" hidden="false" customHeight="false" outlineLevel="0" collapsed="false">
      <c r="A123" s="1" t="str">
        <f aca="false">_xlfn.TEXTJOIN( , ,"LATIN_",DEC2HEX(C122,4))</f>
        <v>LATIN_00D4</v>
      </c>
      <c r="B123" s="11" t="str">
        <f aca="false">DEC2HEX(C122)</f>
        <v>D4</v>
      </c>
      <c r="C123" s="1" t="n">
        <v>212</v>
      </c>
      <c r="D123" s="9" t="str">
        <f aca="false">DEC2HEX(C123,8)</f>
        <v>000000D4</v>
      </c>
      <c r="E123" s="10" t="str">
        <f aca="false">_xlfn.UNICHAR(C123)</f>
        <v>Ô</v>
      </c>
      <c r="F123" s="1" t="n">
        <f aca="false">C123-C122</f>
        <v/>
      </c>
      <c r="G123" s="13"/>
    </row>
    <row r="124" customFormat="false" ht="15" hidden="false" customHeight="false" outlineLevel="0" collapsed="false">
      <c r="A124" s="1" t="str">
        <f aca="false">_xlfn.TEXTJOIN( , ,"LATIN_",DEC2HEX(C123,4))</f>
        <v>LATIN_00D5</v>
      </c>
      <c r="B124" s="11" t="str">
        <f aca="false">DEC2HEX(C123)</f>
        <v>D5</v>
      </c>
      <c r="C124" s="1" t="n">
        <v>213</v>
      </c>
      <c r="D124" s="9" t="str">
        <f aca="false">DEC2HEX(C124,8)</f>
        <v>000000D5</v>
      </c>
      <c r="E124" s="10" t="str">
        <f aca="false">_xlfn.UNICHAR(C124)</f>
        <v>Õ</v>
      </c>
      <c r="F124" s="1" t="n">
        <f aca="false">C124-C123</f>
        <v/>
      </c>
      <c r="G124" s="13"/>
    </row>
    <row r="125" customFormat="false" ht="15" hidden="false" customHeight="false" outlineLevel="0" collapsed="false">
      <c r="A125" s="1" t="str">
        <f aca="false">_xlfn.TEXTJOIN( , ,"LATIN_",DEC2HEX(C124,4))</f>
        <v>LATIN_00D6</v>
      </c>
      <c r="B125" s="11" t="str">
        <f aca="false">DEC2HEX(C124)</f>
        <v>D6</v>
      </c>
      <c r="C125" s="1" t="n">
        <v>214</v>
      </c>
      <c r="D125" s="9" t="str">
        <f aca="false">DEC2HEX(C125,8)</f>
        <v>000000D6</v>
      </c>
      <c r="E125" s="10" t="str">
        <f aca="false">_xlfn.UNICHAR(C125)</f>
        <v>Ö</v>
      </c>
      <c r="F125" s="1" t="n">
        <f aca="false">C125-C124</f>
        <v/>
      </c>
      <c r="G125" s="13"/>
    </row>
    <row r="126" customFormat="false" ht="15" hidden="false" customHeight="false" outlineLevel="0" collapsed="false">
      <c r="A126" s="1" t="str">
        <f aca="false">_xlfn.TEXTJOIN( , ,"LATIN_",DEC2HEX(C125,4))</f>
        <v>LATIN_00D7</v>
      </c>
      <c r="B126" s="11" t="str">
        <f aca="false">DEC2HEX(C125)</f>
        <v>D7</v>
      </c>
      <c r="C126" s="1" t="n">
        <v>215</v>
      </c>
      <c r="D126" s="9" t="str">
        <f aca="false">DEC2HEX(C126,8)</f>
        <v>000000D7</v>
      </c>
      <c r="E126" s="10" t="str">
        <f aca="false">_xlfn.UNICHAR(C126)</f>
        <v>×</v>
      </c>
      <c r="F126" s="1" t="n">
        <f aca="false">C126-C125</f>
        <v/>
      </c>
      <c r="G126" s="13"/>
    </row>
    <row r="127" customFormat="false" ht="15" hidden="false" customHeight="false" outlineLevel="0" collapsed="false">
      <c r="A127" s="1" t="str">
        <f aca="false">_xlfn.TEXTJOIN( , ,"LATIN_",DEC2HEX(C126,4))</f>
        <v>LATIN_00D8</v>
      </c>
      <c r="B127" s="11" t="str">
        <f aca="false">DEC2HEX(C126)</f>
        <v>D8</v>
      </c>
      <c r="C127" s="1" t="n">
        <v>216</v>
      </c>
      <c r="D127" s="9" t="str">
        <f aca="false">DEC2HEX(C127,8)</f>
        <v>000000D8</v>
      </c>
      <c r="E127" s="10" t="str">
        <f aca="false">_xlfn.UNICHAR(C127)</f>
        <v>Ø</v>
      </c>
      <c r="F127" s="1" t="n">
        <f aca="false">C127-C126</f>
        <v/>
      </c>
      <c r="G127" s="13"/>
    </row>
    <row r="128" customFormat="false" ht="15" hidden="false" customHeight="false" outlineLevel="0" collapsed="false">
      <c r="A128" s="1" t="str">
        <f aca="false">_xlfn.TEXTJOIN( , ,"LATIN_",DEC2HEX(C127,4))</f>
        <v>LATIN_00D9</v>
      </c>
      <c r="B128" s="11" t="str">
        <f aca="false">DEC2HEX(C127)</f>
        <v>D9</v>
      </c>
      <c r="C128" s="1" t="n">
        <v>217</v>
      </c>
      <c r="D128" s="9" t="str">
        <f aca="false">DEC2HEX(C128,8)</f>
        <v>000000D9</v>
      </c>
      <c r="E128" s="10" t="str">
        <f aca="false">_xlfn.UNICHAR(C128)</f>
        <v>Ù</v>
      </c>
      <c r="F128" s="1" t="n">
        <f aca="false">C128-C127</f>
        <v/>
      </c>
      <c r="G128" s="13"/>
    </row>
    <row r="129" customFormat="false" ht="15" hidden="false" customHeight="false" outlineLevel="0" collapsed="false">
      <c r="A129" s="1" t="str">
        <f aca="false">_xlfn.TEXTJOIN( , ,"LATIN_",DEC2HEX(C128,4))</f>
        <v>LATIN_00DA</v>
      </c>
      <c r="B129" s="11" t="str">
        <f aca="false">DEC2HEX(C128)</f>
        <v>DA</v>
      </c>
      <c r="C129" s="1" t="n">
        <v>218</v>
      </c>
      <c r="D129" s="9" t="str">
        <f aca="false">DEC2HEX(C129,8)</f>
        <v>000000DA</v>
      </c>
      <c r="E129" s="10" t="str">
        <f aca="false">_xlfn.UNICHAR(C129)</f>
        <v>Ú</v>
      </c>
      <c r="F129" s="1" t="n">
        <f aca="false">C129-C128</f>
        <v/>
      </c>
      <c r="G129" s="13"/>
    </row>
    <row r="130" customFormat="false" ht="15" hidden="false" customHeight="false" outlineLevel="0" collapsed="false">
      <c r="A130" s="1" t="str">
        <f aca="false">_xlfn.TEXTJOIN( , ,"LATIN_",DEC2HEX(C129,4))</f>
        <v>LATIN_00DB</v>
      </c>
      <c r="B130" s="11" t="str">
        <f aca="false">DEC2HEX(C129)</f>
        <v>DB</v>
      </c>
      <c r="C130" s="1" t="n">
        <v>219</v>
      </c>
      <c r="D130" s="9" t="str">
        <f aca="false">DEC2HEX(C130,8)</f>
        <v>000000DB</v>
      </c>
      <c r="E130" s="10" t="str">
        <f aca="false">_xlfn.UNICHAR(C130)</f>
        <v>Û</v>
      </c>
      <c r="F130" s="1" t="n">
        <f aca="false">C130-C129</f>
        <v/>
      </c>
      <c r="G130" s="13"/>
    </row>
    <row r="131" customFormat="false" ht="15" hidden="false" customHeight="false" outlineLevel="0" collapsed="false">
      <c r="A131" s="1" t="str">
        <f aca="false">_xlfn.TEXTJOIN( , ,"LATIN_",DEC2HEX(C130,4))</f>
        <v>LATIN_00DC</v>
      </c>
      <c r="B131" s="11" t="str">
        <f aca="false">DEC2HEX(C130)</f>
        <v>DC</v>
      </c>
      <c r="C131" s="1" t="n">
        <v>220</v>
      </c>
      <c r="D131" s="9" t="str">
        <f aca="false">DEC2HEX(C131,8)</f>
        <v>000000DC</v>
      </c>
      <c r="E131" s="10" t="str">
        <f aca="false">_xlfn.UNICHAR(C131)</f>
        <v>Ü</v>
      </c>
      <c r="F131" s="1" t="n">
        <f aca="false">C131-C130</f>
        <v/>
      </c>
      <c r="G131" s="13"/>
    </row>
    <row r="132" customFormat="false" ht="15" hidden="false" customHeight="false" outlineLevel="0" collapsed="false">
      <c r="A132" s="1" t="str">
        <f aca="false">_xlfn.TEXTJOIN( , ,"LATIN_",DEC2HEX(C131,4))</f>
        <v>LATIN_00DD</v>
      </c>
      <c r="B132" s="11" t="str">
        <f aca="false">DEC2HEX(C131)</f>
        <v>DD</v>
      </c>
      <c r="C132" s="1" t="n">
        <v>221</v>
      </c>
      <c r="D132" s="9" t="str">
        <f aca="false">DEC2HEX(C132,8)</f>
        <v>000000DD</v>
      </c>
      <c r="E132" s="10" t="str">
        <f aca="false">_xlfn.UNICHAR(C132)</f>
        <v>Ý</v>
      </c>
      <c r="F132" s="1" t="n">
        <f aca="false">C132-C131</f>
        <v/>
      </c>
      <c r="G132" s="13"/>
    </row>
    <row r="133" customFormat="false" ht="15" hidden="false" customHeight="false" outlineLevel="0" collapsed="false">
      <c r="A133" s="1" t="str">
        <f aca="false">_xlfn.TEXTJOIN( , ,"LATIN_",DEC2HEX(C132,4))</f>
        <v>LATIN_00DE</v>
      </c>
      <c r="B133" s="11" t="str">
        <f aca="false">DEC2HEX(C132)</f>
        <v>DE</v>
      </c>
      <c r="C133" s="1" t="n">
        <v>222</v>
      </c>
      <c r="D133" s="9" t="str">
        <f aca="false">DEC2HEX(C133,8)</f>
        <v>000000DE</v>
      </c>
      <c r="E133" s="10" t="str">
        <f aca="false">_xlfn.UNICHAR(C133)</f>
        <v>Þ</v>
      </c>
      <c r="F133" s="1" t="n">
        <f aca="false">C133-C132</f>
        <v/>
      </c>
      <c r="G133" s="13"/>
    </row>
    <row r="134" customFormat="false" ht="15" hidden="false" customHeight="false" outlineLevel="0" collapsed="false">
      <c r="A134" s="1" t="str">
        <f aca="false">_xlfn.TEXTJOIN( , ,"LATIN_",DEC2HEX(C133,4))</f>
        <v>LATIN_00DF</v>
      </c>
      <c r="B134" s="11" t="str">
        <f aca="false">DEC2HEX(C133)</f>
        <v>DF</v>
      </c>
      <c r="C134" s="1" t="n">
        <v>223</v>
      </c>
      <c r="D134" s="9" t="str">
        <f aca="false">DEC2HEX(C134,8)</f>
        <v>000000DF</v>
      </c>
      <c r="E134" s="10" t="str">
        <f aca="false">_xlfn.UNICHAR(C134)</f>
        <v>ß</v>
      </c>
      <c r="F134" s="1" t="n">
        <f aca="false">C134-C133</f>
        <v/>
      </c>
      <c r="G134" s="13"/>
    </row>
    <row r="135" customFormat="false" ht="15" hidden="false" customHeight="false" outlineLevel="0" collapsed="false">
      <c r="A135" s="1" t="str">
        <f aca="false">_xlfn.TEXTJOIN( , ,"LATIN_",DEC2HEX(C134,4))</f>
        <v>LATIN_00E0</v>
      </c>
      <c r="B135" s="11" t="str">
        <f aca="false">DEC2HEX(C134)</f>
        <v>E0</v>
      </c>
      <c r="C135" s="1" t="n">
        <v>224</v>
      </c>
      <c r="D135" s="9" t="str">
        <f aca="false">DEC2HEX(C135,8)</f>
        <v>000000E0</v>
      </c>
      <c r="E135" s="10" t="str">
        <f aca="false">_xlfn.UNICHAR(C135)</f>
        <v>à</v>
      </c>
      <c r="F135" s="1" t="n">
        <f aca="false">C135-C134</f>
        <v/>
      </c>
      <c r="G135" s="13"/>
    </row>
    <row r="136" customFormat="false" ht="15" hidden="false" customHeight="false" outlineLevel="0" collapsed="false">
      <c r="A136" s="1" t="str">
        <f aca="false">_xlfn.TEXTJOIN( , ,"LATIN_",DEC2HEX(C135,4))</f>
        <v>LATIN_00E1</v>
      </c>
      <c r="B136" s="11" t="str">
        <f aca="false">DEC2HEX(C135)</f>
        <v>E1</v>
      </c>
      <c r="C136" s="1" t="n">
        <v>225</v>
      </c>
      <c r="D136" s="9" t="str">
        <f aca="false">DEC2HEX(C136,8)</f>
        <v>000000E1</v>
      </c>
      <c r="E136" s="10" t="str">
        <f aca="false">_xlfn.UNICHAR(C136)</f>
        <v>á</v>
      </c>
      <c r="F136" s="1" t="n">
        <f aca="false">C136-C135</f>
        <v/>
      </c>
      <c r="G136" s="13"/>
    </row>
    <row r="137" customFormat="false" ht="15" hidden="false" customHeight="false" outlineLevel="0" collapsed="false">
      <c r="A137" s="1" t="str">
        <f aca="false">_xlfn.TEXTJOIN( , ,"LATIN_",DEC2HEX(C136,4))</f>
        <v>LATIN_00E2</v>
      </c>
      <c r="B137" s="11" t="str">
        <f aca="false">DEC2HEX(C136)</f>
        <v>E2</v>
      </c>
      <c r="C137" s="1" t="n">
        <v>226</v>
      </c>
      <c r="D137" s="9" t="str">
        <f aca="false">DEC2HEX(C137,8)</f>
        <v>000000E2</v>
      </c>
      <c r="E137" s="10" t="str">
        <f aca="false">_xlfn.UNICHAR(C137)</f>
        <v>â</v>
      </c>
      <c r="F137" s="1" t="n">
        <f aca="false">C137-C136</f>
        <v/>
      </c>
      <c r="G137" s="13"/>
    </row>
    <row r="138" customFormat="false" ht="15" hidden="false" customHeight="false" outlineLevel="0" collapsed="false">
      <c r="A138" s="1" t="str">
        <f aca="false">_xlfn.TEXTJOIN( , ,"LATIN_",DEC2HEX(C137,4))</f>
        <v>LATIN_00E3</v>
      </c>
      <c r="B138" s="11" t="str">
        <f aca="false">DEC2HEX(C137)</f>
        <v>E3</v>
      </c>
      <c r="C138" s="1" t="n">
        <v>227</v>
      </c>
      <c r="D138" s="9" t="str">
        <f aca="false">DEC2HEX(C138,8)</f>
        <v>000000E3</v>
      </c>
      <c r="E138" s="10" t="str">
        <f aca="false">_xlfn.UNICHAR(C138)</f>
        <v>ã</v>
      </c>
      <c r="F138" s="1" t="n">
        <f aca="false">C138-C137</f>
        <v/>
      </c>
      <c r="G138" s="13"/>
    </row>
    <row r="139" customFormat="false" ht="15" hidden="false" customHeight="false" outlineLevel="0" collapsed="false">
      <c r="A139" s="1" t="str">
        <f aca="false">_xlfn.TEXTJOIN( , ,"LATIN_",DEC2HEX(C138,4))</f>
        <v>LATIN_00E4</v>
      </c>
      <c r="B139" s="11" t="str">
        <f aca="false">DEC2HEX(C138)</f>
        <v>E4</v>
      </c>
      <c r="C139" s="1" t="n">
        <v>228</v>
      </c>
      <c r="D139" s="9" t="str">
        <f aca="false">DEC2HEX(C139,8)</f>
        <v>000000E4</v>
      </c>
      <c r="E139" s="10" t="str">
        <f aca="false">_xlfn.UNICHAR(C139)</f>
        <v>ä</v>
      </c>
      <c r="F139" s="1" t="n">
        <f aca="false">C139-C138</f>
        <v/>
      </c>
      <c r="G139" s="13"/>
    </row>
    <row r="140" customFormat="false" ht="15" hidden="false" customHeight="false" outlineLevel="0" collapsed="false">
      <c r="A140" s="1" t="str">
        <f aca="false">_xlfn.TEXTJOIN( , ,"LATIN_",DEC2HEX(C139,4))</f>
        <v>LATIN_00E5</v>
      </c>
      <c r="B140" s="11" t="str">
        <f aca="false">DEC2HEX(C139)</f>
        <v>E5</v>
      </c>
      <c r="C140" s="1" t="n">
        <v>229</v>
      </c>
      <c r="D140" s="9" t="str">
        <f aca="false">DEC2HEX(C140,8)</f>
        <v>000000E5</v>
      </c>
      <c r="E140" s="10" t="str">
        <f aca="false">_xlfn.UNICHAR(C140)</f>
        <v>å</v>
      </c>
      <c r="F140" s="1" t="n">
        <f aca="false">C140-C139</f>
        <v/>
      </c>
      <c r="G140" s="13"/>
    </row>
    <row r="141" customFormat="false" ht="15" hidden="false" customHeight="false" outlineLevel="0" collapsed="false">
      <c r="A141" s="1" t="str">
        <f aca="false">_xlfn.TEXTJOIN( , ,"LATIN_",DEC2HEX(C140,4))</f>
        <v>LATIN_00E6</v>
      </c>
      <c r="B141" s="11" t="str">
        <f aca="false">DEC2HEX(C140)</f>
        <v>E6</v>
      </c>
      <c r="C141" s="1" t="n">
        <v>230</v>
      </c>
      <c r="D141" s="9" t="str">
        <f aca="false">DEC2HEX(C141,8)</f>
        <v>000000E6</v>
      </c>
      <c r="E141" s="10" t="str">
        <f aca="false">_xlfn.UNICHAR(C141)</f>
        <v>æ</v>
      </c>
      <c r="F141" s="1" t="n">
        <f aca="false">C141-C140</f>
        <v/>
      </c>
      <c r="G141" s="13"/>
    </row>
    <row r="142" customFormat="false" ht="15" hidden="false" customHeight="false" outlineLevel="0" collapsed="false">
      <c r="A142" s="1" t="str">
        <f aca="false">_xlfn.TEXTJOIN( , ,"LATIN_",DEC2HEX(C141,4))</f>
        <v>LATIN_00E7</v>
      </c>
      <c r="B142" s="11" t="str">
        <f aca="false">DEC2HEX(C141)</f>
        <v>E7</v>
      </c>
      <c r="C142" s="1" t="n">
        <v>231</v>
      </c>
      <c r="D142" s="9" t="str">
        <f aca="false">DEC2HEX(C142,8)</f>
        <v>000000E7</v>
      </c>
      <c r="E142" s="10" t="str">
        <f aca="false">_xlfn.UNICHAR(C142)</f>
        <v>ç</v>
      </c>
      <c r="F142" s="1" t="n">
        <f aca="false">C142-C141</f>
        <v/>
      </c>
      <c r="G142" s="13"/>
    </row>
    <row r="143" customFormat="false" ht="15" hidden="false" customHeight="false" outlineLevel="0" collapsed="false">
      <c r="A143" s="1" t="str">
        <f aca="false">_xlfn.TEXTJOIN( , ,"LATIN_",DEC2HEX(C142,4))</f>
        <v>LATIN_00E8</v>
      </c>
      <c r="B143" s="11" t="str">
        <f aca="false">DEC2HEX(C142)</f>
        <v>E8</v>
      </c>
      <c r="C143" s="1" t="n">
        <v>232</v>
      </c>
      <c r="D143" s="9" t="str">
        <f aca="false">DEC2HEX(C143,8)</f>
        <v>000000E8</v>
      </c>
      <c r="E143" s="10" t="str">
        <f aca="false">_xlfn.UNICHAR(C143)</f>
        <v>è</v>
      </c>
      <c r="F143" s="1" t="n">
        <f aca="false">C143-C142</f>
        <v/>
      </c>
      <c r="G143" s="13"/>
    </row>
    <row r="144" customFormat="false" ht="15" hidden="false" customHeight="false" outlineLevel="0" collapsed="false">
      <c r="A144" s="1" t="str">
        <f aca="false">_xlfn.TEXTJOIN( , ,"LATIN_",DEC2HEX(C143,4))</f>
        <v>LATIN_00E9</v>
      </c>
      <c r="B144" s="11" t="str">
        <f aca="false">DEC2HEX(C143)</f>
        <v>E9</v>
      </c>
      <c r="C144" s="1" t="n">
        <v>233</v>
      </c>
      <c r="D144" s="9" t="str">
        <f aca="false">DEC2HEX(C144,8)</f>
        <v>000000E9</v>
      </c>
      <c r="E144" s="10" t="str">
        <f aca="false">_xlfn.UNICHAR(C144)</f>
        <v>é</v>
      </c>
      <c r="F144" s="1" t="n">
        <f aca="false">C144-C143</f>
        <v/>
      </c>
      <c r="G144" s="13"/>
    </row>
    <row r="145" customFormat="false" ht="15" hidden="false" customHeight="false" outlineLevel="0" collapsed="false">
      <c r="A145" s="1" t="str">
        <f aca="false">_xlfn.TEXTJOIN( , ,"LATIN_",DEC2HEX(C144,4))</f>
        <v>LATIN_00EA</v>
      </c>
      <c r="B145" s="11" t="str">
        <f aca="false">DEC2HEX(C144)</f>
        <v>EA</v>
      </c>
      <c r="C145" s="1" t="n">
        <v>234</v>
      </c>
      <c r="D145" s="9" t="str">
        <f aca="false">DEC2HEX(C145,8)</f>
        <v>000000EA</v>
      </c>
      <c r="E145" s="10" t="str">
        <f aca="false">_xlfn.UNICHAR(C145)</f>
        <v>ê</v>
      </c>
      <c r="F145" s="1" t="n">
        <f aca="false">C145-C144</f>
        <v/>
      </c>
      <c r="G145" s="13"/>
    </row>
    <row r="146" customFormat="false" ht="15" hidden="false" customHeight="false" outlineLevel="0" collapsed="false">
      <c r="A146" s="1" t="str">
        <f aca="false">_xlfn.TEXTJOIN( , ,"LATIN_",DEC2HEX(C145,4))</f>
        <v>LATIN_00EB</v>
      </c>
      <c r="B146" s="11" t="str">
        <f aca="false">DEC2HEX(C145)</f>
        <v>EB</v>
      </c>
      <c r="C146" s="1" t="n">
        <v>235</v>
      </c>
      <c r="D146" s="9" t="str">
        <f aca="false">DEC2HEX(C146,8)</f>
        <v>000000EB</v>
      </c>
      <c r="E146" s="10" t="str">
        <f aca="false">_xlfn.UNICHAR(C146)</f>
        <v>ë</v>
      </c>
      <c r="F146" s="1" t="n">
        <f aca="false">C146-C145</f>
        <v/>
      </c>
      <c r="G146" s="13"/>
    </row>
    <row r="147" customFormat="false" ht="15" hidden="false" customHeight="false" outlineLevel="0" collapsed="false">
      <c r="A147" s="1" t="str">
        <f aca="false">_xlfn.TEXTJOIN( , ,"LATIN_",DEC2HEX(C146,4))</f>
        <v>LATIN_00EC</v>
      </c>
      <c r="B147" s="11" t="str">
        <f aca="false">DEC2HEX(C146)</f>
        <v>EC</v>
      </c>
      <c r="C147" s="1" t="n">
        <v>236</v>
      </c>
      <c r="D147" s="9" t="str">
        <f aca="false">DEC2HEX(C147,8)</f>
        <v>000000EC</v>
      </c>
      <c r="E147" s="10" t="str">
        <f aca="false">_xlfn.UNICHAR(C147)</f>
        <v>ì</v>
      </c>
      <c r="F147" s="1" t="n">
        <f aca="false">C147-C146</f>
        <v/>
      </c>
      <c r="G147" s="13"/>
    </row>
    <row r="148" customFormat="false" ht="15" hidden="false" customHeight="false" outlineLevel="0" collapsed="false">
      <c r="A148" s="1" t="str">
        <f aca="false">_xlfn.TEXTJOIN( , ,"LATIN_",DEC2HEX(C147,4))</f>
        <v>LATIN_00ED</v>
      </c>
      <c r="B148" s="11" t="str">
        <f aca="false">DEC2HEX(C147)</f>
        <v>ED</v>
      </c>
      <c r="C148" s="1" t="n">
        <v>237</v>
      </c>
      <c r="D148" s="9" t="str">
        <f aca="false">DEC2HEX(C148,8)</f>
        <v>000000ED</v>
      </c>
      <c r="E148" s="10" t="str">
        <f aca="false">_xlfn.UNICHAR(C148)</f>
        <v>í</v>
      </c>
      <c r="F148" s="1" t="n">
        <f aca="false">C148-C147</f>
        <v/>
      </c>
      <c r="G148" s="13"/>
    </row>
    <row r="149" customFormat="false" ht="15" hidden="false" customHeight="false" outlineLevel="0" collapsed="false">
      <c r="A149" s="1" t="str">
        <f aca="false">_xlfn.TEXTJOIN( , ,"LATIN_",DEC2HEX(C148,4))</f>
        <v>LATIN_00EE</v>
      </c>
      <c r="B149" s="11" t="str">
        <f aca="false">DEC2HEX(C148)</f>
        <v>EE</v>
      </c>
      <c r="C149" s="1" t="n">
        <v>238</v>
      </c>
      <c r="D149" s="9" t="str">
        <f aca="false">DEC2HEX(C149,8)</f>
        <v>000000EE</v>
      </c>
      <c r="E149" s="10" t="str">
        <f aca="false">_xlfn.UNICHAR(C149)</f>
        <v>î</v>
      </c>
      <c r="F149" s="1" t="n">
        <f aca="false">C149-C148</f>
        <v/>
      </c>
      <c r="G149" s="13"/>
    </row>
    <row r="150" customFormat="false" ht="15" hidden="false" customHeight="false" outlineLevel="0" collapsed="false">
      <c r="A150" s="1" t="str">
        <f aca="false">_xlfn.TEXTJOIN( , ,"LATIN_",DEC2HEX(C149,4))</f>
        <v>LATIN_00EF</v>
      </c>
      <c r="B150" s="11" t="str">
        <f aca="false">DEC2HEX(C149)</f>
        <v>EF</v>
      </c>
      <c r="C150" s="1" t="n">
        <v>239</v>
      </c>
      <c r="D150" s="9" t="str">
        <f aca="false">DEC2HEX(C150,8)</f>
        <v>000000EF</v>
      </c>
      <c r="E150" s="10" t="str">
        <f aca="false">_xlfn.UNICHAR(C150)</f>
        <v>ï</v>
      </c>
      <c r="F150" s="1" t="n">
        <f aca="false">C150-C149</f>
        <v/>
      </c>
      <c r="G150" s="13"/>
    </row>
    <row r="151" customFormat="false" ht="15" hidden="false" customHeight="false" outlineLevel="0" collapsed="false">
      <c r="A151" s="1" t="str">
        <f aca="false">_xlfn.TEXTJOIN( , ,"LATIN_",DEC2HEX(C150,4))</f>
        <v>LATIN_00F0</v>
      </c>
      <c r="B151" s="11" t="str">
        <f aca="false">DEC2HEX(C150)</f>
        <v>F0</v>
      </c>
      <c r="C151" s="1" t="n">
        <v>240</v>
      </c>
      <c r="D151" s="9" t="str">
        <f aca="false">DEC2HEX(C151,8)</f>
        <v>000000F0</v>
      </c>
      <c r="E151" s="10" t="str">
        <f aca="false">_xlfn.UNICHAR(C151)</f>
        <v>ð</v>
      </c>
      <c r="F151" s="1" t="n">
        <f aca="false">C151-C150</f>
        <v/>
      </c>
      <c r="G151" s="13"/>
    </row>
    <row r="152" customFormat="false" ht="15" hidden="false" customHeight="false" outlineLevel="0" collapsed="false">
      <c r="A152" s="1" t="str">
        <f aca="false">_xlfn.TEXTJOIN( , ,"LATIN_",DEC2HEX(C151,4))</f>
        <v>LATIN_00F1</v>
      </c>
      <c r="B152" s="11" t="str">
        <f aca="false">DEC2HEX(C151)</f>
        <v>F1</v>
      </c>
      <c r="C152" s="1" t="n">
        <v>241</v>
      </c>
      <c r="D152" s="9" t="str">
        <f aca="false">DEC2HEX(C152,8)</f>
        <v>000000F1</v>
      </c>
      <c r="E152" s="10" t="str">
        <f aca="false">_xlfn.UNICHAR(C152)</f>
        <v>ñ</v>
      </c>
      <c r="F152" s="1" t="n">
        <f aca="false">C152-C151</f>
        <v/>
      </c>
      <c r="G152" s="13"/>
    </row>
    <row r="153" customFormat="false" ht="15" hidden="false" customHeight="false" outlineLevel="0" collapsed="false">
      <c r="A153" s="1" t="str">
        <f aca="false">_xlfn.TEXTJOIN( , ,"LATIN_",DEC2HEX(C152,4))</f>
        <v>LATIN_00F2</v>
      </c>
      <c r="B153" s="11" t="str">
        <f aca="false">DEC2HEX(C152)</f>
        <v>F2</v>
      </c>
      <c r="C153" s="1" t="n">
        <v>242</v>
      </c>
      <c r="D153" s="9" t="str">
        <f aca="false">DEC2HEX(C153,8)</f>
        <v>000000F2</v>
      </c>
      <c r="E153" s="10" t="str">
        <f aca="false">_xlfn.UNICHAR(C153)</f>
        <v>ò</v>
      </c>
      <c r="F153" s="1" t="n">
        <f aca="false">C153-C152</f>
        <v/>
      </c>
      <c r="G153" s="13"/>
    </row>
    <row r="154" customFormat="false" ht="15" hidden="false" customHeight="false" outlineLevel="0" collapsed="false">
      <c r="A154" s="1" t="str">
        <f aca="false">_xlfn.TEXTJOIN( , ,"LATIN_",DEC2HEX(C153,4))</f>
        <v>LATIN_00F3</v>
      </c>
      <c r="B154" s="11" t="str">
        <f aca="false">DEC2HEX(C153)</f>
        <v>F3</v>
      </c>
      <c r="C154" s="1" t="n">
        <v>243</v>
      </c>
      <c r="D154" s="9" t="str">
        <f aca="false">DEC2HEX(C154,8)</f>
        <v>000000F3</v>
      </c>
      <c r="E154" s="10" t="str">
        <f aca="false">_xlfn.UNICHAR(C154)</f>
        <v>ó</v>
      </c>
      <c r="F154" s="1" t="n">
        <f aca="false">C154-C153</f>
        <v/>
      </c>
      <c r="G154" s="13"/>
    </row>
    <row r="155" customFormat="false" ht="15" hidden="false" customHeight="false" outlineLevel="0" collapsed="false">
      <c r="A155" s="1" t="str">
        <f aca="false">_xlfn.TEXTJOIN( , ,"LATIN_",DEC2HEX(C154,4))</f>
        <v>LATIN_00F4</v>
      </c>
      <c r="B155" s="11" t="str">
        <f aca="false">DEC2HEX(C154)</f>
        <v>F4</v>
      </c>
      <c r="C155" s="1" t="n">
        <v>244</v>
      </c>
      <c r="D155" s="9" t="str">
        <f aca="false">DEC2HEX(C155,8)</f>
        <v>000000F4</v>
      </c>
      <c r="E155" s="10" t="str">
        <f aca="false">_xlfn.UNICHAR(C155)</f>
        <v>ô</v>
      </c>
      <c r="F155" s="1" t="n">
        <f aca="false">C155-C154</f>
        <v/>
      </c>
      <c r="G155" s="13"/>
    </row>
    <row r="156" customFormat="false" ht="15" hidden="false" customHeight="false" outlineLevel="0" collapsed="false">
      <c r="A156" s="1" t="str">
        <f aca="false">_xlfn.TEXTJOIN( , ,"LATIN_",DEC2HEX(C155,4))</f>
        <v>LATIN_00F5</v>
      </c>
      <c r="B156" s="11" t="str">
        <f aca="false">DEC2HEX(C155)</f>
        <v>F5</v>
      </c>
      <c r="C156" s="1" t="n">
        <v>245</v>
      </c>
      <c r="D156" s="9" t="str">
        <f aca="false">DEC2HEX(C156,8)</f>
        <v>000000F5</v>
      </c>
      <c r="E156" s="10" t="str">
        <f aca="false">_xlfn.UNICHAR(C156)</f>
        <v>õ</v>
      </c>
      <c r="F156" s="1" t="n">
        <f aca="false">C156-C155</f>
        <v/>
      </c>
      <c r="G156" s="13"/>
    </row>
    <row r="157" customFormat="false" ht="15" hidden="false" customHeight="false" outlineLevel="0" collapsed="false">
      <c r="A157" s="1" t="str">
        <f aca="false">_xlfn.TEXTJOIN( , ,"LATIN_",DEC2HEX(C156,4))</f>
        <v>LATIN_00F6</v>
      </c>
      <c r="B157" s="11" t="str">
        <f aca="false">DEC2HEX(C156)</f>
        <v>F6</v>
      </c>
      <c r="C157" s="1" t="n">
        <v>246</v>
      </c>
      <c r="D157" s="9" t="str">
        <f aca="false">DEC2HEX(C157,8)</f>
        <v>000000F6</v>
      </c>
      <c r="E157" s="10" t="str">
        <f aca="false">_xlfn.UNICHAR(C157)</f>
        <v>ö</v>
      </c>
      <c r="F157" s="1" t="n">
        <f aca="false">C157-C156</f>
        <v/>
      </c>
      <c r="G157" s="13"/>
    </row>
    <row r="158" customFormat="false" ht="15" hidden="false" customHeight="false" outlineLevel="0" collapsed="false">
      <c r="A158" s="1" t="str">
        <f aca="false">_xlfn.TEXTJOIN( , ,"LATIN_",DEC2HEX(C157,4))</f>
        <v>LATIN_00F7</v>
      </c>
      <c r="B158" s="11" t="str">
        <f aca="false">DEC2HEX(C157)</f>
        <v>F7</v>
      </c>
      <c r="C158" s="1" t="n">
        <v>247</v>
      </c>
      <c r="D158" s="9" t="str">
        <f aca="false">DEC2HEX(C158,8)</f>
        <v>000000F7</v>
      </c>
      <c r="E158" s="10" t="str">
        <f aca="false">_xlfn.UNICHAR(C158)</f>
        <v>÷</v>
      </c>
      <c r="F158" s="1" t="n">
        <f aca="false">C158-C157</f>
        <v/>
      </c>
      <c r="G158" s="13"/>
    </row>
    <row r="159" customFormat="false" ht="15" hidden="false" customHeight="false" outlineLevel="0" collapsed="false">
      <c r="A159" s="1" t="str">
        <f aca="false">_xlfn.TEXTJOIN( , ,"LATIN_",DEC2HEX(C158,4))</f>
        <v>LATIN_00F8</v>
      </c>
      <c r="B159" s="11" t="str">
        <f aca="false">DEC2HEX(C158)</f>
        <v>F8</v>
      </c>
      <c r="C159" s="1" t="n">
        <v>248</v>
      </c>
      <c r="D159" s="9" t="str">
        <f aca="false">DEC2HEX(C159,8)</f>
        <v>000000F8</v>
      </c>
      <c r="E159" s="10" t="str">
        <f aca="false">_xlfn.UNICHAR(C159)</f>
        <v>ø</v>
      </c>
      <c r="F159" s="1" t="n">
        <f aca="false">C159-C158</f>
        <v/>
      </c>
      <c r="G159" s="13"/>
    </row>
    <row r="160" customFormat="false" ht="15" hidden="false" customHeight="false" outlineLevel="0" collapsed="false">
      <c r="A160" s="1" t="str">
        <f aca="false">_xlfn.TEXTJOIN( , ,"LATIN_",DEC2HEX(C159,4))</f>
        <v>LATIN_00F9</v>
      </c>
      <c r="B160" s="11" t="str">
        <f aca="false">DEC2HEX(C159)</f>
        <v>F9</v>
      </c>
      <c r="C160" s="1" t="n">
        <v>249</v>
      </c>
      <c r="D160" s="9" t="str">
        <f aca="false">DEC2HEX(C160,8)</f>
        <v>000000F9</v>
      </c>
      <c r="E160" s="10" t="str">
        <f aca="false">_xlfn.UNICHAR(C160)</f>
        <v>ù</v>
      </c>
      <c r="F160" s="1" t="n">
        <f aca="false">C160-C159</f>
        <v/>
      </c>
      <c r="G160" s="13"/>
    </row>
    <row r="161" customFormat="false" ht="15" hidden="false" customHeight="false" outlineLevel="0" collapsed="false">
      <c r="A161" s="1" t="str">
        <f aca="false">_xlfn.TEXTJOIN( , ,"LATIN_",DEC2HEX(C160,4))</f>
        <v>LATIN_00FA</v>
      </c>
      <c r="B161" s="11" t="str">
        <f aca="false">DEC2HEX(C160)</f>
        <v>FA</v>
      </c>
      <c r="C161" s="1" t="n">
        <v>250</v>
      </c>
      <c r="D161" s="9" t="str">
        <f aca="false">DEC2HEX(C161,8)</f>
        <v>000000FA</v>
      </c>
      <c r="E161" s="10" t="str">
        <f aca="false">_xlfn.UNICHAR(C161)</f>
        <v>ú</v>
      </c>
      <c r="F161" s="1" t="n">
        <f aca="false">C161-C160</f>
        <v/>
      </c>
      <c r="G161" s="13"/>
    </row>
    <row r="162" customFormat="false" ht="15" hidden="false" customHeight="false" outlineLevel="0" collapsed="false">
      <c r="A162" s="1" t="str">
        <f aca="false">_xlfn.TEXTJOIN( , ,"LATIN_",DEC2HEX(C161,4))</f>
        <v>LATIN_00FB</v>
      </c>
      <c r="B162" s="11" t="str">
        <f aca="false">DEC2HEX(C161)</f>
        <v>FB</v>
      </c>
      <c r="C162" s="1" t="n">
        <v>251</v>
      </c>
      <c r="D162" s="9" t="str">
        <f aca="false">DEC2HEX(C162,8)</f>
        <v>000000FB</v>
      </c>
      <c r="E162" s="10" t="str">
        <f aca="false">_xlfn.UNICHAR(C162)</f>
        <v>û</v>
      </c>
      <c r="F162" s="1" t="n">
        <f aca="false">C162-C161</f>
        <v/>
      </c>
      <c r="G162" s="13"/>
    </row>
    <row r="163" customFormat="false" ht="15" hidden="false" customHeight="false" outlineLevel="0" collapsed="false">
      <c r="A163" s="1" t="str">
        <f aca="false">_xlfn.TEXTJOIN( , ,"LATIN_",DEC2HEX(C162,4))</f>
        <v>LATIN_00FC</v>
      </c>
      <c r="B163" s="11" t="str">
        <f aca="false">DEC2HEX(C162)</f>
        <v>FC</v>
      </c>
      <c r="C163" s="1" t="n">
        <v>252</v>
      </c>
      <c r="D163" s="9" t="str">
        <f aca="false">DEC2HEX(C163,8)</f>
        <v>000000FC</v>
      </c>
      <c r="E163" s="10" t="str">
        <f aca="false">_xlfn.UNICHAR(C163)</f>
        <v>ü</v>
      </c>
      <c r="F163" s="1" t="n">
        <f aca="false">C163-C162</f>
        <v/>
      </c>
      <c r="G163" s="13"/>
    </row>
    <row r="164" customFormat="false" ht="15" hidden="false" customHeight="false" outlineLevel="0" collapsed="false">
      <c r="A164" s="1" t="str">
        <f aca="false">_xlfn.TEXTJOIN( , ,"LATIN_",DEC2HEX(C163,4))</f>
        <v>LATIN_00FD</v>
      </c>
      <c r="B164" s="11" t="str">
        <f aca="false">DEC2HEX(C163)</f>
        <v>FD</v>
      </c>
      <c r="C164" s="1" t="n">
        <v>253</v>
      </c>
      <c r="D164" s="9" t="str">
        <f aca="false">DEC2HEX(C164,8)</f>
        <v>000000FD</v>
      </c>
      <c r="E164" s="10" t="str">
        <f aca="false">_xlfn.UNICHAR(C164)</f>
        <v>ý</v>
      </c>
      <c r="F164" s="1" t="n">
        <f aca="false">C164-C163</f>
        <v/>
      </c>
      <c r="G164" s="13"/>
    </row>
    <row r="165" customFormat="false" ht="15" hidden="false" customHeight="false" outlineLevel="0" collapsed="false">
      <c r="A165" s="1" t="str">
        <f aca="false">_xlfn.TEXTJOIN( , ,"LATIN_",DEC2HEX(C164,4))</f>
        <v>LATIN_00FE</v>
      </c>
      <c r="B165" s="11" t="str">
        <f aca="false">DEC2HEX(C164)</f>
        <v>FE</v>
      </c>
      <c r="C165" s="1" t="n">
        <v>254</v>
      </c>
      <c r="D165" s="9" t="str">
        <f aca="false">DEC2HEX(C165,8)</f>
        <v>000000FE</v>
      </c>
      <c r="E165" s="10" t="str">
        <f aca="false">_xlfn.UNICHAR(C165)</f>
        <v>þ</v>
      </c>
      <c r="F165" s="1" t="n">
        <f aca="false">C165-C164</f>
        <v/>
      </c>
      <c r="G165" s="13"/>
    </row>
    <row r="166" customFormat="false" ht="15" hidden="false" customHeight="false" outlineLevel="0" collapsed="false">
      <c r="A166" s="1" t="str">
        <f aca="false">_xlfn.TEXTJOIN( , ,"LATIN_",DEC2HEX(C165,4))</f>
        <v>LATIN_00FF</v>
      </c>
      <c r="B166" s="11" t="str">
        <f aca="false">DEC2HEX(C165)</f>
        <v>FF</v>
      </c>
      <c r="C166" s="1" t="n">
        <v>255</v>
      </c>
      <c r="D166" s="9" t="str">
        <f aca="false">DEC2HEX(C166,8)</f>
        <v>000000FF</v>
      </c>
      <c r="E166" s="10" t="str">
        <f aca="false">_xlfn.UNICHAR(C166)</f>
        <v>ÿ</v>
      </c>
      <c r="F166" s="1" t="n">
        <f aca="false">C166-C165</f>
        <v/>
      </c>
      <c r="G166" s="13"/>
    </row>
    <row r="167" customFormat="false" ht="15" hidden="false" customHeight="false" outlineLevel="0" collapsed="false">
      <c r="A167" s="1" t="str">
        <f aca="false">_xlfn.TEXTJOIN( , ,"LATIN_",DEC2HEX(C166,4))</f>
        <v>LATIN_0100</v>
      </c>
      <c r="B167" s="11" t="str">
        <f aca="false">DEC2HEX(C166)</f>
        <v>100</v>
      </c>
      <c r="C167" s="1" t="n">
        <v>256</v>
      </c>
      <c r="D167" s="9" t="str">
        <f aca="false">DEC2HEX(C167,8)</f>
        <v>00000100</v>
      </c>
      <c r="E167" s="10" t="str">
        <f aca="false">_xlfn.UNICHAR(C167)</f>
        <v>Ā</v>
      </c>
      <c r="F167" s="1" t="n">
        <f aca="false">C167-C166</f>
        <v/>
      </c>
      <c r="G167" s="13"/>
    </row>
    <row r="168" customFormat="false" ht="15" hidden="false" customHeight="false" outlineLevel="0" collapsed="false">
      <c r="A168" s="1" t="str">
        <f aca="false">_xlfn.TEXTJOIN( , ,"LATIN_",DEC2HEX(C167,4))</f>
        <v>LATIN_0101</v>
      </c>
      <c r="B168" s="11" t="str">
        <f aca="false">DEC2HEX(C167)</f>
        <v>101</v>
      </c>
      <c r="C168" s="1" t="n">
        <v>257</v>
      </c>
      <c r="D168" s="9" t="str">
        <f aca="false">DEC2HEX(C168,8)</f>
        <v>00000101</v>
      </c>
      <c r="E168" s="10" t="str">
        <f aca="false">_xlfn.UNICHAR(C168)</f>
        <v>ā</v>
      </c>
      <c r="F168" s="1" t="n">
        <f aca="false">C168-C167</f>
        <v/>
      </c>
      <c r="G168" s="13"/>
    </row>
    <row r="169" customFormat="false" ht="15" hidden="false" customHeight="false" outlineLevel="0" collapsed="false">
      <c r="A169" s="1" t="str">
        <f aca="false">_xlfn.TEXTJOIN( , ,"LATIN_",DEC2HEX(C168,4))</f>
        <v>LATIN_0102</v>
      </c>
      <c r="B169" s="11" t="str">
        <f aca="false">DEC2HEX(C168)</f>
        <v>102</v>
      </c>
      <c r="C169" s="1" t="n">
        <v>258</v>
      </c>
      <c r="D169" s="9" t="str">
        <f aca="false">DEC2HEX(C169,8)</f>
        <v>00000102</v>
      </c>
      <c r="E169" s="10" t="str">
        <f aca="false">_xlfn.UNICHAR(C169)</f>
        <v>Ă</v>
      </c>
      <c r="F169" s="1" t="n">
        <f aca="false">C169-C168</f>
        <v/>
      </c>
      <c r="G169" s="13"/>
    </row>
    <row r="170" customFormat="false" ht="15" hidden="false" customHeight="false" outlineLevel="0" collapsed="false">
      <c r="A170" s="1" t="str">
        <f aca="false">_xlfn.TEXTJOIN( , ,"LATIN_",DEC2HEX(C169,4))</f>
        <v>LATIN_0103</v>
      </c>
      <c r="B170" s="11" t="str">
        <f aca="false">DEC2HEX(C169)</f>
        <v>103</v>
      </c>
      <c r="C170" s="1" t="n">
        <v>259</v>
      </c>
      <c r="D170" s="9" t="str">
        <f aca="false">DEC2HEX(C170,8)</f>
        <v>00000103</v>
      </c>
      <c r="E170" s="10" t="str">
        <f aca="false">_xlfn.UNICHAR(C170)</f>
        <v>ă</v>
      </c>
      <c r="F170" s="1" t="n">
        <f aca="false">C170-C169</f>
        <v/>
      </c>
      <c r="G170" s="13"/>
    </row>
    <row r="171" customFormat="false" ht="15" hidden="false" customHeight="false" outlineLevel="0" collapsed="false">
      <c r="A171" s="1" t="str">
        <f aca="false">_xlfn.TEXTJOIN( , ,"LATIN_",DEC2HEX(C170,4))</f>
        <v>LATIN_0104</v>
      </c>
      <c r="B171" s="11" t="str">
        <f aca="false">DEC2HEX(C170)</f>
        <v>104</v>
      </c>
      <c r="C171" s="1" t="n">
        <v>260</v>
      </c>
      <c r="D171" s="9" t="str">
        <f aca="false">DEC2HEX(C171,8)</f>
        <v>00000104</v>
      </c>
      <c r="E171" s="10" t="str">
        <f aca="false">_xlfn.UNICHAR(C171)</f>
        <v>Ą</v>
      </c>
      <c r="F171" s="1" t="n">
        <f aca="false">C171-C170</f>
        <v/>
      </c>
      <c r="G171" s="13"/>
    </row>
    <row r="172" customFormat="false" ht="15" hidden="false" customHeight="false" outlineLevel="0" collapsed="false">
      <c r="A172" s="1" t="str">
        <f aca="false">_xlfn.TEXTJOIN( , ,"LATIN_",DEC2HEX(C171,4))</f>
        <v>LATIN_0105</v>
      </c>
      <c r="B172" s="11" t="str">
        <f aca="false">DEC2HEX(C171)</f>
        <v>105</v>
      </c>
      <c r="C172" s="1" t="n">
        <v>261</v>
      </c>
      <c r="D172" s="9" t="str">
        <f aca="false">DEC2HEX(C172,8)</f>
        <v>00000105</v>
      </c>
      <c r="E172" s="10" t="str">
        <f aca="false">_xlfn.UNICHAR(C172)</f>
        <v>ą</v>
      </c>
      <c r="F172" s="1" t="n">
        <f aca="false">C172-C171</f>
        <v/>
      </c>
      <c r="G172" s="13"/>
    </row>
    <row r="173" customFormat="false" ht="15" hidden="false" customHeight="false" outlineLevel="0" collapsed="false">
      <c r="A173" s="1" t="str">
        <f aca="false">_xlfn.TEXTJOIN( , ,"LATIN_",DEC2HEX(C172,4))</f>
        <v>LATIN_0106</v>
      </c>
      <c r="B173" s="11" t="str">
        <f aca="false">DEC2HEX(C172)</f>
        <v>106</v>
      </c>
      <c r="C173" s="1" t="n">
        <v>262</v>
      </c>
      <c r="D173" s="9" t="str">
        <f aca="false">DEC2HEX(C173,8)</f>
        <v>00000106</v>
      </c>
      <c r="E173" s="10" t="str">
        <f aca="false">_xlfn.UNICHAR(C173)</f>
        <v>Ć</v>
      </c>
      <c r="F173" s="1" t="n">
        <f aca="false">C173-C172</f>
        <v/>
      </c>
      <c r="G173" s="13"/>
    </row>
    <row r="174" customFormat="false" ht="15" hidden="false" customHeight="false" outlineLevel="0" collapsed="false">
      <c r="A174" s="1" t="str">
        <f aca="false">_xlfn.TEXTJOIN( , ,"LATIN_",DEC2HEX(C173,4))</f>
        <v>LATIN_0107</v>
      </c>
      <c r="B174" s="11" t="str">
        <f aca="false">DEC2HEX(C173)</f>
        <v>107</v>
      </c>
      <c r="C174" s="1" t="n">
        <v>263</v>
      </c>
      <c r="D174" s="9" t="str">
        <f aca="false">DEC2HEX(C174,8)</f>
        <v>00000107</v>
      </c>
      <c r="E174" s="10" t="str">
        <f aca="false">_xlfn.UNICHAR(C174)</f>
        <v>ć</v>
      </c>
      <c r="F174" s="1" t="n">
        <f aca="false">C174-C173</f>
        <v/>
      </c>
      <c r="G174" s="13"/>
    </row>
    <row r="175" customFormat="false" ht="15" hidden="false" customHeight="false" outlineLevel="0" collapsed="false">
      <c r="A175" s="1" t="str">
        <f aca="false">_xlfn.TEXTJOIN( , ,"LATIN_",DEC2HEX(C174,4))</f>
        <v>LATIN_0108</v>
      </c>
      <c r="B175" s="11" t="str">
        <f aca="false">DEC2HEX(C174)</f>
        <v>108</v>
      </c>
      <c r="C175" s="1" t="n">
        <v>264</v>
      </c>
      <c r="D175" s="9" t="str">
        <f aca="false">DEC2HEX(C175,8)</f>
        <v>00000108</v>
      </c>
      <c r="E175" s="10" t="str">
        <f aca="false">_xlfn.UNICHAR(C175)</f>
        <v>Ĉ</v>
      </c>
      <c r="F175" s="1" t="n">
        <f aca="false">C175-C174</f>
        <v/>
      </c>
      <c r="G175" s="13"/>
    </row>
    <row r="176" customFormat="false" ht="15" hidden="false" customHeight="false" outlineLevel="0" collapsed="false">
      <c r="A176" s="1" t="str">
        <f aca="false">_xlfn.TEXTJOIN( , ,"LATIN_",DEC2HEX(C175,4))</f>
        <v>LATIN_0109</v>
      </c>
      <c r="B176" s="11" t="str">
        <f aca="false">DEC2HEX(C175)</f>
        <v>109</v>
      </c>
      <c r="C176" s="1" t="n">
        <v>265</v>
      </c>
      <c r="D176" s="9" t="str">
        <f aca="false">DEC2HEX(C176,8)</f>
        <v>00000109</v>
      </c>
      <c r="E176" s="10" t="str">
        <f aca="false">_xlfn.UNICHAR(C176)</f>
        <v>ĉ</v>
      </c>
      <c r="F176" s="1" t="n">
        <f aca="false">C176-C175</f>
        <v/>
      </c>
      <c r="G176" s="13"/>
    </row>
    <row r="177" customFormat="false" ht="15" hidden="false" customHeight="false" outlineLevel="0" collapsed="false">
      <c r="A177" s="1" t="str">
        <f aca="false">_xlfn.TEXTJOIN( , ,"LATIN_",DEC2HEX(C176,4))</f>
        <v>LATIN_010A</v>
      </c>
      <c r="B177" s="11" t="str">
        <f aca="false">DEC2HEX(C176)</f>
        <v>10A</v>
      </c>
      <c r="C177" s="1" t="n">
        <v>266</v>
      </c>
      <c r="D177" s="9" t="str">
        <f aca="false">DEC2HEX(C177,8)</f>
        <v>0000010A</v>
      </c>
      <c r="E177" s="10" t="str">
        <f aca="false">_xlfn.UNICHAR(C177)</f>
        <v>Ċ</v>
      </c>
      <c r="F177" s="1" t="n">
        <f aca="false">C177-C176</f>
        <v/>
      </c>
      <c r="G177" s="13"/>
    </row>
    <row r="178" customFormat="false" ht="15" hidden="false" customHeight="false" outlineLevel="0" collapsed="false">
      <c r="A178" s="1" t="str">
        <f aca="false">_xlfn.TEXTJOIN( , ,"LATIN_",DEC2HEX(C177,4))</f>
        <v>LATIN_010B</v>
      </c>
      <c r="B178" s="11" t="str">
        <f aca="false">DEC2HEX(C177)</f>
        <v>10B</v>
      </c>
      <c r="C178" s="1" t="n">
        <v>267</v>
      </c>
      <c r="D178" s="9" t="str">
        <f aca="false">DEC2HEX(C178,8)</f>
        <v>0000010B</v>
      </c>
      <c r="E178" s="10" t="str">
        <f aca="false">_xlfn.UNICHAR(C178)</f>
        <v>ċ</v>
      </c>
      <c r="F178" s="1" t="n">
        <f aca="false">C178-C177</f>
        <v/>
      </c>
      <c r="G178" s="13"/>
    </row>
    <row r="179" customFormat="false" ht="15" hidden="false" customHeight="false" outlineLevel="0" collapsed="false">
      <c r="A179" s="1" t="str">
        <f aca="false">_xlfn.TEXTJOIN( , ,"LATIN_",DEC2HEX(C178,4))</f>
        <v>LATIN_010C</v>
      </c>
      <c r="B179" s="11" t="str">
        <f aca="false">DEC2HEX(C178)</f>
        <v>10C</v>
      </c>
      <c r="C179" s="1" t="n">
        <v>268</v>
      </c>
      <c r="D179" s="9" t="str">
        <f aca="false">DEC2HEX(C179,8)</f>
        <v>0000010C</v>
      </c>
      <c r="E179" s="10" t="str">
        <f aca="false">_xlfn.UNICHAR(C179)</f>
        <v>Č</v>
      </c>
      <c r="F179" s="1" t="n">
        <f aca="false">C179-C178</f>
        <v/>
      </c>
      <c r="G179" s="13"/>
    </row>
    <row r="180" customFormat="false" ht="15" hidden="false" customHeight="false" outlineLevel="0" collapsed="false">
      <c r="A180" s="1" t="str">
        <f aca="false">_xlfn.TEXTJOIN( , ,"LATIN_",DEC2HEX(C179,4))</f>
        <v>LATIN_010D</v>
      </c>
      <c r="B180" s="11" t="str">
        <f aca="false">DEC2HEX(C179)</f>
        <v>10D</v>
      </c>
      <c r="C180" s="1" t="n">
        <v>269</v>
      </c>
      <c r="D180" s="9" t="str">
        <f aca="false">DEC2HEX(C180,8)</f>
        <v>0000010D</v>
      </c>
      <c r="E180" s="10" t="str">
        <f aca="false">_xlfn.UNICHAR(C180)</f>
        <v>č</v>
      </c>
      <c r="F180" s="1" t="n">
        <f aca="false">C180-C179</f>
        <v/>
      </c>
      <c r="G180" s="13"/>
    </row>
    <row r="181" customFormat="false" ht="15" hidden="false" customHeight="false" outlineLevel="0" collapsed="false">
      <c r="A181" s="1" t="str">
        <f aca="false">_xlfn.TEXTJOIN( , ,"LATIN_",DEC2HEX(C180,4))</f>
        <v>LATIN_010E</v>
      </c>
      <c r="B181" s="11" t="str">
        <f aca="false">DEC2HEX(C180)</f>
        <v>10E</v>
      </c>
      <c r="C181" s="1" t="n">
        <v>270</v>
      </c>
      <c r="D181" s="9" t="str">
        <f aca="false">DEC2HEX(C181,8)</f>
        <v>0000010E</v>
      </c>
      <c r="E181" s="10" t="str">
        <f aca="false">_xlfn.UNICHAR(C181)</f>
        <v>Ď</v>
      </c>
      <c r="F181" s="1" t="n">
        <f aca="false">C181-C180</f>
        <v/>
      </c>
      <c r="G181" s="13"/>
    </row>
    <row r="182" customFormat="false" ht="15" hidden="false" customHeight="false" outlineLevel="0" collapsed="false">
      <c r="A182" s="1" t="str">
        <f aca="false">_xlfn.TEXTJOIN( , ,"LATIN_",DEC2HEX(C181,4))</f>
        <v>LATIN_010F</v>
      </c>
      <c r="B182" s="11" t="str">
        <f aca="false">DEC2HEX(C181)</f>
        <v>10F</v>
      </c>
      <c r="C182" s="1" t="n">
        <v>271</v>
      </c>
      <c r="D182" s="9" t="str">
        <f aca="false">DEC2HEX(C182,8)</f>
        <v>0000010F</v>
      </c>
      <c r="E182" s="10" t="str">
        <f aca="false">_xlfn.UNICHAR(C182)</f>
        <v>ď</v>
      </c>
      <c r="F182" s="1" t="n">
        <f aca="false">C182-C181</f>
        <v/>
      </c>
      <c r="G182" s="13"/>
    </row>
    <row r="183" customFormat="false" ht="15" hidden="false" customHeight="false" outlineLevel="0" collapsed="false">
      <c r="A183" s="1" t="str">
        <f aca="false">_xlfn.TEXTJOIN( , ,"LATIN_",DEC2HEX(C182,4))</f>
        <v>LATIN_0110</v>
      </c>
      <c r="B183" s="11" t="str">
        <f aca="false">DEC2HEX(C182)</f>
        <v>110</v>
      </c>
      <c r="C183" s="1" t="n">
        <v>272</v>
      </c>
      <c r="D183" s="9" t="str">
        <f aca="false">DEC2HEX(C183,8)</f>
        <v>00000110</v>
      </c>
      <c r="E183" s="10" t="str">
        <f aca="false">_xlfn.UNICHAR(C183)</f>
        <v>Đ</v>
      </c>
      <c r="F183" s="1" t="n">
        <f aca="false">C183-C182</f>
        <v/>
      </c>
      <c r="G183" s="13"/>
    </row>
    <row r="184" customFormat="false" ht="15" hidden="false" customHeight="false" outlineLevel="0" collapsed="false">
      <c r="A184" s="1" t="str">
        <f aca="false">_xlfn.TEXTJOIN( , ,"LATIN_",DEC2HEX(C183,4))</f>
        <v>LATIN_0111</v>
      </c>
      <c r="B184" s="11" t="str">
        <f aca="false">DEC2HEX(C183)</f>
        <v>111</v>
      </c>
      <c r="C184" s="1" t="n">
        <v>273</v>
      </c>
      <c r="D184" s="9" t="str">
        <f aca="false">DEC2HEX(C184,8)</f>
        <v>00000111</v>
      </c>
      <c r="E184" s="10" t="str">
        <f aca="false">_xlfn.UNICHAR(C184)</f>
        <v>đ</v>
      </c>
      <c r="F184" s="1" t="n">
        <f aca="false">C184-C183</f>
        <v/>
      </c>
      <c r="G184" s="13"/>
    </row>
    <row r="185" customFormat="false" ht="15" hidden="false" customHeight="false" outlineLevel="0" collapsed="false">
      <c r="A185" s="1" t="str">
        <f aca="false">_xlfn.TEXTJOIN( , ,"LATIN_",DEC2HEX(C184,4))</f>
        <v>LATIN_0112</v>
      </c>
      <c r="B185" s="11" t="str">
        <f aca="false">DEC2HEX(C184)</f>
        <v>112</v>
      </c>
      <c r="C185" s="1" t="n">
        <v>274</v>
      </c>
      <c r="D185" s="9" t="str">
        <f aca="false">DEC2HEX(C185,8)</f>
        <v>00000112</v>
      </c>
      <c r="E185" s="10" t="str">
        <f aca="false">_xlfn.UNICHAR(C185)</f>
        <v>Ē</v>
      </c>
      <c r="F185" s="1" t="n">
        <f aca="false">C185-C184</f>
        <v/>
      </c>
      <c r="G185" s="13"/>
    </row>
    <row r="186" customFormat="false" ht="15" hidden="false" customHeight="false" outlineLevel="0" collapsed="false">
      <c r="A186" s="1" t="str">
        <f aca="false">_xlfn.TEXTJOIN( , ,"LATIN_",DEC2HEX(C185,4))</f>
        <v>LATIN_0113</v>
      </c>
      <c r="B186" s="11" t="str">
        <f aca="false">DEC2HEX(C185)</f>
        <v>113</v>
      </c>
      <c r="C186" s="1" t="n">
        <v>275</v>
      </c>
      <c r="D186" s="9" t="str">
        <f aca="false">DEC2HEX(C186,8)</f>
        <v>00000113</v>
      </c>
      <c r="E186" s="10" t="str">
        <f aca="false">_xlfn.UNICHAR(C186)</f>
        <v>ē</v>
      </c>
      <c r="F186" s="1" t="n">
        <f aca="false">C186-C185</f>
        <v/>
      </c>
      <c r="G186" s="13"/>
    </row>
    <row r="187" customFormat="false" ht="15" hidden="false" customHeight="false" outlineLevel="0" collapsed="false">
      <c r="A187" s="1" t="str">
        <f aca="false">_xlfn.TEXTJOIN( , ,"LATIN_",DEC2HEX(C186,4))</f>
        <v>LATIN_0114</v>
      </c>
      <c r="B187" s="11" t="str">
        <f aca="false">DEC2HEX(C186)</f>
        <v>114</v>
      </c>
      <c r="C187" s="1" t="n">
        <v>276</v>
      </c>
      <c r="D187" s="9" t="str">
        <f aca="false">DEC2HEX(C187,8)</f>
        <v>00000114</v>
      </c>
      <c r="E187" s="10" t="str">
        <f aca="false">_xlfn.UNICHAR(C187)</f>
        <v>Ĕ</v>
      </c>
      <c r="F187" s="1" t="n">
        <f aca="false">C187-C186</f>
        <v/>
      </c>
      <c r="G187" s="13"/>
    </row>
    <row r="188" customFormat="false" ht="15" hidden="false" customHeight="false" outlineLevel="0" collapsed="false">
      <c r="A188" s="1" t="str">
        <f aca="false">_xlfn.TEXTJOIN( , ,"LATIN_",DEC2HEX(C187,4))</f>
        <v>LATIN_0115</v>
      </c>
      <c r="B188" s="11" t="str">
        <f aca="false">DEC2HEX(C187)</f>
        <v>115</v>
      </c>
      <c r="C188" s="1" t="n">
        <v>277</v>
      </c>
      <c r="D188" s="9" t="str">
        <f aca="false">DEC2HEX(C188,8)</f>
        <v>00000115</v>
      </c>
      <c r="E188" s="10" t="str">
        <f aca="false">_xlfn.UNICHAR(C188)</f>
        <v>ĕ</v>
      </c>
      <c r="F188" s="1" t="n">
        <f aca="false">C188-C187</f>
        <v/>
      </c>
      <c r="G188" s="13"/>
    </row>
    <row r="189" customFormat="false" ht="15" hidden="false" customHeight="false" outlineLevel="0" collapsed="false">
      <c r="A189" s="1" t="str">
        <f aca="false">_xlfn.TEXTJOIN( , ,"LATIN_",DEC2HEX(C188,4))</f>
        <v>LATIN_0116</v>
      </c>
      <c r="B189" s="11" t="str">
        <f aca="false">DEC2HEX(C188)</f>
        <v>116</v>
      </c>
      <c r="C189" s="1" t="n">
        <v>278</v>
      </c>
      <c r="D189" s="9" t="str">
        <f aca="false">DEC2HEX(C189,8)</f>
        <v>00000116</v>
      </c>
      <c r="E189" s="10" t="str">
        <f aca="false">_xlfn.UNICHAR(C189)</f>
        <v>Ė</v>
      </c>
      <c r="F189" s="1" t="n">
        <f aca="false">C189-C188</f>
        <v/>
      </c>
      <c r="G189" s="13"/>
    </row>
    <row r="190" customFormat="false" ht="15" hidden="false" customHeight="false" outlineLevel="0" collapsed="false">
      <c r="A190" s="1" t="str">
        <f aca="false">_xlfn.TEXTJOIN( , ,"LATIN_",DEC2HEX(C189,4))</f>
        <v>LATIN_0117</v>
      </c>
      <c r="B190" s="11" t="str">
        <f aca="false">DEC2HEX(C189)</f>
        <v>117</v>
      </c>
      <c r="C190" s="1" t="n">
        <v>279</v>
      </c>
      <c r="D190" s="9" t="str">
        <f aca="false">DEC2HEX(C190,8)</f>
        <v>00000117</v>
      </c>
      <c r="E190" s="10" t="str">
        <f aca="false">_xlfn.UNICHAR(C190)</f>
        <v>ė</v>
      </c>
      <c r="F190" s="1" t="n">
        <f aca="false">C190-C189</f>
        <v/>
      </c>
      <c r="G190" s="13"/>
    </row>
    <row r="191" customFormat="false" ht="15" hidden="false" customHeight="false" outlineLevel="0" collapsed="false">
      <c r="A191" s="1" t="str">
        <f aca="false">_xlfn.TEXTJOIN( , ,"LATIN_",DEC2HEX(C190,4))</f>
        <v>LATIN_0118</v>
      </c>
      <c r="B191" s="11" t="str">
        <f aca="false">DEC2HEX(C190)</f>
        <v>118</v>
      </c>
      <c r="C191" s="1" t="n">
        <v>280</v>
      </c>
      <c r="D191" s="9" t="str">
        <f aca="false">DEC2HEX(C191,8)</f>
        <v>00000118</v>
      </c>
      <c r="E191" s="10" t="str">
        <f aca="false">_xlfn.UNICHAR(C191)</f>
        <v>Ę</v>
      </c>
      <c r="F191" s="1" t="n">
        <f aca="false">C191-C190</f>
        <v/>
      </c>
      <c r="G191" s="13"/>
    </row>
    <row r="192" customFormat="false" ht="15" hidden="false" customHeight="false" outlineLevel="0" collapsed="false">
      <c r="A192" s="1" t="str">
        <f aca="false">_xlfn.TEXTJOIN( , ,"LATIN_",DEC2HEX(C191,4))</f>
        <v>LATIN_0119</v>
      </c>
      <c r="B192" s="11" t="str">
        <f aca="false">DEC2HEX(C191)</f>
        <v>119</v>
      </c>
      <c r="C192" s="1" t="n">
        <v>281</v>
      </c>
      <c r="D192" s="9" t="str">
        <f aca="false">DEC2HEX(C192,8)</f>
        <v>00000119</v>
      </c>
      <c r="E192" s="10" t="str">
        <f aca="false">_xlfn.UNICHAR(C192)</f>
        <v>ę</v>
      </c>
      <c r="F192" s="1" t="n">
        <f aca="false">C192-C191</f>
        <v/>
      </c>
      <c r="G192" s="13"/>
    </row>
    <row r="193" customFormat="false" ht="15" hidden="false" customHeight="false" outlineLevel="0" collapsed="false">
      <c r="A193" s="1" t="str">
        <f aca="false">_xlfn.TEXTJOIN( , ,"LATIN_",DEC2HEX(C192,4))</f>
        <v>LATIN_011A</v>
      </c>
      <c r="B193" s="11" t="str">
        <f aca="false">DEC2HEX(C192)</f>
        <v>11A</v>
      </c>
      <c r="C193" s="1" t="n">
        <v>282</v>
      </c>
      <c r="D193" s="9" t="str">
        <f aca="false">DEC2HEX(C193,8)</f>
        <v>0000011A</v>
      </c>
      <c r="E193" s="10" t="str">
        <f aca="false">_xlfn.UNICHAR(C193)</f>
        <v>Ě</v>
      </c>
      <c r="F193" s="1" t="n">
        <f aca="false">C193-C192</f>
        <v/>
      </c>
      <c r="G193" s="13"/>
    </row>
    <row r="194" customFormat="false" ht="15" hidden="false" customHeight="false" outlineLevel="0" collapsed="false">
      <c r="A194" s="1" t="str">
        <f aca="false">_xlfn.TEXTJOIN( , ,"LATIN_",DEC2HEX(C193,4))</f>
        <v>LATIN_011B</v>
      </c>
      <c r="B194" s="11" t="str">
        <f aca="false">DEC2HEX(C193)</f>
        <v>11B</v>
      </c>
      <c r="C194" s="1" t="n">
        <v>283</v>
      </c>
      <c r="D194" s="9" t="str">
        <f aca="false">DEC2HEX(C194,8)</f>
        <v>0000011B</v>
      </c>
      <c r="E194" s="10" t="str">
        <f aca="false">_xlfn.UNICHAR(C194)</f>
        <v>ě</v>
      </c>
      <c r="F194" s="1" t="n">
        <f aca="false">C194-C193</f>
        <v/>
      </c>
      <c r="G194" s="13"/>
    </row>
    <row r="195" customFormat="false" ht="15" hidden="false" customHeight="false" outlineLevel="0" collapsed="false">
      <c r="A195" s="1" t="str">
        <f aca="false">_xlfn.TEXTJOIN( , ,"LATIN_",DEC2HEX(C194,4))</f>
        <v>LATIN_011C</v>
      </c>
      <c r="B195" s="11" t="str">
        <f aca="false">DEC2HEX(C194)</f>
        <v>11C</v>
      </c>
      <c r="C195" s="1" t="n">
        <v>284</v>
      </c>
      <c r="D195" s="9" t="str">
        <f aca="false">DEC2HEX(C195,8)</f>
        <v>0000011C</v>
      </c>
      <c r="E195" s="10" t="str">
        <f aca="false">_xlfn.UNICHAR(C195)</f>
        <v>Ĝ</v>
      </c>
      <c r="F195" s="1" t="n">
        <f aca="false">C195-C194</f>
        <v/>
      </c>
      <c r="G195" s="13"/>
    </row>
    <row r="196" customFormat="false" ht="15" hidden="false" customHeight="false" outlineLevel="0" collapsed="false">
      <c r="A196" s="1" t="str">
        <f aca="false">_xlfn.TEXTJOIN( , ,"LATIN_",DEC2HEX(C195,4))</f>
        <v>LATIN_011D</v>
      </c>
      <c r="B196" s="11" t="str">
        <f aca="false">DEC2HEX(C195)</f>
        <v>11D</v>
      </c>
      <c r="C196" s="1" t="n">
        <v>285</v>
      </c>
      <c r="D196" s="9" t="str">
        <f aca="false">DEC2HEX(C196,8)</f>
        <v>0000011D</v>
      </c>
      <c r="E196" s="10" t="str">
        <f aca="false">_xlfn.UNICHAR(C196)</f>
        <v>ĝ</v>
      </c>
      <c r="F196" s="1" t="n">
        <f aca="false">C196-C195</f>
        <v/>
      </c>
      <c r="G196" s="13"/>
    </row>
    <row r="197" customFormat="false" ht="15" hidden="false" customHeight="false" outlineLevel="0" collapsed="false">
      <c r="A197" s="1" t="str">
        <f aca="false">_xlfn.TEXTJOIN( , ,"LATIN_",DEC2HEX(C196,4))</f>
        <v>LATIN_011E</v>
      </c>
      <c r="B197" s="11" t="str">
        <f aca="false">DEC2HEX(C196)</f>
        <v>11E</v>
      </c>
      <c r="C197" s="1" t="n">
        <v>286</v>
      </c>
      <c r="D197" s="9" t="str">
        <f aca="false">DEC2HEX(C197,8)</f>
        <v>0000011E</v>
      </c>
      <c r="E197" s="10" t="str">
        <f aca="false">_xlfn.UNICHAR(C197)</f>
        <v>Ğ</v>
      </c>
      <c r="F197" s="1" t="n">
        <f aca="false">C197-C196</f>
        <v/>
      </c>
      <c r="G197" s="13"/>
    </row>
    <row r="198" customFormat="false" ht="15" hidden="false" customHeight="false" outlineLevel="0" collapsed="false">
      <c r="A198" s="1" t="str">
        <f aca="false">_xlfn.TEXTJOIN( , ,"LATIN_",DEC2HEX(C197,4))</f>
        <v>LATIN_011F</v>
      </c>
      <c r="B198" s="11" t="str">
        <f aca="false">DEC2HEX(C197)</f>
        <v>11F</v>
      </c>
      <c r="C198" s="1" t="n">
        <v>287</v>
      </c>
      <c r="D198" s="9" t="str">
        <f aca="false">DEC2HEX(C198,8)</f>
        <v>0000011F</v>
      </c>
      <c r="E198" s="10" t="str">
        <f aca="false">_xlfn.UNICHAR(C198)</f>
        <v>ğ</v>
      </c>
      <c r="F198" s="1" t="n">
        <f aca="false">C198-C197</f>
        <v/>
      </c>
      <c r="G198" s="13"/>
    </row>
    <row r="199" customFormat="false" ht="15" hidden="false" customHeight="false" outlineLevel="0" collapsed="false">
      <c r="A199" s="1" t="str">
        <f aca="false">_xlfn.TEXTJOIN( , ,"LATIN_",DEC2HEX(C198,4))</f>
        <v>LATIN_0120</v>
      </c>
      <c r="B199" s="11" t="str">
        <f aca="false">DEC2HEX(C198)</f>
        <v>120</v>
      </c>
      <c r="C199" s="1" t="n">
        <v>288</v>
      </c>
      <c r="D199" s="9" t="str">
        <f aca="false">DEC2HEX(C199,8)</f>
        <v>00000120</v>
      </c>
      <c r="E199" s="10" t="str">
        <f aca="false">_xlfn.UNICHAR(C199)</f>
        <v>Ġ</v>
      </c>
      <c r="F199" s="1" t="n">
        <f aca="false">C199-C198</f>
        <v/>
      </c>
      <c r="G199" s="13"/>
    </row>
    <row r="200" customFormat="false" ht="15" hidden="false" customHeight="false" outlineLevel="0" collapsed="false">
      <c r="A200" s="1" t="str">
        <f aca="false">_xlfn.TEXTJOIN( , ,"LATIN_",DEC2HEX(C199,4))</f>
        <v>LATIN_0121</v>
      </c>
      <c r="B200" s="11" t="str">
        <f aca="false">DEC2HEX(C199)</f>
        <v>121</v>
      </c>
      <c r="C200" s="1" t="n">
        <v>289</v>
      </c>
      <c r="D200" s="9" t="str">
        <f aca="false">DEC2HEX(C200,8)</f>
        <v>00000121</v>
      </c>
      <c r="E200" s="10" t="str">
        <f aca="false">_xlfn.UNICHAR(C200)</f>
        <v>ġ</v>
      </c>
      <c r="F200" s="1" t="n">
        <f aca="false">C200-C199</f>
        <v/>
      </c>
      <c r="G200" s="13"/>
    </row>
    <row r="201" customFormat="false" ht="15" hidden="false" customHeight="false" outlineLevel="0" collapsed="false">
      <c r="A201" s="1" t="str">
        <f aca="false">_xlfn.TEXTJOIN( , ,"LATIN_",DEC2HEX(C200,4))</f>
        <v>LATIN_0122</v>
      </c>
      <c r="B201" s="11" t="str">
        <f aca="false">DEC2HEX(C200)</f>
        <v>122</v>
      </c>
      <c r="C201" s="1" t="n">
        <v>290</v>
      </c>
      <c r="D201" s="9" t="str">
        <f aca="false">DEC2HEX(C201,8)</f>
        <v>00000122</v>
      </c>
      <c r="E201" s="10" t="str">
        <f aca="false">_xlfn.UNICHAR(C201)</f>
        <v>Ģ</v>
      </c>
      <c r="F201" s="1" t="n">
        <f aca="false">C201-C200</f>
        <v/>
      </c>
      <c r="G201" s="13"/>
    </row>
    <row r="202" customFormat="false" ht="15" hidden="false" customHeight="false" outlineLevel="0" collapsed="false">
      <c r="A202" s="1" t="str">
        <f aca="false">_xlfn.TEXTJOIN( , ,"LATIN_",DEC2HEX(C201,4))</f>
        <v>LATIN_0123</v>
      </c>
      <c r="B202" s="11" t="str">
        <f aca="false">DEC2HEX(C201)</f>
        <v>123</v>
      </c>
      <c r="C202" s="1" t="n">
        <v>291</v>
      </c>
      <c r="D202" s="9" t="str">
        <f aca="false">DEC2HEX(C202,8)</f>
        <v>00000123</v>
      </c>
      <c r="E202" s="10" t="str">
        <f aca="false">_xlfn.UNICHAR(C202)</f>
        <v>ģ</v>
      </c>
      <c r="F202" s="1" t="n">
        <f aca="false">C202-C201</f>
        <v/>
      </c>
      <c r="G202" s="13"/>
    </row>
    <row r="203" customFormat="false" ht="15" hidden="false" customHeight="false" outlineLevel="0" collapsed="false">
      <c r="A203" s="1" t="str">
        <f aca="false">_xlfn.TEXTJOIN( , ,"LATIN_",DEC2HEX(C202,4))</f>
        <v>LATIN_0124</v>
      </c>
      <c r="B203" s="11" t="str">
        <f aca="false">DEC2HEX(C202)</f>
        <v>124</v>
      </c>
      <c r="C203" s="1" t="n">
        <v>292</v>
      </c>
      <c r="D203" s="9" t="str">
        <f aca="false">DEC2HEX(C203,8)</f>
        <v>00000124</v>
      </c>
      <c r="E203" s="10" t="str">
        <f aca="false">_xlfn.UNICHAR(C203)</f>
        <v>Ĥ</v>
      </c>
      <c r="F203" s="1" t="n">
        <f aca="false">C203-C202</f>
        <v/>
      </c>
      <c r="G203" s="13"/>
    </row>
    <row r="204" customFormat="false" ht="15" hidden="false" customHeight="false" outlineLevel="0" collapsed="false">
      <c r="A204" s="1" t="str">
        <f aca="false">_xlfn.TEXTJOIN( , ,"LATIN_",DEC2HEX(C203,4))</f>
        <v>LATIN_0125</v>
      </c>
      <c r="B204" s="11" t="str">
        <f aca="false">DEC2HEX(C203)</f>
        <v>125</v>
      </c>
      <c r="C204" s="1" t="n">
        <v>293</v>
      </c>
      <c r="D204" s="9" t="str">
        <f aca="false">DEC2HEX(C204,8)</f>
        <v>00000125</v>
      </c>
      <c r="E204" s="10" t="str">
        <f aca="false">_xlfn.UNICHAR(C204)</f>
        <v>ĥ</v>
      </c>
      <c r="F204" s="1" t="n">
        <f aca="false">C204-C203</f>
        <v/>
      </c>
      <c r="G204" s="13"/>
    </row>
    <row r="205" customFormat="false" ht="15" hidden="false" customHeight="false" outlineLevel="0" collapsed="false">
      <c r="A205" s="1" t="str">
        <f aca="false">_xlfn.TEXTJOIN( , ,"LATIN_",DEC2HEX(C204,4))</f>
        <v>LATIN_0126</v>
      </c>
      <c r="B205" s="11" t="str">
        <f aca="false">DEC2HEX(C204)</f>
        <v>126</v>
      </c>
      <c r="C205" s="1" t="n">
        <v>294</v>
      </c>
      <c r="D205" s="9" t="str">
        <f aca="false">DEC2HEX(C205,8)</f>
        <v>00000126</v>
      </c>
      <c r="E205" s="10" t="str">
        <f aca="false">_xlfn.UNICHAR(C205)</f>
        <v>Ħ</v>
      </c>
      <c r="F205" s="1" t="n">
        <f aca="false">C205-C204</f>
        <v/>
      </c>
      <c r="G205" s="13"/>
    </row>
    <row r="206" customFormat="false" ht="15" hidden="false" customHeight="false" outlineLevel="0" collapsed="false">
      <c r="A206" s="1" t="str">
        <f aca="false">_xlfn.TEXTJOIN( , ,"LATIN_",DEC2HEX(C205,4))</f>
        <v>LATIN_0127</v>
      </c>
      <c r="B206" s="11" t="str">
        <f aca="false">DEC2HEX(C205)</f>
        <v>127</v>
      </c>
      <c r="C206" s="1" t="n">
        <v>295</v>
      </c>
      <c r="D206" s="9" t="str">
        <f aca="false">DEC2HEX(C206,8)</f>
        <v>00000127</v>
      </c>
      <c r="E206" s="10" t="str">
        <f aca="false">_xlfn.UNICHAR(C206)</f>
        <v>ħ</v>
      </c>
      <c r="F206" s="1" t="n">
        <f aca="false">C206-C205</f>
        <v/>
      </c>
      <c r="G206" s="13"/>
    </row>
    <row r="207" customFormat="false" ht="15" hidden="false" customHeight="false" outlineLevel="0" collapsed="false">
      <c r="A207" s="1" t="str">
        <f aca="false">_xlfn.TEXTJOIN( , ,"LATIN_",DEC2HEX(C206,4))</f>
        <v>LATIN_0128</v>
      </c>
      <c r="B207" s="11" t="str">
        <f aca="false">DEC2HEX(C206)</f>
        <v>128</v>
      </c>
      <c r="C207" s="1" t="n">
        <v>296</v>
      </c>
      <c r="D207" s="9" t="str">
        <f aca="false">DEC2HEX(C207,8)</f>
        <v>00000128</v>
      </c>
      <c r="E207" s="10" t="str">
        <f aca="false">_xlfn.UNICHAR(C207)</f>
        <v>Ĩ</v>
      </c>
      <c r="F207" s="1" t="n">
        <f aca="false">C207-C206</f>
        <v/>
      </c>
      <c r="G207" s="13"/>
    </row>
    <row r="208" customFormat="false" ht="15" hidden="false" customHeight="false" outlineLevel="0" collapsed="false">
      <c r="A208" s="1" t="str">
        <f aca="false">_xlfn.TEXTJOIN( , ,"LATIN_",DEC2HEX(C207,4))</f>
        <v>LATIN_0129</v>
      </c>
      <c r="B208" s="11" t="str">
        <f aca="false">DEC2HEX(C207)</f>
        <v>129</v>
      </c>
      <c r="C208" s="1" t="n">
        <v>297</v>
      </c>
      <c r="D208" s="9" t="str">
        <f aca="false">DEC2HEX(C208,8)</f>
        <v>00000129</v>
      </c>
      <c r="E208" s="10" t="str">
        <f aca="false">_xlfn.UNICHAR(C208)</f>
        <v>ĩ</v>
      </c>
      <c r="F208" s="1" t="n">
        <f aca="false">C208-C207</f>
        <v/>
      </c>
      <c r="G208" s="13"/>
    </row>
    <row r="209" customFormat="false" ht="15" hidden="false" customHeight="false" outlineLevel="0" collapsed="false">
      <c r="A209" s="1" t="str">
        <f aca="false">_xlfn.TEXTJOIN( , ,"LATIN_",DEC2HEX(C208,4))</f>
        <v>LATIN_012A</v>
      </c>
      <c r="B209" s="11" t="str">
        <f aca="false">DEC2HEX(C208)</f>
        <v>12A</v>
      </c>
      <c r="C209" s="1" t="n">
        <v>298</v>
      </c>
      <c r="D209" s="9" t="str">
        <f aca="false">DEC2HEX(C209,8)</f>
        <v>0000012A</v>
      </c>
      <c r="E209" s="10" t="str">
        <f aca="false">_xlfn.UNICHAR(C209)</f>
        <v>Ī</v>
      </c>
      <c r="F209" s="1" t="n">
        <f aca="false">C209-C208</f>
        <v/>
      </c>
      <c r="G209" s="13"/>
    </row>
    <row r="210" customFormat="false" ht="15" hidden="false" customHeight="false" outlineLevel="0" collapsed="false">
      <c r="A210" s="1" t="str">
        <f aca="false">_xlfn.TEXTJOIN( , ,"LATIN_",DEC2HEX(C209,4))</f>
        <v>LATIN_012B</v>
      </c>
      <c r="B210" s="11" t="str">
        <f aca="false">DEC2HEX(C209)</f>
        <v>12B</v>
      </c>
      <c r="C210" s="1" t="n">
        <v>299</v>
      </c>
      <c r="D210" s="9" t="str">
        <f aca="false">DEC2HEX(C210,8)</f>
        <v>0000012B</v>
      </c>
      <c r="E210" s="10" t="str">
        <f aca="false">_xlfn.UNICHAR(C210)</f>
        <v>ī</v>
      </c>
      <c r="F210" s="1" t="n">
        <f aca="false">C210-C209</f>
        <v/>
      </c>
      <c r="G210" s="13"/>
    </row>
    <row r="211" customFormat="false" ht="15" hidden="false" customHeight="false" outlineLevel="0" collapsed="false">
      <c r="A211" s="1" t="str">
        <f aca="false">_xlfn.TEXTJOIN( , ,"LATIN_",DEC2HEX(C210,4))</f>
        <v>LATIN_012C</v>
      </c>
      <c r="B211" s="11" t="str">
        <f aca="false">DEC2HEX(C210)</f>
        <v>12C</v>
      </c>
      <c r="C211" s="1" t="n">
        <v>300</v>
      </c>
      <c r="D211" s="9" t="str">
        <f aca="false">DEC2HEX(C211,8)</f>
        <v>0000012C</v>
      </c>
      <c r="E211" s="10" t="str">
        <f aca="false">_xlfn.UNICHAR(C211)</f>
        <v>Ĭ</v>
      </c>
      <c r="F211" s="1" t="n">
        <f aca="false">C211-C210</f>
        <v/>
      </c>
      <c r="G211" s="13"/>
    </row>
    <row r="212" customFormat="false" ht="15" hidden="false" customHeight="false" outlineLevel="0" collapsed="false">
      <c r="A212" s="1" t="str">
        <f aca="false">_xlfn.TEXTJOIN( , ,"LATIN_",DEC2HEX(C211,4))</f>
        <v>LATIN_012D</v>
      </c>
      <c r="B212" s="11" t="str">
        <f aca="false">DEC2HEX(C211)</f>
        <v>12D</v>
      </c>
      <c r="C212" s="1" t="n">
        <v>301</v>
      </c>
      <c r="D212" s="9" t="str">
        <f aca="false">DEC2HEX(C212,8)</f>
        <v>0000012D</v>
      </c>
      <c r="E212" s="10" t="str">
        <f aca="false">_xlfn.UNICHAR(C212)</f>
        <v>ĭ</v>
      </c>
      <c r="F212" s="1" t="n">
        <f aca="false">C212-C211</f>
        <v/>
      </c>
      <c r="G212" s="13"/>
    </row>
    <row r="213" customFormat="false" ht="15" hidden="false" customHeight="false" outlineLevel="0" collapsed="false">
      <c r="A213" s="1" t="str">
        <f aca="false">_xlfn.TEXTJOIN( , ,"LATIN_",DEC2HEX(C212,4))</f>
        <v>LATIN_012E</v>
      </c>
      <c r="B213" s="11" t="str">
        <f aca="false">DEC2HEX(C212)</f>
        <v>12E</v>
      </c>
      <c r="C213" s="1" t="n">
        <v>302</v>
      </c>
      <c r="D213" s="9" t="str">
        <f aca="false">DEC2HEX(C213,8)</f>
        <v>0000012E</v>
      </c>
      <c r="E213" s="10" t="str">
        <f aca="false">_xlfn.UNICHAR(C213)</f>
        <v>Į</v>
      </c>
      <c r="F213" s="1" t="n">
        <f aca="false">C213-C212</f>
        <v/>
      </c>
      <c r="G213" s="13"/>
    </row>
    <row r="214" customFormat="false" ht="15" hidden="false" customHeight="false" outlineLevel="0" collapsed="false">
      <c r="A214" s="1" t="str">
        <f aca="false">_xlfn.TEXTJOIN( , ,"LATIN_",DEC2HEX(C213,4))</f>
        <v>LATIN_012F</v>
      </c>
      <c r="B214" s="11" t="str">
        <f aca="false">DEC2HEX(C213)</f>
        <v>12F</v>
      </c>
      <c r="C214" s="1" t="n">
        <v>303</v>
      </c>
      <c r="D214" s="9" t="str">
        <f aca="false">DEC2HEX(C214,8)</f>
        <v>0000012F</v>
      </c>
      <c r="E214" s="10" t="str">
        <f aca="false">_xlfn.UNICHAR(C214)</f>
        <v>į</v>
      </c>
      <c r="F214" s="1" t="n">
        <f aca="false">C214-C213</f>
        <v/>
      </c>
      <c r="G214" s="13"/>
    </row>
    <row r="215" customFormat="false" ht="15" hidden="false" customHeight="false" outlineLevel="0" collapsed="false">
      <c r="A215" s="1" t="str">
        <f aca="false">_xlfn.TEXTJOIN( , ,"LATIN_",DEC2HEX(C214,4))</f>
        <v>LATIN_0130</v>
      </c>
      <c r="B215" s="11" t="str">
        <f aca="false">DEC2HEX(C214)</f>
        <v>130</v>
      </c>
      <c r="C215" s="1" t="n">
        <v>304</v>
      </c>
      <c r="D215" s="9" t="str">
        <f aca="false">DEC2HEX(C215,8)</f>
        <v>00000130</v>
      </c>
      <c r="E215" s="10" t="str">
        <f aca="false">_xlfn.UNICHAR(C215)</f>
        <v>İ</v>
      </c>
      <c r="F215" s="1" t="n">
        <f aca="false">C215-C214</f>
        <v/>
      </c>
      <c r="G215" s="13"/>
    </row>
    <row r="216" customFormat="false" ht="15" hidden="false" customHeight="false" outlineLevel="0" collapsed="false">
      <c r="A216" s="1" t="str">
        <f aca="false">_xlfn.TEXTJOIN( , ,"LATIN_",DEC2HEX(C215,4))</f>
        <v>LATIN_0131</v>
      </c>
      <c r="B216" s="11" t="str">
        <f aca="false">DEC2HEX(C215)</f>
        <v>131</v>
      </c>
      <c r="C216" s="1" t="n">
        <v>305</v>
      </c>
      <c r="D216" s="9" t="str">
        <f aca="false">DEC2HEX(C216,8)</f>
        <v>00000131</v>
      </c>
      <c r="E216" s="10" t="str">
        <f aca="false">_xlfn.UNICHAR(C216)</f>
        <v>ı</v>
      </c>
      <c r="F216" s="1" t="n">
        <f aca="false">C216-C215</f>
        <v/>
      </c>
      <c r="G216" s="13"/>
    </row>
    <row r="217" customFormat="false" ht="15" hidden="false" customHeight="false" outlineLevel="0" collapsed="false">
      <c r="A217" s="1" t="str">
        <f aca="false">_xlfn.TEXTJOIN( , ,"LATIN_",DEC2HEX(C216,4))</f>
        <v>LATIN_0132</v>
      </c>
      <c r="B217" s="11" t="str">
        <f aca="false">DEC2HEX(C216)</f>
        <v>132</v>
      </c>
      <c r="C217" s="1" t="n">
        <v>306</v>
      </c>
      <c r="D217" s="9" t="str">
        <f aca="false">DEC2HEX(C217,8)</f>
        <v>00000132</v>
      </c>
      <c r="E217" s="10" t="str">
        <f aca="false">_xlfn.UNICHAR(C217)</f>
        <v>Ĳ</v>
      </c>
      <c r="F217" s="1" t="n">
        <f aca="false">C217-C216</f>
        <v/>
      </c>
      <c r="G217" s="13"/>
    </row>
    <row r="218" customFormat="false" ht="15" hidden="false" customHeight="false" outlineLevel="0" collapsed="false">
      <c r="A218" s="1" t="str">
        <f aca="false">_xlfn.TEXTJOIN( , ,"LATIN_",DEC2HEX(C217,4))</f>
        <v>LATIN_0133</v>
      </c>
      <c r="B218" s="11" t="str">
        <f aca="false">DEC2HEX(C217)</f>
        <v>133</v>
      </c>
      <c r="C218" s="1" t="n">
        <v>307</v>
      </c>
      <c r="D218" s="9" t="str">
        <f aca="false">DEC2HEX(C218,8)</f>
        <v>00000133</v>
      </c>
      <c r="E218" s="10" t="str">
        <f aca="false">_xlfn.UNICHAR(C218)</f>
        <v>ĳ</v>
      </c>
      <c r="F218" s="1" t="n">
        <f aca="false">C218-C217</f>
        <v/>
      </c>
      <c r="G218" s="13"/>
    </row>
    <row r="219" customFormat="false" ht="15" hidden="false" customHeight="false" outlineLevel="0" collapsed="false">
      <c r="A219" s="1" t="str">
        <f aca="false">_xlfn.TEXTJOIN( , ,"LATIN_",DEC2HEX(C218,4))</f>
        <v>LATIN_0134</v>
      </c>
      <c r="B219" s="11" t="str">
        <f aca="false">DEC2HEX(C218)</f>
        <v>134</v>
      </c>
      <c r="C219" s="1" t="n">
        <v>308</v>
      </c>
      <c r="D219" s="9" t="str">
        <f aca="false">DEC2HEX(C219,8)</f>
        <v>00000134</v>
      </c>
      <c r="E219" s="10" t="str">
        <f aca="false">_xlfn.UNICHAR(C219)</f>
        <v>Ĵ</v>
      </c>
      <c r="F219" s="1" t="n">
        <f aca="false">C219-C218</f>
        <v/>
      </c>
      <c r="G219" s="13"/>
    </row>
    <row r="220" customFormat="false" ht="15" hidden="false" customHeight="false" outlineLevel="0" collapsed="false">
      <c r="A220" s="1" t="str">
        <f aca="false">_xlfn.TEXTJOIN( , ,"LATIN_",DEC2HEX(C219,4))</f>
        <v>LATIN_0135</v>
      </c>
      <c r="B220" s="11" t="str">
        <f aca="false">DEC2HEX(C219)</f>
        <v>135</v>
      </c>
      <c r="C220" s="1" t="n">
        <v>309</v>
      </c>
      <c r="D220" s="9" t="str">
        <f aca="false">DEC2HEX(C220,8)</f>
        <v>00000135</v>
      </c>
      <c r="E220" s="10" t="str">
        <f aca="false">_xlfn.UNICHAR(C220)</f>
        <v>ĵ</v>
      </c>
      <c r="F220" s="1" t="n">
        <f aca="false">C220-C219</f>
        <v/>
      </c>
      <c r="G220" s="13"/>
    </row>
    <row r="221" customFormat="false" ht="15" hidden="false" customHeight="false" outlineLevel="0" collapsed="false">
      <c r="A221" s="1" t="str">
        <f aca="false">_xlfn.TEXTJOIN( , ,"LATIN_",DEC2HEX(C220,4))</f>
        <v>LATIN_0136</v>
      </c>
      <c r="B221" s="11" t="str">
        <f aca="false">DEC2HEX(C220)</f>
        <v>136</v>
      </c>
      <c r="C221" s="1" t="n">
        <v>310</v>
      </c>
      <c r="D221" s="9" t="str">
        <f aca="false">DEC2HEX(C221,8)</f>
        <v>00000136</v>
      </c>
      <c r="E221" s="10" t="str">
        <f aca="false">_xlfn.UNICHAR(C221)</f>
        <v>Ķ</v>
      </c>
      <c r="F221" s="1" t="n">
        <f aca="false">C221-C220</f>
        <v/>
      </c>
      <c r="G221" s="13"/>
    </row>
    <row r="222" customFormat="false" ht="15" hidden="false" customHeight="false" outlineLevel="0" collapsed="false">
      <c r="A222" s="1" t="str">
        <f aca="false">_xlfn.TEXTJOIN( , ,"LATIN_",DEC2HEX(C221,4))</f>
        <v>LATIN_0137</v>
      </c>
      <c r="B222" s="11" t="str">
        <f aca="false">DEC2HEX(C221)</f>
        <v>137</v>
      </c>
      <c r="C222" s="1" t="n">
        <v>311</v>
      </c>
      <c r="D222" s="9" t="str">
        <f aca="false">DEC2HEX(C222,8)</f>
        <v>00000137</v>
      </c>
      <c r="E222" s="10" t="str">
        <f aca="false">_xlfn.UNICHAR(C222)</f>
        <v>ķ</v>
      </c>
      <c r="F222" s="1" t="n">
        <f aca="false">C222-C221</f>
        <v/>
      </c>
      <c r="G222" s="13"/>
    </row>
    <row r="223" customFormat="false" ht="15" hidden="false" customHeight="false" outlineLevel="0" collapsed="false">
      <c r="A223" s="1" t="str">
        <f aca="false">_xlfn.TEXTJOIN( , ,"LATIN_",DEC2HEX(C222,4))</f>
        <v>LATIN_0138</v>
      </c>
      <c r="B223" s="11" t="str">
        <f aca="false">DEC2HEX(C222)</f>
        <v>138</v>
      </c>
      <c r="C223" s="1" t="n">
        <v>312</v>
      </c>
      <c r="D223" s="9" t="str">
        <f aca="false">DEC2HEX(C223,8)</f>
        <v>00000138</v>
      </c>
      <c r="E223" s="10" t="str">
        <f aca="false">_xlfn.UNICHAR(C223)</f>
        <v>ĸ</v>
      </c>
      <c r="F223" s="1" t="n">
        <f aca="false">C223-C222</f>
        <v/>
      </c>
      <c r="G223" s="13"/>
    </row>
    <row r="224" customFormat="false" ht="15" hidden="false" customHeight="false" outlineLevel="0" collapsed="false">
      <c r="A224" s="1" t="str">
        <f aca="false">_xlfn.TEXTJOIN( , ,"LATIN_",DEC2HEX(C223,4))</f>
        <v>LATIN_0139</v>
      </c>
      <c r="B224" s="11" t="str">
        <f aca="false">DEC2HEX(C223)</f>
        <v>139</v>
      </c>
      <c r="C224" s="1" t="n">
        <v>313</v>
      </c>
      <c r="D224" s="9" t="str">
        <f aca="false">DEC2HEX(C224,8)</f>
        <v>00000139</v>
      </c>
      <c r="E224" s="10" t="str">
        <f aca="false">_xlfn.UNICHAR(C224)</f>
        <v>Ĺ</v>
      </c>
      <c r="F224" s="1" t="n">
        <f aca="false">C224-C223</f>
        <v/>
      </c>
      <c r="G224" s="13"/>
    </row>
    <row r="225" customFormat="false" ht="15" hidden="false" customHeight="false" outlineLevel="0" collapsed="false">
      <c r="A225" s="1" t="str">
        <f aca="false">_xlfn.TEXTJOIN( , ,"LATIN_",DEC2HEX(C224,4))</f>
        <v>LATIN_013A</v>
      </c>
      <c r="B225" s="11" t="str">
        <f aca="false">DEC2HEX(C224)</f>
        <v>13A</v>
      </c>
      <c r="C225" s="1" t="n">
        <v>314</v>
      </c>
      <c r="D225" s="9" t="str">
        <f aca="false">DEC2HEX(C225,8)</f>
        <v>0000013A</v>
      </c>
      <c r="E225" s="10" t="str">
        <f aca="false">_xlfn.UNICHAR(C225)</f>
        <v>ĺ</v>
      </c>
      <c r="F225" s="1" t="n">
        <f aca="false">C225-C224</f>
        <v/>
      </c>
      <c r="G225" s="13"/>
    </row>
    <row r="226" customFormat="false" ht="15" hidden="false" customHeight="false" outlineLevel="0" collapsed="false">
      <c r="A226" s="1" t="str">
        <f aca="false">_xlfn.TEXTJOIN( , ,"LATIN_",DEC2HEX(C225,4))</f>
        <v>LATIN_013B</v>
      </c>
      <c r="B226" s="11" t="str">
        <f aca="false">DEC2HEX(C225)</f>
        <v>13B</v>
      </c>
      <c r="C226" s="1" t="n">
        <v>315</v>
      </c>
      <c r="D226" s="9" t="str">
        <f aca="false">DEC2HEX(C226,8)</f>
        <v>0000013B</v>
      </c>
      <c r="E226" s="10" t="str">
        <f aca="false">_xlfn.UNICHAR(C226)</f>
        <v>Ļ</v>
      </c>
      <c r="F226" s="1" t="n">
        <f aca="false">C226-C225</f>
        <v/>
      </c>
      <c r="G226" s="13"/>
    </row>
    <row r="227" customFormat="false" ht="15" hidden="false" customHeight="false" outlineLevel="0" collapsed="false">
      <c r="A227" s="1" t="str">
        <f aca="false">_xlfn.TEXTJOIN( , ,"LATIN_",DEC2HEX(C226,4))</f>
        <v>LATIN_013C</v>
      </c>
      <c r="B227" s="11" t="str">
        <f aca="false">DEC2HEX(C226)</f>
        <v>13C</v>
      </c>
      <c r="C227" s="1" t="n">
        <v>316</v>
      </c>
      <c r="D227" s="9" t="str">
        <f aca="false">DEC2HEX(C227,8)</f>
        <v>0000013C</v>
      </c>
      <c r="E227" s="10" t="str">
        <f aca="false">_xlfn.UNICHAR(C227)</f>
        <v>ļ</v>
      </c>
      <c r="F227" s="1" t="n">
        <f aca="false">C227-C226</f>
        <v/>
      </c>
      <c r="G227" s="13"/>
    </row>
    <row r="228" customFormat="false" ht="15" hidden="false" customHeight="false" outlineLevel="0" collapsed="false">
      <c r="A228" s="1" t="str">
        <f aca="false">_xlfn.TEXTJOIN( , ,"LATIN_",DEC2HEX(C227,4))</f>
        <v>LATIN_013D</v>
      </c>
      <c r="B228" s="11" t="str">
        <f aca="false">DEC2HEX(C227)</f>
        <v>13D</v>
      </c>
      <c r="C228" s="1" t="n">
        <v>317</v>
      </c>
      <c r="D228" s="9" t="str">
        <f aca="false">DEC2HEX(C228,8)</f>
        <v>0000013D</v>
      </c>
      <c r="E228" s="10" t="str">
        <f aca="false">_xlfn.UNICHAR(C228)</f>
        <v>Ľ</v>
      </c>
      <c r="F228" s="1" t="n">
        <f aca="false">C228-C227</f>
        <v/>
      </c>
      <c r="G228" s="13"/>
    </row>
    <row r="229" customFormat="false" ht="15" hidden="false" customHeight="false" outlineLevel="0" collapsed="false">
      <c r="A229" s="1" t="str">
        <f aca="false">_xlfn.TEXTJOIN( , ,"LATIN_",DEC2HEX(C228,4))</f>
        <v>LATIN_013E</v>
      </c>
      <c r="B229" s="11" t="str">
        <f aca="false">DEC2HEX(C228)</f>
        <v>13E</v>
      </c>
      <c r="C229" s="1" t="n">
        <v>318</v>
      </c>
      <c r="D229" s="9" t="str">
        <f aca="false">DEC2HEX(C229,8)</f>
        <v>0000013E</v>
      </c>
      <c r="E229" s="10" t="str">
        <f aca="false">_xlfn.UNICHAR(C229)</f>
        <v>ľ</v>
      </c>
      <c r="F229" s="1" t="n">
        <f aca="false">C229-C228</f>
        <v/>
      </c>
      <c r="G229" s="13"/>
    </row>
    <row r="230" customFormat="false" ht="15" hidden="false" customHeight="false" outlineLevel="0" collapsed="false">
      <c r="A230" s="1" t="str">
        <f aca="false">_xlfn.TEXTJOIN( , ,"LATIN_",DEC2HEX(C229,4))</f>
        <v>LATIN_013F</v>
      </c>
      <c r="B230" s="11" t="str">
        <f aca="false">DEC2HEX(C229)</f>
        <v>13F</v>
      </c>
      <c r="C230" s="1" t="n">
        <v>319</v>
      </c>
      <c r="D230" s="9" t="str">
        <f aca="false">DEC2HEX(C230,8)</f>
        <v>0000013F</v>
      </c>
      <c r="E230" s="10" t="str">
        <f aca="false">_xlfn.UNICHAR(C230)</f>
        <v>Ŀ</v>
      </c>
      <c r="F230" s="1" t="n">
        <f aca="false">C230-C229</f>
        <v/>
      </c>
      <c r="G230" s="13"/>
    </row>
    <row r="231" customFormat="false" ht="15" hidden="false" customHeight="false" outlineLevel="0" collapsed="false">
      <c r="A231" s="1" t="str">
        <f aca="false">_xlfn.TEXTJOIN( , ,"LATIN_",DEC2HEX(C230,4))</f>
        <v>LATIN_0140</v>
      </c>
      <c r="B231" s="11" t="str">
        <f aca="false">DEC2HEX(C230)</f>
        <v>140</v>
      </c>
      <c r="C231" s="1" t="n">
        <v>320</v>
      </c>
      <c r="D231" s="9" t="str">
        <f aca="false">DEC2HEX(C231,8)</f>
        <v>00000140</v>
      </c>
      <c r="E231" s="10" t="str">
        <f aca="false">_xlfn.UNICHAR(C231)</f>
        <v>ŀ</v>
      </c>
      <c r="F231" s="1" t="n">
        <f aca="false">C231-C230</f>
        <v/>
      </c>
      <c r="G231" s="13"/>
    </row>
    <row r="232" customFormat="false" ht="15" hidden="false" customHeight="false" outlineLevel="0" collapsed="false">
      <c r="A232" s="1" t="str">
        <f aca="false">_xlfn.TEXTJOIN( , ,"LATIN_",DEC2HEX(C231,4))</f>
        <v>LATIN_0141</v>
      </c>
      <c r="B232" s="11" t="str">
        <f aca="false">DEC2HEX(C231)</f>
        <v>141</v>
      </c>
      <c r="C232" s="1" t="n">
        <v>321</v>
      </c>
      <c r="D232" s="9" t="str">
        <f aca="false">DEC2HEX(C232,8)</f>
        <v>00000141</v>
      </c>
      <c r="E232" s="10" t="str">
        <f aca="false">_xlfn.UNICHAR(C232)</f>
        <v>Ł</v>
      </c>
      <c r="F232" s="1" t="n">
        <f aca="false">C232-C231</f>
        <v/>
      </c>
      <c r="G232" s="13"/>
    </row>
    <row r="233" customFormat="false" ht="15" hidden="false" customHeight="false" outlineLevel="0" collapsed="false">
      <c r="A233" s="1" t="str">
        <f aca="false">_xlfn.TEXTJOIN( , ,"LATIN_",DEC2HEX(C232,4))</f>
        <v>LATIN_0142</v>
      </c>
      <c r="B233" s="11" t="str">
        <f aca="false">DEC2HEX(C232)</f>
        <v>142</v>
      </c>
      <c r="C233" s="1" t="n">
        <v>322</v>
      </c>
      <c r="D233" s="9" t="str">
        <f aca="false">DEC2HEX(C233,8)</f>
        <v>00000142</v>
      </c>
      <c r="E233" s="10" t="str">
        <f aca="false">_xlfn.UNICHAR(C233)</f>
        <v>ł</v>
      </c>
      <c r="F233" s="1" t="n">
        <f aca="false">C233-C232</f>
        <v/>
      </c>
      <c r="G233" s="13"/>
    </row>
    <row r="234" customFormat="false" ht="15" hidden="false" customHeight="false" outlineLevel="0" collapsed="false">
      <c r="A234" s="1" t="str">
        <f aca="false">_xlfn.TEXTJOIN( , ,"LATIN_",DEC2HEX(C233,4))</f>
        <v>LATIN_0143</v>
      </c>
      <c r="B234" s="11" t="str">
        <f aca="false">DEC2HEX(C233)</f>
        <v>143</v>
      </c>
      <c r="C234" s="1" t="n">
        <v>323</v>
      </c>
      <c r="D234" s="9" t="str">
        <f aca="false">DEC2HEX(C234,8)</f>
        <v>00000143</v>
      </c>
      <c r="E234" s="10" t="str">
        <f aca="false">_xlfn.UNICHAR(C234)</f>
        <v>Ń</v>
      </c>
      <c r="F234" s="1" t="n">
        <f aca="false">C234-C233</f>
        <v/>
      </c>
      <c r="G234" s="13"/>
    </row>
    <row r="235" customFormat="false" ht="15" hidden="false" customHeight="false" outlineLevel="0" collapsed="false">
      <c r="A235" s="1" t="str">
        <f aca="false">_xlfn.TEXTJOIN( , ,"LATIN_",DEC2HEX(C234,4))</f>
        <v>LATIN_0144</v>
      </c>
      <c r="B235" s="11" t="str">
        <f aca="false">DEC2HEX(C234)</f>
        <v>144</v>
      </c>
      <c r="C235" s="1" t="n">
        <v>324</v>
      </c>
      <c r="D235" s="9" t="str">
        <f aca="false">DEC2HEX(C235,8)</f>
        <v>00000144</v>
      </c>
      <c r="E235" s="10" t="str">
        <f aca="false">_xlfn.UNICHAR(C235)</f>
        <v>ń</v>
      </c>
      <c r="F235" s="1" t="n">
        <f aca="false">C235-C234</f>
        <v/>
      </c>
      <c r="G235" s="13"/>
    </row>
    <row r="236" customFormat="false" ht="15" hidden="false" customHeight="false" outlineLevel="0" collapsed="false">
      <c r="A236" s="1" t="str">
        <f aca="false">_xlfn.TEXTJOIN( , ,"LATIN_",DEC2HEX(C235,4))</f>
        <v>LATIN_0145</v>
      </c>
      <c r="B236" s="11" t="str">
        <f aca="false">DEC2HEX(C235)</f>
        <v>145</v>
      </c>
      <c r="C236" s="1" t="n">
        <v>325</v>
      </c>
      <c r="D236" s="9" t="str">
        <f aca="false">DEC2HEX(C236,8)</f>
        <v>00000145</v>
      </c>
      <c r="E236" s="10" t="str">
        <f aca="false">_xlfn.UNICHAR(C236)</f>
        <v>Ņ</v>
      </c>
      <c r="F236" s="1" t="n">
        <f aca="false">C236-C235</f>
        <v/>
      </c>
      <c r="G236" s="13"/>
    </row>
    <row r="237" customFormat="false" ht="15" hidden="false" customHeight="false" outlineLevel="0" collapsed="false">
      <c r="A237" s="1" t="str">
        <f aca="false">_xlfn.TEXTJOIN( , ,"LATIN_",DEC2HEX(C236,4))</f>
        <v>LATIN_0146</v>
      </c>
      <c r="B237" s="11" t="str">
        <f aca="false">DEC2HEX(C236)</f>
        <v>146</v>
      </c>
      <c r="C237" s="1" t="n">
        <v>326</v>
      </c>
      <c r="D237" s="9" t="str">
        <f aca="false">DEC2HEX(C237,8)</f>
        <v>00000146</v>
      </c>
      <c r="E237" s="10" t="str">
        <f aca="false">_xlfn.UNICHAR(C237)</f>
        <v>ņ</v>
      </c>
      <c r="F237" s="1" t="n">
        <f aca="false">C237-C236</f>
        <v/>
      </c>
      <c r="G237" s="13"/>
    </row>
    <row r="238" customFormat="false" ht="15" hidden="false" customHeight="false" outlineLevel="0" collapsed="false">
      <c r="A238" s="1" t="str">
        <f aca="false">_xlfn.TEXTJOIN( , ,"LATIN_",DEC2HEX(C237,4))</f>
        <v>LATIN_0147</v>
      </c>
      <c r="B238" s="11" t="str">
        <f aca="false">DEC2HEX(C237)</f>
        <v>147</v>
      </c>
      <c r="C238" s="1" t="n">
        <v>327</v>
      </c>
      <c r="D238" s="9" t="str">
        <f aca="false">DEC2HEX(C238,8)</f>
        <v>00000147</v>
      </c>
      <c r="E238" s="10" t="str">
        <f aca="false">_xlfn.UNICHAR(C238)</f>
        <v>Ň</v>
      </c>
      <c r="F238" s="1" t="n">
        <f aca="false">C238-C237</f>
        <v/>
      </c>
      <c r="G238" s="13"/>
    </row>
    <row r="239" customFormat="false" ht="15" hidden="false" customHeight="false" outlineLevel="0" collapsed="false">
      <c r="A239" s="1" t="str">
        <f aca="false">_xlfn.TEXTJOIN( , ,"LATIN_",DEC2HEX(C238,4))</f>
        <v>LATIN_0148</v>
      </c>
      <c r="B239" s="11" t="str">
        <f aca="false">DEC2HEX(C238)</f>
        <v>148</v>
      </c>
      <c r="C239" s="1" t="n">
        <v>328</v>
      </c>
      <c r="D239" s="9" t="str">
        <f aca="false">DEC2HEX(C239,8)</f>
        <v>00000148</v>
      </c>
      <c r="E239" s="10" t="str">
        <f aca="false">_xlfn.UNICHAR(C239)</f>
        <v>ň</v>
      </c>
      <c r="F239" s="1" t="n">
        <f aca="false">C239-C238</f>
        <v/>
      </c>
      <c r="G239" s="13"/>
    </row>
    <row r="240" customFormat="false" ht="15" hidden="false" customHeight="false" outlineLevel="0" collapsed="false">
      <c r="A240" s="1" t="str">
        <f aca="false">_xlfn.TEXTJOIN( , ,"LATIN_",DEC2HEX(C239,4))</f>
        <v>LATIN_0149</v>
      </c>
      <c r="B240" s="11" t="str">
        <f aca="false">DEC2HEX(C239)</f>
        <v>149</v>
      </c>
      <c r="C240" s="1" t="n">
        <v>329</v>
      </c>
      <c r="D240" s="9" t="str">
        <f aca="false">DEC2HEX(C240,8)</f>
        <v>00000149</v>
      </c>
      <c r="E240" s="10" t="str">
        <f aca="false">_xlfn.UNICHAR(C240)</f>
        <v>ŉ</v>
      </c>
      <c r="F240" s="1" t="n">
        <f aca="false">C240-C239</f>
        <v/>
      </c>
      <c r="G240" s="13"/>
    </row>
    <row r="241" customFormat="false" ht="15" hidden="false" customHeight="false" outlineLevel="0" collapsed="false">
      <c r="A241" s="1" t="str">
        <f aca="false">_xlfn.TEXTJOIN( , ,"LATIN_",DEC2HEX(C240,4))</f>
        <v>LATIN_014A</v>
      </c>
      <c r="B241" s="11" t="str">
        <f aca="false">DEC2HEX(C240)</f>
        <v>14A</v>
      </c>
      <c r="C241" s="1" t="n">
        <v>330</v>
      </c>
      <c r="D241" s="9" t="str">
        <f aca="false">DEC2HEX(C241,8)</f>
        <v>0000014A</v>
      </c>
      <c r="E241" s="10" t="str">
        <f aca="false">_xlfn.UNICHAR(C241)</f>
        <v>Ŋ</v>
      </c>
      <c r="F241" s="1" t="n">
        <f aca="false">C241-C240</f>
        <v/>
      </c>
      <c r="G241" s="13"/>
    </row>
    <row r="242" customFormat="false" ht="15" hidden="false" customHeight="false" outlineLevel="0" collapsed="false">
      <c r="A242" s="1" t="str">
        <f aca="false">_xlfn.TEXTJOIN( , ,"LATIN_",DEC2HEX(C241,4))</f>
        <v>LATIN_014B</v>
      </c>
      <c r="B242" s="11" t="str">
        <f aca="false">DEC2HEX(C241)</f>
        <v>14B</v>
      </c>
      <c r="C242" s="1" t="n">
        <v>331</v>
      </c>
      <c r="D242" s="9" t="str">
        <f aca="false">DEC2HEX(C242,8)</f>
        <v>0000014B</v>
      </c>
      <c r="E242" s="10" t="str">
        <f aca="false">_xlfn.UNICHAR(C242)</f>
        <v>ŋ</v>
      </c>
      <c r="F242" s="1" t="n">
        <f aca="false">C242-C241</f>
        <v/>
      </c>
      <c r="G242" s="13"/>
    </row>
    <row r="243" customFormat="false" ht="15" hidden="false" customHeight="false" outlineLevel="0" collapsed="false">
      <c r="A243" s="1" t="str">
        <f aca="false">_xlfn.TEXTJOIN( , ,"LATIN_",DEC2HEX(C242,4))</f>
        <v>LATIN_014C</v>
      </c>
      <c r="B243" s="11" t="str">
        <f aca="false">DEC2HEX(C242)</f>
        <v>14C</v>
      </c>
      <c r="C243" s="1" t="n">
        <v>332</v>
      </c>
      <c r="D243" s="9" t="str">
        <f aca="false">DEC2HEX(C243,8)</f>
        <v>0000014C</v>
      </c>
      <c r="E243" s="10" t="str">
        <f aca="false">_xlfn.UNICHAR(C243)</f>
        <v>Ō</v>
      </c>
      <c r="F243" s="1" t="n">
        <f aca="false">C243-C242</f>
        <v/>
      </c>
      <c r="G243" s="13"/>
    </row>
    <row r="244" customFormat="false" ht="15" hidden="false" customHeight="false" outlineLevel="0" collapsed="false">
      <c r="A244" s="1" t="str">
        <f aca="false">_xlfn.TEXTJOIN( , ,"LATIN_",DEC2HEX(C243,4))</f>
        <v>LATIN_014D</v>
      </c>
      <c r="B244" s="11" t="str">
        <f aca="false">DEC2HEX(C243)</f>
        <v>14D</v>
      </c>
      <c r="C244" s="1" t="n">
        <v>333</v>
      </c>
      <c r="D244" s="9" t="str">
        <f aca="false">DEC2HEX(C244,8)</f>
        <v>0000014D</v>
      </c>
      <c r="E244" s="10" t="str">
        <f aca="false">_xlfn.UNICHAR(C244)</f>
        <v>ō</v>
      </c>
      <c r="F244" s="1" t="n">
        <f aca="false">C244-C243</f>
        <v/>
      </c>
      <c r="G244" s="13"/>
    </row>
    <row r="245" customFormat="false" ht="15" hidden="false" customHeight="false" outlineLevel="0" collapsed="false">
      <c r="A245" s="1" t="str">
        <f aca="false">_xlfn.TEXTJOIN( , ,"LATIN_",DEC2HEX(C244,4))</f>
        <v>LATIN_014E</v>
      </c>
      <c r="B245" s="11" t="str">
        <f aca="false">DEC2HEX(C244)</f>
        <v>14E</v>
      </c>
      <c r="C245" s="1" t="n">
        <v>334</v>
      </c>
      <c r="D245" s="9" t="str">
        <f aca="false">DEC2HEX(C245,8)</f>
        <v>0000014E</v>
      </c>
      <c r="E245" s="10" t="str">
        <f aca="false">_xlfn.UNICHAR(C245)</f>
        <v>Ŏ</v>
      </c>
      <c r="F245" s="1" t="n">
        <f aca="false">C245-C244</f>
        <v/>
      </c>
      <c r="G245" s="13"/>
    </row>
    <row r="246" customFormat="false" ht="15" hidden="false" customHeight="false" outlineLevel="0" collapsed="false">
      <c r="A246" s="1" t="str">
        <f aca="false">_xlfn.TEXTJOIN( , ,"LATIN_",DEC2HEX(C245,4))</f>
        <v>LATIN_014F</v>
      </c>
      <c r="B246" s="11" t="str">
        <f aca="false">DEC2HEX(C245)</f>
        <v>14F</v>
      </c>
      <c r="C246" s="1" t="n">
        <v>335</v>
      </c>
      <c r="D246" s="9" t="str">
        <f aca="false">DEC2HEX(C246,8)</f>
        <v>0000014F</v>
      </c>
      <c r="E246" s="10" t="str">
        <f aca="false">_xlfn.UNICHAR(C246)</f>
        <v>ŏ</v>
      </c>
      <c r="F246" s="1" t="n">
        <f aca="false">C246-C245</f>
        <v/>
      </c>
      <c r="G246" s="13"/>
    </row>
    <row r="247" customFormat="false" ht="15" hidden="false" customHeight="false" outlineLevel="0" collapsed="false">
      <c r="A247" s="1" t="str">
        <f aca="false">_xlfn.TEXTJOIN( , ,"LATIN_",DEC2HEX(C246,4))</f>
        <v>LATIN_0150</v>
      </c>
      <c r="B247" s="11" t="str">
        <f aca="false">DEC2HEX(C246)</f>
        <v>150</v>
      </c>
      <c r="C247" s="1" t="n">
        <v>336</v>
      </c>
      <c r="D247" s="9" t="str">
        <f aca="false">DEC2HEX(C247,8)</f>
        <v>00000150</v>
      </c>
      <c r="E247" s="10" t="str">
        <f aca="false">_xlfn.UNICHAR(C247)</f>
        <v>Ő</v>
      </c>
      <c r="F247" s="1" t="n">
        <f aca="false">C247-C246</f>
        <v/>
      </c>
      <c r="G247" s="13"/>
    </row>
    <row r="248" customFormat="false" ht="15" hidden="false" customHeight="false" outlineLevel="0" collapsed="false">
      <c r="A248" s="1" t="str">
        <f aca="false">_xlfn.TEXTJOIN( , ,"LATIN_",DEC2HEX(C247,4))</f>
        <v>LATIN_0151</v>
      </c>
      <c r="B248" s="11" t="str">
        <f aca="false">DEC2HEX(C247)</f>
        <v>151</v>
      </c>
      <c r="C248" s="1" t="n">
        <v>337</v>
      </c>
      <c r="D248" s="9" t="str">
        <f aca="false">DEC2HEX(C248,8)</f>
        <v>00000151</v>
      </c>
      <c r="E248" s="10" t="str">
        <f aca="false">_xlfn.UNICHAR(C248)</f>
        <v>ő</v>
      </c>
      <c r="F248" s="1" t="n">
        <f aca="false">C248-C247</f>
        <v/>
      </c>
      <c r="G248" s="13"/>
    </row>
    <row r="249" customFormat="false" ht="15" hidden="false" customHeight="false" outlineLevel="0" collapsed="false">
      <c r="A249" s="1" t="str">
        <f aca="false">_xlfn.TEXTJOIN( , ,"LATIN_",DEC2HEX(C248,4))</f>
        <v>LATIN_0152</v>
      </c>
      <c r="B249" s="11" t="str">
        <f aca="false">DEC2HEX(C248)</f>
        <v>152</v>
      </c>
      <c r="C249" s="1" t="n">
        <v>338</v>
      </c>
      <c r="D249" s="9" t="str">
        <f aca="false">DEC2HEX(C249,8)</f>
        <v>00000152</v>
      </c>
      <c r="E249" s="10" t="str">
        <f aca="false">_xlfn.UNICHAR(C249)</f>
        <v>Œ</v>
      </c>
      <c r="F249" s="1" t="n">
        <f aca="false">C249-C248</f>
        <v/>
      </c>
      <c r="G249" s="13"/>
    </row>
    <row r="250" customFormat="false" ht="15" hidden="false" customHeight="false" outlineLevel="0" collapsed="false">
      <c r="A250" s="1" t="str">
        <f aca="false">_xlfn.TEXTJOIN( , ,"LATIN_",DEC2HEX(C249,4))</f>
        <v>LATIN_0153</v>
      </c>
      <c r="B250" s="11" t="str">
        <f aca="false">DEC2HEX(C249)</f>
        <v>153</v>
      </c>
      <c r="C250" s="1" t="n">
        <v>339</v>
      </c>
      <c r="D250" s="9" t="str">
        <f aca="false">DEC2HEX(C250,8)</f>
        <v>00000153</v>
      </c>
      <c r="E250" s="10" t="str">
        <f aca="false">_xlfn.UNICHAR(C250)</f>
        <v>œ</v>
      </c>
      <c r="F250" s="1" t="n">
        <f aca="false">C250-C249</f>
        <v/>
      </c>
      <c r="G250" s="13"/>
    </row>
    <row r="251" customFormat="false" ht="15" hidden="false" customHeight="false" outlineLevel="0" collapsed="false">
      <c r="A251" s="1" t="str">
        <f aca="false">_xlfn.TEXTJOIN( , ,"LATIN_",DEC2HEX(C250,4))</f>
        <v>LATIN_0154</v>
      </c>
      <c r="B251" s="11" t="str">
        <f aca="false">DEC2HEX(C250)</f>
        <v>154</v>
      </c>
      <c r="C251" s="1" t="n">
        <v>340</v>
      </c>
      <c r="D251" s="9" t="str">
        <f aca="false">DEC2HEX(C251,8)</f>
        <v>00000154</v>
      </c>
      <c r="E251" s="10" t="str">
        <f aca="false">_xlfn.UNICHAR(C251)</f>
        <v>Ŕ</v>
      </c>
      <c r="F251" s="1" t="n">
        <f aca="false">C251-C250</f>
        <v/>
      </c>
      <c r="G251" s="13"/>
    </row>
    <row r="252" customFormat="false" ht="15" hidden="false" customHeight="false" outlineLevel="0" collapsed="false">
      <c r="A252" s="1" t="str">
        <f aca="false">_xlfn.TEXTJOIN( , ,"LATIN_",DEC2HEX(C251,4))</f>
        <v>LATIN_0155</v>
      </c>
      <c r="B252" s="11" t="str">
        <f aca="false">DEC2HEX(C251)</f>
        <v>155</v>
      </c>
      <c r="C252" s="1" t="n">
        <v>341</v>
      </c>
      <c r="D252" s="9" t="str">
        <f aca="false">DEC2HEX(C252,8)</f>
        <v>00000155</v>
      </c>
      <c r="E252" s="10" t="str">
        <f aca="false">_xlfn.UNICHAR(C252)</f>
        <v>ŕ</v>
      </c>
      <c r="F252" s="1" t="n">
        <f aca="false">C252-C251</f>
        <v/>
      </c>
      <c r="G252" s="13"/>
    </row>
    <row r="253" customFormat="false" ht="15" hidden="false" customHeight="false" outlineLevel="0" collapsed="false">
      <c r="A253" s="1" t="str">
        <f aca="false">_xlfn.TEXTJOIN( , ,"LATIN_",DEC2HEX(C252,4))</f>
        <v>LATIN_0156</v>
      </c>
      <c r="B253" s="11" t="str">
        <f aca="false">DEC2HEX(C252)</f>
        <v>156</v>
      </c>
      <c r="C253" s="1" t="n">
        <v>342</v>
      </c>
      <c r="D253" s="9" t="str">
        <f aca="false">DEC2HEX(C253,8)</f>
        <v>00000156</v>
      </c>
      <c r="E253" s="10" t="str">
        <f aca="false">_xlfn.UNICHAR(C253)</f>
        <v>Ŗ</v>
      </c>
      <c r="F253" s="1" t="n">
        <f aca="false">C253-C252</f>
        <v/>
      </c>
      <c r="G253" s="13"/>
    </row>
    <row r="254" customFormat="false" ht="15" hidden="false" customHeight="false" outlineLevel="0" collapsed="false">
      <c r="A254" s="1" t="str">
        <f aca="false">_xlfn.TEXTJOIN( , ,"LATIN_",DEC2HEX(C253,4))</f>
        <v>LATIN_0157</v>
      </c>
      <c r="B254" s="11" t="str">
        <f aca="false">DEC2HEX(C253)</f>
        <v>157</v>
      </c>
      <c r="C254" s="1" t="n">
        <v>343</v>
      </c>
      <c r="D254" s="9" t="str">
        <f aca="false">DEC2HEX(C254,8)</f>
        <v>00000157</v>
      </c>
      <c r="E254" s="10" t="str">
        <f aca="false">_xlfn.UNICHAR(C254)</f>
        <v>ŗ</v>
      </c>
      <c r="F254" s="1" t="n">
        <f aca="false">C254-C253</f>
        <v/>
      </c>
      <c r="G254" s="13"/>
    </row>
    <row r="255" customFormat="false" ht="15" hidden="false" customHeight="false" outlineLevel="0" collapsed="false">
      <c r="A255" s="1" t="str">
        <f aca="false">_xlfn.TEXTJOIN( , ,"LATIN_",DEC2HEX(C254,4))</f>
        <v>LATIN_0158</v>
      </c>
      <c r="B255" s="11" t="str">
        <f aca="false">DEC2HEX(C254)</f>
        <v>158</v>
      </c>
      <c r="C255" s="1" t="n">
        <v>344</v>
      </c>
      <c r="D255" s="9" t="str">
        <f aca="false">DEC2HEX(C255,8)</f>
        <v>00000158</v>
      </c>
      <c r="E255" s="10" t="str">
        <f aca="false">_xlfn.UNICHAR(C255)</f>
        <v>Ř</v>
      </c>
      <c r="F255" s="1" t="n">
        <f aca="false">C255-C254</f>
        <v/>
      </c>
      <c r="G255" s="13"/>
    </row>
    <row r="256" customFormat="false" ht="15" hidden="false" customHeight="false" outlineLevel="0" collapsed="false">
      <c r="A256" s="1" t="str">
        <f aca="false">_xlfn.TEXTJOIN( , ,"LATIN_",DEC2HEX(C255,4))</f>
        <v>LATIN_0159</v>
      </c>
      <c r="B256" s="11" t="str">
        <f aca="false">DEC2HEX(C255)</f>
        <v>159</v>
      </c>
      <c r="C256" s="1" t="n">
        <v>345</v>
      </c>
      <c r="D256" s="9" t="str">
        <f aca="false">DEC2HEX(C256,8)</f>
        <v>00000159</v>
      </c>
      <c r="E256" s="10" t="str">
        <f aca="false">_xlfn.UNICHAR(C256)</f>
        <v>ř</v>
      </c>
      <c r="F256" s="1" t="n">
        <f aca="false">C256-C255</f>
        <v/>
      </c>
      <c r="G256" s="13"/>
    </row>
    <row r="257" customFormat="false" ht="15" hidden="false" customHeight="false" outlineLevel="0" collapsed="false">
      <c r="A257" s="1" t="str">
        <f aca="false">_xlfn.TEXTJOIN( , ,"LATIN_",DEC2HEX(C256,4))</f>
        <v>LATIN_015A</v>
      </c>
      <c r="B257" s="11" t="str">
        <f aca="false">DEC2HEX(C256)</f>
        <v>15A</v>
      </c>
      <c r="C257" s="1" t="n">
        <v>346</v>
      </c>
      <c r="D257" s="9" t="str">
        <f aca="false">DEC2HEX(C257,8)</f>
        <v>0000015A</v>
      </c>
      <c r="E257" s="10" t="str">
        <f aca="false">_xlfn.UNICHAR(C257)</f>
        <v>Ś</v>
      </c>
      <c r="F257" s="1" t="n">
        <f aca="false">C257-C256</f>
        <v/>
      </c>
      <c r="G257" s="13"/>
    </row>
    <row r="258" customFormat="false" ht="15" hidden="false" customHeight="false" outlineLevel="0" collapsed="false">
      <c r="A258" s="1" t="str">
        <f aca="false">_xlfn.TEXTJOIN( , ,"LATIN_",DEC2HEX(C257,4))</f>
        <v>LATIN_015B</v>
      </c>
      <c r="B258" s="11" t="str">
        <f aca="false">DEC2HEX(C257)</f>
        <v>15B</v>
      </c>
      <c r="C258" s="1" t="n">
        <v>347</v>
      </c>
      <c r="D258" s="9" t="str">
        <f aca="false">DEC2HEX(C258,8)</f>
        <v>0000015B</v>
      </c>
      <c r="E258" s="10" t="str">
        <f aca="false">_xlfn.UNICHAR(C258)</f>
        <v>ś</v>
      </c>
      <c r="F258" s="1" t="n">
        <f aca="false">C258-C257</f>
        <v/>
      </c>
      <c r="G258" s="13"/>
    </row>
    <row r="259" customFormat="false" ht="15" hidden="false" customHeight="false" outlineLevel="0" collapsed="false">
      <c r="A259" s="1" t="str">
        <f aca="false">_xlfn.TEXTJOIN( , ,"LATIN_",DEC2HEX(C258,4))</f>
        <v>LATIN_015C</v>
      </c>
      <c r="B259" s="11" t="str">
        <f aca="false">DEC2HEX(C258)</f>
        <v>15C</v>
      </c>
      <c r="C259" s="1" t="n">
        <v>348</v>
      </c>
      <c r="D259" s="9" t="str">
        <f aca="false">DEC2HEX(C259,8)</f>
        <v>0000015C</v>
      </c>
      <c r="E259" s="10" t="str">
        <f aca="false">_xlfn.UNICHAR(C259)</f>
        <v>Ŝ</v>
      </c>
      <c r="F259" s="1" t="n">
        <f aca="false">C259-C258</f>
        <v/>
      </c>
      <c r="G259" s="13"/>
    </row>
    <row r="260" customFormat="false" ht="15" hidden="false" customHeight="false" outlineLevel="0" collapsed="false">
      <c r="A260" s="1" t="str">
        <f aca="false">_xlfn.TEXTJOIN( , ,"LATIN_",DEC2HEX(C259,4))</f>
        <v>LATIN_015D</v>
      </c>
      <c r="B260" s="11" t="str">
        <f aca="false">DEC2HEX(C259)</f>
        <v>15D</v>
      </c>
      <c r="C260" s="1" t="n">
        <v>349</v>
      </c>
      <c r="D260" s="9" t="str">
        <f aca="false">DEC2HEX(C260,8)</f>
        <v>0000015D</v>
      </c>
      <c r="E260" s="10" t="str">
        <f aca="false">_xlfn.UNICHAR(C260)</f>
        <v>ŝ</v>
      </c>
      <c r="F260" s="1" t="n">
        <f aca="false">C260-C259</f>
        <v/>
      </c>
      <c r="G260" s="13"/>
    </row>
    <row r="261" customFormat="false" ht="15" hidden="false" customHeight="false" outlineLevel="0" collapsed="false">
      <c r="A261" s="1" t="str">
        <f aca="false">_xlfn.TEXTJOIN( , ,"LATIN_",DEC2HEX(C260,4))</f>
        <v>LATIN_015E</v>
      </c>
      <c r="B261" s="11" t="str">
        <f aca="false">DEC2HEX(C260)</f>
        <v>15E</v>
      </c>
      <c r="C261" s="1" t="n">
        <v>350</v>
      </c>
      <c r="D261" s="9" t="str">
        <f aca="false">DEC2HEX(C261,8)</f>
        <v>0000015E</v>
      </c>
      <c r="E261" s="10" t="str">
        <f aca="false">_xlfn.UNICHAR(C261)</f>
        <v>Ş</v>
      </c>
      <c r="F261" s="1" t="n">
        <f aca="false">C261-C260</f>
        <v/>
      </c>
      <c r="G261" s="13"/>
    </row>
    <row r="262" customFormat="false" ht="15" hidden="false" customHeight="false" outlineLevel="0" collapsed="false">
      <c r="A262" s="1" t="str">
        <f aca="false">_xlfn.TEXTJOIN( , ,"LATIN_",DEC2HEX(C261,4))</f>
        <v>LATIN_015F</v>
      </c>
      <c r="B262" s="11" t="str">
        <f aca="false">DEC2HEX(C261)</f>
        <v>15F</v>
      </c>
      <c r="C262" s="1" t="n">
        <v>351</v>
      </c>
      <c r="D262" s="9" t="str">
        <f aca="false">DEC2HEX(C262,8)</f>
        <v>0000015F</v>
      </c>
      <c r="E262" s="10" t="str">
        <f aca="false">_xlfn.UNICHAR(C262)</f>
        <v>ş</v>
      </c>
      <c r="F262" s="1" t="n">
        <f aca="false">C262-C261</f>
        <v/>
      </c>
      <c r="G262" s="13"/>
    </row>
    <row r="263" customFormat="false" ht="15" hidden="false" customHeight="false" outlineLevel="0" collapsed="false">
      <c r="A263" s="1" t="str">
        <f aca="false">_xlfn.TEXTJOIN( , ,"LATIN_",DEC2HEX(C262,4))</f>
        <v>LATIN_0160</v>
      </c>
      <c r="B263" s="11" t="str">
        <f aca="false">DEC2HEX(C262)</f>
        <v>160</v>
      </c>
      <c r="C263" s="1" t="n">
        <v>352</v>
      </c>
      <c r="D263" s="9" t="str">
        <f aca="false">DEC2HEX(C263,8)</f>
        <v>00000160</v>
      </c>
      <c r="E263" s="10" t="str">
        <f aca="false">_xlfn.UNICHAR(C263)</f>
        <v>Š</v>
      </c>
      <c r="F263" s="1" t="n">
        <f aca="false">C263-C262</f>
        <v/>
      </c>
      <c r="G263" s="13"/>
    </row>
    <row r="264" customFormat="false" ht="15" hidden="false" customHeight="false" outlineLevel="0" collapsed="false">
      <c r="A264" s="1" t="str">
        <f aca="false">_xlfn.TEXTJOIN( , ,"LATIN_",DEC2HEX(C263,4))</f>
        <v>LATIN_0161</v>
      </c>
      <c r="B264" s="11" t="str">
        <f aca="false">DEC2HEX(C263)</f>
        <v>161</v>
      </c>
      <c r="C264" s="1" t="n">
        <v>353</v>
      </c>
      <c r="D264" s="9" t="str">
        <f aca="false">DEC2HEX(C264,8)</f>
        <v>00000161</v>
      </c>
      <c r="E264" s="10" t="str">
        <f aca="false">_xlfn.UNICHAR(C264)</f>
        <v>š</v>
      </c>
      <c r="F264" s="1" t="n">
        <f aca="false">C264-C263</f>
        <v/>
      </c>
      <c r="G264" s="13"/>
    </row>
    <row r="265" customFormat="false" ht="15" hidden="false" customHeight="false" outlineLevel="0" collapsed="false">
      <c r="A265" s="1" t="str">
        <f aca="false">_xlfn.TEXTJOIN( , ,"LATIN_",DEC2HEX(C264,4))</f>
        <v>LATIN_0162</v>
      </c>
      <c r="B265" s="11" t="str">
        <f aca="false">DEC2HEX(C264)</f>
        <v>162</v>
      </c>
      <c r="C265" s="1" t="n">
        <v>354</v>
      </c>
      <c r="D265" s="9" t="str">
        <f aca="false">DEC2HEX(C265,8)</f>
        <v>00000162</v>
      </c>
      <c r="E265" s="10" t="str">
        <f aca="false">_xlfn.UNICHAR(C265)</f>
        <v>Ţ</v>
      </c>
      <c r="F265" s="1" t="n">
        <f aca="false">C265-C264</f>
        <v/>
      </c>
      <c r="G265" s="13"/>
    </row>
    <row r="266" customFormat="false" ht="15" hidden="false" customHeight="false" outlineLevel="0" collapsed="false">
      <c r="A266" s="1" t="str">
        <f aca="false">_xlfn.TEXTJOIN( , ,"LATIN_",DEC2HEX(C265,4))</f>
        <v>LATIN_0163</v>
      </c>
      <c r="B266" s="11" t="str">
        <f aca="false">DEC2HEX(C265)</f>
        <v>163</v>
      </c>
      <c r="C266" s="1" t="n">
        <v>355</v>
      </c>
      <c r="D266" s="9" t="str">
        <f aca="false">DEC2HEX(C266,8)</f>
        <v>00000163</v>
      </c>
      <c r="E266" s="10" t="str">
        <f aca="false">_xlfn.UNICHAR(C266)</f>
        <v>ţ</v>
      </c>
      <c r="F266" s="1" t="n">
        <f aca="false">C266-C265</f>
        <v/>
      </c>
      <c r="G266" s="13"/>
    </row>
    <row r="267" customFormat="false" ht="15" hidden="false" customHeight="false" outlineLevel="0" collapsed="false">
      <c r="A267" s="1" t="str">
        <f aca="false">_xlfn.TEXTJOIN( , ,"LATIN_",DEC2HEX(C266,4))</f>
        <v>LATIN_0164</v>
      </c>
      <c r="B267" s="11" t="str">
        <f aca="false">DEC2HEX(C266)</f>
        <v>164</v>
      </c>
      <c r="C267" s="1" t="n">
        <v>356</v>
      </c>
      <c r="D267" s="9" t="str">
        <f aca="false">DEC2HEX(C267,8)</f>
        <v>00000164</v>
      </c>
      <c r="E267" s="10" t="str">
        <f aca="false">_xlfn.UNICHAR(C267)</f>
        <v>Ť</v>
      </c>
      <c r="F267" s="1" t="n">
        <f aca="false">C267-C266</f>
        <v/>
      </c>
      <c r="G267" s="13"/>
    </row>
    <row r="268" customFormat="false" ht="15" hidden="false" customHeight="false" outlineLevel="0" collapsed="false">
      <c r="A268" s="1" t="str">
        <f aca="false">_xlfn.TEXTJOIN( , ,"LATIN_",DEC2HEX(C267,4))</f>
        <v>LATIN_0165</v>
      </c>
      <c r="B268" s="11" t="str">
        <f aca="false">DEC2HEX(C267)</f>
        <v>165</v>
      </c>
      <c r="C268" s="1" t="n">
        <v>357</v>
      </c>
      <c r="D268" s="9" t="str">
        <f aca="false">DEC2HEX(C268,8)</f>
        <v>00000165</v>
      </c>
      <c r="E268" s="10" t="str">
        <f aca="false">_xlfn.UNICHAR(C268)</f>
        <v>ť</v>
      </c>
      <c r="F268" s="1" t="n">
        <f aca="false">C268-C267</f>
        <v/>
      </c>
      <c r="G268" s="13"/>
    </row>
    <row r="269" customFormat="false" ht="15" hidden="false" customHeight="false" outlineLevel="0" collapsed="false">
      <c r="A269" s="1" t="str">
        <f aca="false">_xlfn.TEXTJOIN( , ,"LATIN_",DEC2HEX(C268,4))</f>
        <v>LATIN_0166</v>
      </c>
      <c r="B269" s="11" t="str">
        <f aca="false">DEC2HEX(C268)</f>
        <v>166</v>
      </c>
      <c r="C269" s="1" t="n">
        <v>358</v>
      </c>
      <c r="D269" s="9" t="str">
        <f aca="false">DEC2HEX(C269,8)</f>
        <v>00000166</v>
      </c>
      <c r="E269" s="10" t="str">
        <f aca="false">_xlfn.UNICHAR(C269)</f>
        <v>Ŧ</v>
      </c>
      <c r="F269" s="1" t="n">
        <f aca="false">C269-C268</f>
        <v/>
      </c>
      <c r="G269" s="13"/>
    </row>
    <row r="270" customFormat="false" ht="15" hidden="false" customHeight="false" outlineLevel="0" collapsed="false">
      <c r="A270" s="1" t="str">
        <f aca="false">_xlfn.TEXTJOIN( , ,"LATIN_",DEC2HEX(C269,4))</f>
        <v>LATIN_0167</v>
      </c>
      <c r="B270" s="11" t="str">
        <f aca="false">DEC2HEX(C269)</f>
        <v>167</v>
      </c>
      <c r="C270" s="1" t="n">
        <v>359</v>
      </c>
      <c r="D270" s="9" t="str">
        <f aca="false">DEC2HEX(C270,8)</f>
        <v>00000167</v>
      </c>
      <c r="E270" s="10" t="str">
        <f aca="false">_xlfn.UNICHAR(C270)</f>
        <v>ŧ</v>
      </c>
      <c r="F270" s="1" t="n">
        <f aca="false">C270-C269</f>
        <v/>
      </c>
      <c r="G270" s="13"/>
    </row>
    <row r="271" customFormat="false" ht="15" hidden="false" customHeight="false" outlineLevel="0" collapsed="false">
      <c r="A271" s="1" t="str">
        <f aca="false">_xlfn.TEXTJOIN( , ,"LATIN_",DEC2HEX(C270,4))</f>
        <v>LATIN_0168</v>
      </c>
      <c r="B271" s="11" t="str">
        <f aca="false">DEC2HEX(C270)</f>
        <v>168</v>
      </c>
      <c r="C271" s="1" t="n">
        <v>360</v>
      </c>
      <c r="D271" s="9" t="str">
        <f aca="false">DEC2HEX(C271,8)</f>
        <v>00000168</v>
      </c>
      <c r="E271" s="10" t="str">
        <f aca="false">_xlfn.UNICHAR(C271)</f>
        <v>Ũ</v>
      </c>
      <c r="F271" s="1" t="n">
        <f aca="false">C271-C270</f>
        <v/>
      </c>
      <c r="G271" s="13"/>
    </row>
    <row r="272" customFormat="false" ht="15" hidden="false" customHeight="false" outlineLevel="0" collapsed="false">
      <c r="A272" s="1" t="str">
        <f aca="false">_xlfn.TEXTJOIN( , ,"LATIN_",DEC2HEX(C271,4))</f>
        <v>LATIN_0169</v>
      </c>
      <c r="B272" s="11" t="str">
        <f aca="false">DEC2HEX(C271)</f>
        <v>169</v>
      </c>
      <c r="C272" s="1" t="n">
        <v>361</v>
      </c>
      <c r="D272" s="9" t="str">
        <f aca="false">DEC2HEX(C272,8)</f>
        <v>00000169</v>
      </c>
      <c r="E272" s="10" t="str">
        <f aca="false">_xlfn.UNICHAR(C272)</f>
        <v>ũ</v>
      </c>
      <c r="F272" s="1" t="n">
        <f aca="false">C272-C271</f>
        <v/>
      </c>
      <c r="G272" s="13"/>
    </row>
    <row r="273" customFormat="false" ht="15" hidden="false" customHeight="false" outlineLevel="0" collapsed="false">
      <c r="A273" s="1" t="str">
        <f aca="false">_xlfn.TEXTJOIN( , ,"LATIN_",DEC2HEX(C272,4))</f>
        <v>LATIN_016A</v>
      </c>
      <c r="B273" s="11" t="str">
        <f aca="false">DEC2HEX(C272)</f>
        <v>16A</v>
      </c>
      <c r="C273" s="1" t="n">
        <v>362</v>
      </c>
      <c r="D273" s="9" t="str">
        <f aca="false">DEC2HEX(C273,8)</f>
        <v>0000016A</v>
      </c>
      <c r="E273" s="10" t="str">
        <f aca="false">_xlfn.UNICHAR(C273)</f>
        <v>Ū</v>
      </c>
      <c r="F273" s="1" t="n">
        <f aca="false">C273-C272</f>
        <v/>
      </c>
      <c r="G273" s="13"/>
    </row>
    <row r="274" customFormat="false" ht="15" hidden="false" customHeight="false" outlineLevel="0" collapsed="false">
      <c r="A274" s="1" t="str">
        <f aca="false">_xlfn.TEXTJOIN( , ,"LATIN_",DEC2HEX(C273,4))</f>
        <v>LATIN_016B</v>
      </c>
      <c r="B274" s="11" t="str">
        <f aca="false">DEC2HEX(C273)</f>
        <v>16B</v>
      </c>
      <c r="C274" s="1" t="n">
        <v>363</v>
      </c>
      <c r="D274" s="9" t="str">
        <f aca="false">DEC2HEX(C274,8)</f>
        <v>0000016B</v>
      </c>
      <c r="E274" s="10" t="str">
        <f aca="false">_xlfn.UNICHAR(C274)</f>
        <v>ū</v>
      </c>
      <c r="F274" s="1" t="n">
        <f aca="false">C274-C273</f>
        <v/>
      </c>
      <c r="G274" s="13"/>
    </row>
    <row r="275" customFormat="false" ht="15" hidden="false" customHeight="false" outlineLevel="0" collapsed="false">
      <c r="A275" s="1" t="str">
        <f aca="false">_xlfn.TEXTJOIN( , ,"LATIN_",DEC2HEX(C274,4))</f>
        <v>LATIN_016C</v>
      </c>
      <c r="B275" s="11" t="str">
        <f aca="false">DEC2HEX(C274)</f>
        <v>16C</v>
      </c>
      <c r="C275" s="1" t="n">
        <v>364</v>
      </c>
      <c r="D275" s="9" t="str">
        <f aca="false">DEC2HEX(C275,8)</f>
        <v>0000016C</v>
      </c>
      <c r="E275" s="10" t="str">
        <f aca="false">_xlfn.UNICHAR(C275)</f>
        <v>Ŭ</v>
      </c>
      <c r="F275" s="1" t="n">
        <f aca="false">C275-C274</f>
        <v/>
      </c>
      <c r="G275" s="13"/>
    </row>
    <row r="276" customFormat="false" ht="15" hidden="false" customHeight="false" outlineLevel="0" collapsed="false">
      <c r="A276" s="1" t="str">
        <f aca="false">_xlfn.TEXTJOIN( , ,"LATIN_",DEC2HEX(C275,4))</f>
        <v>LATIN_016D</v>
      </c>
      <c r="B276" s="11" t="str">
        <f aca="false">DEC2HEX(C275)</f>
        <v>16D</v>
      </c>
      <c r="C276" s="1" t="n">
        <v>365</v>
      </c>
      <c r="D276" s="9" t="str">
        <f aca="false">DEC2HEX(C276,8)</f>
        <v>0000016D</v>
      </c>
      <c r="E276" s="10" t="str">
        <f aca="false">_xlfn.UNICHAR(C276)</f>
        <v>ŭ</v>
      </c>
      <c r="F276" s="1" t="n">
        <f aca="false">C276-C275</f>
        <v/>
      </c>
      <c r="G276" s="13"/>
    </row>
    <row r="277" customFormat="false" ht="15" hidden="false" customHeight="false" outlineLevel="0" collapsed="false">
      <c r="A277" s="1" t="str">
        <f aca="false">_xlfn.TEXTJOIN( , ,"LATIN_",DEC2HEX(C276,4))</f>
        <v>LATIN_016E</v>
      </c>
      <c r="B277" s="11" t="str">
        <f aca="false">DEC2HEX(C276)</f>
        <v>16E</v>
      </c>
      <c r="C277" s="1" t="n">
        <v>366</v>
      </c>
      <c r="D277" s="9" t="str">
        <f aca="false">DEC2HEX(C277,8)</f>
        <v>0000016E</v>
      </c>
      <c r="E277" s="10" t="str">
        <f aca="false">_xlfn.UNICHAR(C277)</f>
        <v>Ů</v>
      </c>
      <c r="F277" s="1" t="n">
        <f aca="false">C277-C276</f>
        <v/>
      </c>
      <c r="G277" s="13"/>
    </row>
    <row r="278" customFormat="false" ht="15" hidden="false" customHeight="false" outlineLevel="0" collapsed="false">
      <c r="A278" s="1" t="str">
        <f aca="false">_xlfn.TEXTJOIN( , ,"LATIN_",DEC2HEX(C277,4))</f>
        <v>LATIN_016F</v>
      </c>
      <c r="B278" s="11" t="str">
        <f aca="false">DEC2HEX(C277)</f>
        <v>16F</v>
      </c>
      <c r="C278" s="1" t="n">
        <v>367</v>
      </c>
      <c r="D278" s="9" t="str">
        <f aca="false">DEC2HEX(C278,8)</f>
        <v>0000016F</v>
      </c>
      <c r="E278" s="10" t="str">
        <f aca="false">_xlfn.UNICHAR(C278)</f>
        <v>ů</v>
      </c>
      <c r="F278" s="1" t="n">
        <f aca="false">C278-C277</f>
        <v/>
      </c>
      <c r="G278" s="13"/>
    </row>
    <row r="279" customFormat="false" ht="15" hidden="false" customHeight="false" outlineLevel="0" collapsed="false">
      <c r="A279" s="1" t="str">
        <f aca="false">_xlfn.TEXTJOIN( , ,"LATIN_",DEC2HEX(C278,4))</f>
        <v>LATIN_0170</v>
      </c>
      <c r="B279" s="11" t="str">
        <f aca="false">DEC2HEX(C278)</f>
        <v>170</v>
      </c>
      <c r="C279" s="1" t="n">
        <v>368</v>
      </c>
      <c r="D279" s="9" t="str">
        <f aca="false">DEC2HEX(C279,8)</f>
        <v>00000170</v>
      </c>
      <c r="E279" s="10" t="str">
        <f aca="false">_xlfn.UNICHAR(C279)</f>
        <v>Ű</v>
      </c>
      <c r="F279" s="1" t="n">
        <f aca="false">C279-C278</f>
        <v/>
      </c>
      <c r="G279" s="13"/>
    </row>
    <row r="280" customFormat="false" ht="15" hidden="false" customHeight="false" outlineLevel="0" collapsed="false">
      <c r="A280" s="1" t="str">
        <f aca="false">_xlfn.TEXTJOIN( , ,"LATIN_",DEC2HEX(C279,4))</f>
        <v>LATIN_0171</v>
      </c>
      <c r="B280" s="11" t="str">
        <f aca="false">DEC2HEX(C279)</f>
        <v>171</v>
      </c>
      <c r="C280" s="1" t="n">
        <v>369</v>
      </c>
      <c r="D280" s="9" t="str">
        <f aca="false">DEC2HEX(C280,8)</f>
        <v>00000171</v>
      </c>
      <c r="E280" s="10" t="str">
        <f aca="false">_xlfn.UNICHAR(C280)</f>
        <v>ű</v>
      </c>
      <c r="F280" s="1" t="n">
        <f aca="false">C280-C279</f>
        <v/>
      </c>
      <c r="G280" s="13"/>
    </row>
    <row r="281" customFormat="false" ht="15" hidden="false" customHeight="false" outlineLevel="0" collapsed="false">
      <c r="A281" s="1" t="str">
        <f aca="false">_xlfn.TEXTJOIN( , ,"LATIN_",DEC2HEX(C280,4))</f>
        <v>LATIN_0172</v>
      </c>
      <c r="B281" s="11" t="str">
        <f aca="false">DEC2HEX(C280)</f>
        <v>172</v>
      </c>
      <c r="C281" s="1" t="n">
        <v>370</v>
      </c>
      <c r="D281" s="9" t="str">
        <f aca="false">DEC2HEX(C281,8)</f>
        <v>00000172</v>
      </c>
      <c r="E281" s="10" t="str">
        <f aca="false">_xlfn.UNICHAR(C281)</f>
        <v>Ų</v>
      </c>
      <c r="F281" s="1" t="n">
        <f aca="false">C281-C280</f>
        <v/>
      </c>
      <c r="G281" s="13"/>
    </row>
    <row r="282" customFormat="false" ht="15" hidden="false" customHeight="false" outlineLevel="0" collapsed="false">
      <c r="A282" s="1" t="str">
        <f aca="false">_xlfn.TEXTJOIN( , ,"LATIN_",DEC2HEX(C281,4))</f>
        <v>LATIN_0173</v>
      </c>
      <c r="B282" s="11" t="str">
        <f aca="false">DEC2HEX(C281)</f>
        <v>173</v>
      </c>
      <c r="C282" s="1" t="n">
        <v>371</v>
      </c>
      <c r="D282" s="9" t="str">
        <f aca="false">DEC2HEX(C282,8)</f>
        <v>00000173</v>
      </c>
      <c r="E282" s="10" t="str">
        <f aca="false">_xlfn.UNICHAR(C282)</f>
        <v>ų</v>
      </c>
      <c r="F282" s="1" t="n">
        <f aca="false">C282-C281</f>
        <v/>
      </c>
      <c r="G282" s="13"/>
    </row>
    <row r="283" customFormat="false" ht="15" hidden="false" customHeight="false" outlineLevel="0" collapsed="false">
      <c r="A283" s="1" t="str">
        <f aca="false">_xlfn.TEXTJOIN( , ,"LATIN_",DEC2HEX(C282,4))</f>
        <v>LATIN_0174</v>
      </c>
      <c r="B283" s="11" t="str">
        <f aca="false">DEC2HEX(C282)</f>
        <v>174</v>
      </c>
      <c r="C283" s="1" t="n">
        <v>372</v>
      </c>
      <c r="D283" s="9" t="str">
        <f aca="false">DEC2HEX(C283,8)</f>
        <v>00000174</v>
      </c>
      <c r="E283" s="10" t="str">
        <f aca="false">_xlfn.UNICHAR(C283)</f>
        <v>Ŵ</v>
      </c>
      <c r="F283" s="1" t="n">
        <f aca="false">C283-C282</f>
        <v/>
      </c>
      <c r="G283" s="13"/>
    </row>
    <row r="284" customFormat="false" ht="15" hidden="false" customHeight="false" outlineLevel="0" collapsed="false">
      <c r="A284" s="1" t="str">
        <f aca="false">_xlfn.TEXTJOIN( , ,"LATIN_",DEC2HEX(C283,4))</f>
        <v>LATIN_0175</v>
      </c>
      <c r="B284" s="11" t="str">
        <f aca="false">DEC2HEX(C283)</f>
        <v>175</v>
      </c>
      <c r="C284" s="1" t="n">
        <v>373</v>
      </c>
      <c r="D284" s="9" t="str">
        <f aca="false">DEC2HEX(C284,8)</f>
        <v>00000175</v>
      </c>
      <c r="E284" s="10" t="str">
        <f aca="false">_xlfn.UNICHAR(C284)</f>
        <v>ŵ</v>
      </c>
      <c r="F284" s="1" t="n">
        <f aca="false">C284-C283</f>
        <v/>
      </c>
      <c r="G284" s="13"/>
    </row>
    <row r="285" customFormat="false" ht="15" hidden="false" customHeight="false" outlineLevel="0" collapsed="false">
      <c r="A285" s="1" t="str">
        <f aca="false">_xlfn.TEXTJOIN( , ,"LATIN_",DEC2HEX(C284,4))</f>
        <v>LATIN_0176</v>
      </c>
      <c r="B285" s="11" t="str">
        <f aca="false">DEC2HEX(C284)</f>
        <v>176</v>
      </c>
      <c r="C285" s="1" t="n">
        <v>374</v>
      </c>
      <c r="D285" s="9" t="str">
        <f aca="false">DEC2HEX(C285,8)</f>
        <v>00000176</v>
      </c>
      <c r="E285" s="10" t="str">
        <f aca="false">_xlfn.UNICHAR(C285)</f>
        <v>Ŷ</v>
      </c>
      <c r="F285" s="1" t="n">
        <f aca="false">C285-C284</f>
        <v/>
      </c>
      <c r="G285" s="13"/>
    </row>
    <row r="286" customFormat="false" ht="15" hidden="false" customHeight="false" outlineLevel="0" collapsed="false">
      <c r="A286" s="1" t="str">
        <f aca="false">_xlfn.TEXTJOIN( , ,"LATIN_",DEC2HEX(C285,4))</f>
        <v>LATIN_0177</v>
      </c>
      <c r="B286" s="11" t="str">
        <f aca="false">DEC2HEX(C285)</f>
        <v>177</v>
      </c>
      <c r="C286" s="1" t="n">
        <v>375</v>
      </c>
      <c r="D286" s="9" t="str">
        <f aca="false">DEC2HEX(C286,8)</f>
        <v>00000177</v>
      </c>
      <c r="E286" s="10" t="str">
        <f aca="false">_xlfn.UNICHAR(C286)</f>
        <v>ŷ</v>
      </c>
      <c r="F286" s="1" t="n">
        <f aca="false">C286-C285</f>
        <v/>
      </c>
      <c r="G286" s="13"/>
    </row>
    <row r="287" customFormat="false" ht="15" hidden="false" customHeight="false" outlineLevel="0" collapsed="false">
      <c r="A287" s="1" t="str">
        <f aca="false">_xlfn.TEXTJOIN( , ,"LATIN_",DEC2HEX(C286,4))</f>
        <v>LATIN_0178</v>
      </c>
      <c r="B287" s="11" t="str">
        <f aca="false">DEC2HEX(C286)</f>
        <v>178</v>
      </c>
      <c r="C287" s="1" t="n">
        <v>376</v>
      </c>
      <c r="D287" s="9" t="str">
        <f aca="false">DEC2HEX(C287,8)</f>
        <v>00000178</v>
      </c>
      <c r="E287" s="10" t="str">
        <f aca="false">_xlfn.UNICHAR(C287)</f>
        <v>Ÿ</v>
      </c>
      <c r="F287" s="1" t="n">
        <f aca="false">C287-C286</f>
        <v/>
      </c>
      <c r="G287" s="13"/>
    </row>
    <row r="288" customFormat="false" ht="15" hidden="false" customHeight="false" outlineLevel="0" collapsed="false">
      <c r="A288" s="1" t="str">
        <f aca="false">_xlfn.TEXTJOIN( , ,"LATIN_",DEC2HEX(C287,4))</f>
        <v>LATIN_0179</v>
      </c>
      <c r="B288" s="11" t="str">
        <f aca="false">DEC2HEX(C287)</f>
        <v>179</v>
      </c>
      <c r="C288" s="1" t="n">
        <v>377</v>
      </c>
      <c r="D288" s="9" t="str">
        <f aca="false">DEC2HEX(C288,8)</f>
        <v>00000179</v>
      </c>
      <c r="E288" s="10" t="str">
        <f aca="false">_xlfn.UNICHAR(C288)</f>
        <v>Ź</v>
      </c>
      <c r="F288" s="1" t="n">
        <f aca="false">C288-C287</f>
        <v/>
      </c>
      <c r="G288" s="13"/>
    </row>
    <row r="289" customFormat="false" ht="15" hidden="false" customHeight="false" outlineLevel="0" collapsed="false">
      <c r="A289" s="1" t="str">
        <f aca="false">_xlfn.TEXTJOIN( , ,"LATIN_",DEC2HEX(C288,4))</f>
        <v>LATIN_017A</v>
      </c>
      <c r="B289" s="11" t="str">
        <f aca="false">DEC2HEX(C288)</f>
        <v>17A</v>
      </c>
      <c r="C289" s="1" t="n">
        <v>378</v>
      </c>
      <c r="D289" s="9" t="str">
        <f aca="false">DEC2HEX(C289,8)</f>
        <v>0000017A</v>
      </c>
      <c r="E289" s="10" t="str">
        <f aca="false">_xlfn.UNICHAR(C289)</f>
        <v>ź</v>
      </c>
      <c r="F289" s="1" t="n">
        <f aca="false">C289-C288</f>
        <v/>
      </c>
      <c r="G289" s="13"/>
    </row>
    <row r="290" customFormat="false" ht="15" hidden="false" customHeight="false" outlineLevel="0" collapsed="false">
      <c r="A290" s="1" t="str">
        <f aca="false">_xlfn.TEXTJOIN( , ,"LATIN_",DEC2HEX(C289,4))</f>
        <v>LATIN_017B</v>
      </c>
      <c r="B290" s="11" t="str">
        <f aca="false">DEC2HEX(C289)</f>
        <v>17B</v>
      </c>
      <c r="C290" s="1" t="n">
        <v>379</v>
      </c>
      <c r="D290" s="9" t="str">
        <f aca="false">DEC2HEX(C290,8)</f>
        <v>0000017B</v>
      </c>
      <c r="E290" s="10" t="str">
        <f aca="false">_xlfn.UNICHAR(C290)</f>
        <v>Ż</v>
      </c>
      <c r="F290" s="1" t="n">
        <f aca="false">C290-C289</f>
        <v/>
      </c>
      <c r="G290" s="13"/>
    </row>
    <row r="291" customFormat="false" ht="15" hidden="false" customHeight="false" outlineLevel="0" collapsed="false">
      <c r="A291" s="1" t="str">
        <f aca="false">_xlfn.TEXTJOIN( , ,"LATIN_",DEC2HEX(C290,4))</f>
        <v>LATIN_017C</v>
      </c>
      <c r="B291" s="11" t="str">
        <f aca="false">DEC2HEX(C290)</f>
        <v>17C</v>
      </c>
      <c r="C291" s="1" t="n">
        <v>380</v>
      </c>
      <c r="D291" s="9" t="str">
        <f aca="false">DEC2HEX(C291,8)</f>
        <v>0000017C</v>
      </c>
      <c r="E291" s="10" t="str">
        <f aca="false">_xlfn.UNICHAR(C291)</f>
        <v>ż</v>
      </c>
      <c r="F291" s="1" t="n">
        <f aca="false">C291-C290</f>
        <v/>
      </c>
      <c r="G291" s="13"/>
    </row>
    <row r="292" customFormat="false" ht="15" hidden="false" customHeight="false" outlineLevel="0" collapsed="false">
      <c r="A292" s="1" t="str">
        <f aca="false">_xlfn.TEXTJOIN( , ,"LATIN_",DEC2HEX(C291,4))</f>
        <v>LATIN_017D</v>
      </c>
      <c r="B292" s="11" t="str">
        <f aca="false">DEC2HEX(C291)</f>
        <v>17D</v>
      </c>
      <c r="C292" s="1" t="n">
        <v>381</v>
      </c>
      <c r="D292" s="9" t="str">
        <f aca="false">DEC2HEX(C292,8)</f>
        <v>0000017D</v>
      </c>
      <c r="E292" s="10" t="str">
        <f aca="false">_xlfn.UNICHAR(C292)</f>
        <v>Ž</v>
      </c>
      <c r="F292" s="1" t="n">
        <f aca="false">C292-C291</f>
        <v/>
      </c>
      <c r="G292" s="13"/>
    </row>
    <row r="293" customFormat="false" ht="15" hidden="false" customHeight="false" outlineLevel="0" collapsed="false">
      <c r="A293" s="1" t="str">
        <f aca="false">_xlfn.TEXTJOIN( , ,"LATIN_",DEC2HEX(C292,4))</f>
        <v>LATIN_017E</v>
      </c>
      <c r="B293" s="11" t="str">
        <f aca="false">DEC2HEX(C292)</f>
        <v>17E</v>
      </c>
      <c r="C293" s="1" t="n">
        <v>382</v>
      </c>
      <c r="D293" s="9" t="str">
        <f aca="false">DEC2HEX(C293,8)</f>
        <v>0000017E</v>
      </c>
      <c r="E293" s="10" t="str">
        <f aca="false">_xlfn.UNICHAR(C293)</f>
        <v>ž</v>
      </c>
      <c r="F293" s="1" t="n">
        <f aca="false">C293-C292</f>
        <v/>
      </c>
      <c r="G293" s="13"/>
    </row>
    <row r="294" customFormat="false" ht="15" hidden="false" customHeight="false" outlineLevel="0" collapsed="false">
      <c r="A294" s="12" t="s">
        <v>184</v>
      </c>
      <c r="B294" s="11" t="s">
        <v>185</v>
      </c>
      <c r="C294" s="7" t="n">
        <f aca="false">HEX2DEC(B294)</f>
        <v>710</v>
      </c>
      <c r="D294" s="9" t="str">
        <f aca="false">DEC2HEX(C294,8)</f>
        <v>000002C6</v>
      </c>
      <c r="E294" s="10" t="str">
        <f aca="false">_xlfn.UNICHAR(C294)</f>
        <v>ˆ</v>
      </c>
      <c r="F294" s="7" t="n">
        <f aca="false">C294-C293</f>
        <v>359</v>
      </c>
    </row>
    <row r="295" customFormat="false" ht="15" hidden="false" customHeight="false" outlineLevel="0" collapsed="false">
      <c r="A295" s="7" t="s">
        <v>186</v>
      </c>
      <c r="B295" s="8" t="s">
        <v>187</v>
      </c>
      <c r="C295" s="7" t="n">
        <f aca="false">HEX2DEC(B295)</f>
        <v>711</v>
      </c>
      <c r="D295" s="9" t="str">
        <f aca="false">DEC2HEX(C295,8)</f>
        <v>000002C7</v>
      </c>
      <c r="E295" s="10" t="str">
        <f aca="false">_xlfn.UNICHAR(C295)</f>
        <v>ˇ</v>
      </c>
      <c r="F295" s="7" t="n">
        <f aca="false">C295-C294</f>
        <v>1</v>
      </c>
    </row>
    <row r="296" customFormat="false" ht="15" hidden="false" customHeight="false" outlineLevel="0" collapsed="false">
      <c r="A296" s="12" t="s">
        <v>188</v>
      </c>
      <c r="B296" s="11" t="s">
        <v>189</v>
      </c>
      <c r="C296" s="7" t="n">
        <f aca="false">HEX2DEC(B296)</f>
        <v>713</v>
      </c>
      <c r="D296" s="9" t="str">
        <f aca="false">DEC2HEX(C296,8)</f>
        <v>000002C9</v>
      </c>
      <c r="E296" s="10" t="str">
        <f aca="false">_xlfn.UNICHAR(C296)</f>
        <v>ˉ</v>
      </c>
      <c r="F296" s="7" t="n">
        <f aca="false">C296-C295</f>
        <v>2</v>
      </c>
    </row>
    <row r="297" customFormat="false" ht="15" hidden="false" customHeight="false" outlineLevel="0" collapsed="false">
      <c r="A297" s="12" t="s">
        <v>190</v>
      </c>
      <c r="B297" s="11" t="s">
        <v>191</v>
      </c>
      <c r="C297" s="7" t="n">
        <f aca="false">HEX2DEC(B297)</f>
        <v>728</v>
      </c>
      <c r="D297" s="9" t="str">
        <f aca="false">DEC2HEX(C297,8)</f>
        <v>000002D8</v>
      </c>
      <c r="E297" s="10" t="str">
        <f aca="false">_xlfn.UNICHAR(C297)</f>
        <v>˘</v>
      </c>
      <c r="F297" s="7" t="n">
        <f aca="false">C297-C296</f>
        <v>15</v>
      </c>
    </row>
    <row r="298" customFormat="false" ht="15" hidden="false" customHeight="false" outlineLevel="0" collapsed="false">
      <c r="A298" s="12" t="s">
        <v>192</v>
      </c>
      <c r="B298" s="11" t="s">
        <v>193</v>
      </c>
      <c r="C298" s="7" t="n">
        <f aca="false">HEX2DEC(B298)</f>
        <v>729</v>
      </c>
      <c r="D298" s="9" t="str">
        <f aca="false">DEC2HEX(C298,8)</f>
        <v>000002D9</v>
      </c>
      <c r="E298" s="10" t="str">
        <f aca="false">_xlfn.UNICHAR(C298)</f>
        <v>˙</v>
      </c>
      <c r="F298" s="7" t="n">
        <f aca="false">C298-C297</f>
        <v>1</v>
      </c>
    </row>
    <row r="299" customFormat="false" ht="15" hidden="false" customHeight="false" outlineLevel="0" collapsed="false">
      <c r="A299" s="12" t="s">
        <v>194</v>
      </c>
      <c r="B299" s="11" t="s">
        <v>195</v>
      </c>
      <c r="C299" s="7" t="n">
        <f aca="false">HEX2DEC(B299)</f>
        <v>730</v>
      </c>
      <c r="D299" s="9" t="str">
        <f aca="false">DEC2HEX(C299,8)</f>
        <v>000002DA</v>
      </c>
      <c r="E299" s="10" t="str">
        <f aca="false">_xlfn.UNICHAR(C299)</f>
        <v>˚</v>
      </c>
      <c r="F299" s="7" t="n">
        <f aca="false">C299-C298</f>
        <v>1</v>
      </c>
    </row>
    <row r="300" customFormat="false" ht="15" hidden="false" customHeight="false" outlineLevel="0" collapsed="false">
      <c r="A300" s="12" t="s">
        <v>196</v>
      </c>
      <c r="B300" s="11" t="s">
        <v>197</v>
      </c>
      <c r="C300" s="7" t="n">
        <f aca="false">HEX2DEC(B300)</f>
        <v>731</v>
      </c>
      <c r="D300" s="9" t="str">
        <f aca="false">DEC2HEX(C300,8)</f>
        <v>000002DB</v>
      </c>
      <c r="E300" s="10" t="str">
        <f aca="false">_xlfn.UNICHAR(C300)</f>
        <v>˛</v>
      </c>
      <c r="F300" s="7" t="n">
        <f aca="false">C300-C299</f>
        <v>1</v>
      </c>
    </row>
    <row r="301" customFormat="false" ht="15" hidden="false" customHeight="false" outlineLevel="0" collapsed="false">
      <c r="A301" s="12" t="s">
        <v>198</v>
      </c>
      <c r="B301" s="11" t="s">
        <v>199</v>
      </c>
      <c r="C301" s="7" t="n">
        <f aca="false">HEX2DEC(B301)</f>
        <v>732</v>
      </c>
      <c r="D301" s="9" t="str">
        <f aca="false">DEC2HEX(C301,8)</f>
        <v>000002DC</v>
      </c>
      <c r="E301" s="10" t="str">
        <f aca="false">_xlfn.UNICHAR(C301)</f>
        <v>˜</v>
      </c>
      <c r="F301" s="7" t="n">
        <f aca="false">C301-C300</f>
        <v>1</v>
      </c>
    </row>
    <row r="302" customFormat="false" ht="15" hidden="false" customHeight="false" outlineLevel="0" collapsed="false">
      <c r="A302" s="12" t="s">
        <v>200</v>
      </c>
      <c r="B302" s="11" t="s">
        <v>201</v>
      </c>
      <c r="C302" s="7" t="n">
        <f aca="false">HEX2DEC(B302)</f>
        <v>733</v>
      </c>
      <c r="D302" s="9" t="str">
        <f aca="false">DEC2HEX(C302,8)</f>
        <v>000002DD</v>
      </c>
      <c r="E302" s="10" t="str">
        <f aca="false">_xlfn.UNICHAR(C302)</f>
        <v>˝</v>
      </c>
      <c r="F302" s="7" t="n">
        <f aca="false">C302-C301</f>
        <v>1</v>
      </c>
    </row>
    <row r="303" customFormat="false" ht="15" hidden="false" customHeight="false" outlineLevel="0" collapsed="false">
      <c r="A303" s="7" t="s">
        <v>202</v>
      </c>
      <c r="B303" s="8" t="s">
        <v>203</v>
      </c>
      <c r="C303" s="7" t="n">
        <f aca="false">HEX2DEC(B303)</f>
        <v>900</v>
      </c>
      <c r="D303" s="9" t="str">
        <f aca="false">DEC2HEX(C303,8)</f>
        <v>00000384</v>
      </c>
      <c r="E303" s="10" t="str">
        <f aca="false">_xlfn.UNICHAR(C303)</f>
        <v>΄</v>
      </c>
      <c r="F303" s="7" t="n">
        <f aca="false">C303-C302</f>
        <v>167</v>
      </c>
      <c r="H303" s="12"/>
    </row>
    <row r="304" customFormat="false" ht="15" hidden="false" customHeight="false" outlineLevel="0" collapsed="false">
      <c r="A304" s="7" t="s">
        <v>204</v>
      </c>
      <c r="B304" s="8" t="s">
        <v>205</v>
      </c>
      <c r="C304" s="7" t="n">
        <f aca="false">HEX2DEC(B304)</f>
        <v>901</v>
      </c>
      <c r="D304" s="9" t="str">
        <f aca="false">DEC2HEX(C304,8)</f>
        <v>00000385</v>
      </c>
      <c r="E304" s="10" t="str">
        <f aca="false">_xlfn.UNICHAR(C304)</f>
        <v>΅</v>
      </c>
      <c r="F304" s="7" t="n">
        <f aca="false">C304-C303</f>
        <v>1</v>
      </c>
      <c r="H304" s="12"/>
    </row>
    <row r="305" customFormat="false" ht="15" hidden="false" customHeight="false" outlineLevel="0" collapsed="false">
      <c r="A305" s="7" t="s">
        <v>206</v>
      </c>
      <c r="B305" s="8" t="s">
        <v>207</v>
      </c>
      <c r="C305" s="7" t="n">
        <f aca="false">HEX2DEC(B305)</f>
        <v>913</v>
      </c>
      <c r="D305" s="9" t="str">
        <f aca="false">DEC2HEX(C305,8)</f>
        <v>00000391</v>
      </c>
      <c r="E305" s="10" t="str">
        <f aca="false">_xlfn.UNICHAR(C305)</f>
        <v>Α</v>
      </c>
      <c r="F305" s="7" t="n">
        <f aca="false">C305-C304</f>
        <v>12</v>
      </c>
      <c r="H305" s="12"/>
    </row>
    <row r="306" customFormat="false" ht="15" hidden="false" customHeight="false" outlineLevel="0" collapsed="false">
      <c r="A306" s="7" t="s">
        <v>208</v>
      </c>
      <c r="B306" s="8" t="s">
        <v>209</v>
      </c>
      <c r="C306" s="7" t="n">
        <f aca="false">HEX2DEC(B306)</f>
        <v>914</v>
      </c>
      <c r="D306" s="9" t="str">
        <f aca="false">DEC2HEX(C306,8)</f>
        <v>00000392</v>
      </c>
      <c r="E306" s="10" t="str">
        <f aca="false">_xlfn.UNICHAR(C306)</f>
        <v>Β</v>
      </c>
      <c r="F306" s="7" t="n">
        <f aca="false">C306-C305</f>
        <v>1</v>
      </c>
      <c r="H306" s="12"/>
    </row>
    <row r="307" customFormat="false" ht="15" hidden="false" customHeight="false" outlineLevel="0" collapsed="false">
      <c r="A307" s="7" t="s">
        <v>210</v>
      </c>
      <c r="B307" s="8" t="s">
        <v>211</v>
      </c>
      <c r="C307" s="7" t="n">
        <f aca="false">HEX2DEC(B307)</f>
        <v>915</v>
      </c>
      <c r="D307" s="9" t="str">
        <f aca="false">DEC2HEX(C307,8)</f>
        <v>00000393</v>
      </c>
      <c r="E307" s="10" t="str">
        <f aca="false">_xlfn.UNICHAR(C307)</f>
        <v>Γ</v>
      </c>
      <c r="F307" s="7" t="n">
        <f aca="false">C307-C306</f>
        <v>1</v>
      </c>
      <c r="H307" s="12"/>
    </row>
    <row r="308" customFormat="false" ht="15" hidden="false" customHeight="false" outlineLevel="0" collapsed="false">
      <c r="A308" s="7" t="s">
        <v>212</v>
      </c>
      <c r="B308" s="8" t="s">
        <v>213</v>
      </c>
      <c r="C308" s="7" t="n">
        <f aca="false">HEX2DEC(B308)</f>
        <v>916</v>
      </c>
      <c r="D308" s="9" t="str">
        <f aca="false">DEC2HEX(C308,8)</f>
        <v>00000394</v>
      </c>
      <c r="E308" s="10" t="str">
        <f aca="false">_xlfn.UNICHAR(C308)</f>
        <v>Δ</v>
      </c>
      <c r="F308" s="7" t="n">
        <f aca="false">C308-C307</f>
        <v>1</v>
      </c>
      <c r="H308" s="12"/>
    </row>
    <row r="309" customFormat="false" ht="15" hidden="false" customHeight="false" outlineLevel="0" collapsed="false">
      <c r="A309" s="7" t="s">
        <v>214</v>
      </c>
      <c r="B309" s="8" t="s">
        <v>215</v>
      </c>
      <c r="C309" s="7" t="n">
        <f aca="false">HEX2DEC(B309)</f>
        <v>917</v>
      </c>
      <c r="D309" s="9" t="str">
        <f aca="false">DEC2HEX(C309,8)</f>
        <v>00000395</v>
      </c>
      <c r="E309" s="10" t="str">
        <f aca="false">_xlfn.UNICHAR(C309)</f>
        <v>Ε</v>
      </c>
      <c r="F309" s="7" t="n">
        <f aca="false">C309-C308</f>
        <v>1</v>
      </c>
      <c r="H309" s="12"/>
    </row>
    <row r="310" customFormat="false" ht="15" hidden="false" customHeight="false" outlineLevel="0" collapsed="false">
      <c r="A310" s="7" t="s">
        <v>216</v>
      </c>
      <c r="B310" s="8" t="s">
        <v>217</v>
      </c>
      <c r="C310" s="7" t="n">
        <f aca="false">HEX2DEC(B310)</f>
        <v>918</v>
      </c>
      <c r="D310" s="9" t="str">
        <f aca="false">DEC2HEX(C310,8)</f>
        <v>00000396</v>
      </c>
      <c r="E310" s="10" t="str">
        <f aca="false">_xlfn.UNICHAR(C310)</f>
        <v>Ζ</v>
      </c>
      <c r="F310" s="7" t="n">
        <f aca="false">C310-C309</f>
        <v>1</v>
      </c>
      <c r="H310" s="12"/>
    </row>
    <row r="311" customFormat="false" ht="15" hidden="false" customHeight="false" outlineLevel="0" collapsed="false">
      <c r="A311" s="7" t="s">
        <v>218</v>
      </c>
      <c r="B311" s="8" t="s">
        <v>219</v>
      </c>
      <c r="C311" s="7" t="n">
        <f aca="false">HEX2DEC(B311)</f>
        <v>919</v>
      </c>
      <c r="D311" s="9" t="str">
        <f aca="false">DEC2HEX(C311,8)</f>
        <v>00000397</v>
      </c>
      <c r="E311" s="10" t="str">
        <f aca="false">_xlfn.UNICHAR(C311)</f>
        <v>Η</v>
      </c>
      <c r="F311" s="7" t="n">
        <f aca="false">C311-C310</f>
        <v>1</v>
      </c>
      <c r="H311" s="12"/>
    </row>
    <row r="312" customFormat="false" ht="15" hidden="false" customHeight="false" outlineLevel="0" collapsed="false">
      <c r="A312" s="7" t="s">
        <v>220</v>
      </c>
      <c r="B312" s="8" t="s">
        <v>221</v>
      </c>
      <c r="C312" s="7" t="n">
        <f aca="false">HEX2DEC(B312)</f>
        <v>920</v>
      </c>
      <c r="D312" s="9" t="str">
        <f aca="false">DEC2HEX(C312,8)</f>
        <v>00000398</v>
      </c>
      <c r="E312" s="10" t="str">
        <f aca="false">_xlfn.UNICHAR(C312)</f>
        <v>Θ</v>
      </c>
      <c r="F312" s="7" t="n">
        <f aca="false">C312-C311</f>
        <v>1</v>
      </c>
      <c r="H312" s="12"/>
    </row>
    <row r="313" customFormat="false" ht="15" hidden="false" customHeight="false" outlineLevel="0" collapsed="false">
      <c r="A313" s="7" t="s">
        <v>222</v>
      </c>
      <c r="B313" s="8" t="s">
        <v>223</v>
      </c>
      <c r="C313" s="7" t="n">
        <f aca="false">HEX2DEC(B313)</f>
        <v>921</v>
      </c>
      <c r="D313" s="9" t="str">
        <f aca="false">DEC2HEX(C313,8)</f>
        <v>00000399</v>
      </c>
      <c r="E313" s="10" t="str">
        <f aca="false">_xlfn.UNICHAR(C313)</f>
        <v>Ι</v>
      </c>
      <c r="F313" s="7" t="n">
        <f aca="false">C313-C312</f>
        <v>1</v>
      </c>
      <c r="H313" s="12"/>
    </row>
    <row r="314" customFormat="false" ht="15" hidden="false" customHeight="false" outlineLevel="0" collapsed="false">
      <c r="A314" s="7" t="s">
        <v>224</v>
      </c>
      <c r="B314" s="8" t="s">
        <v>225</v>
      </c>
      <c r="C314" s="7" t="n">
        <f aca="false">HEX2DEC(B314)</f>
        <v>922</v>
      </c>
      <c r="D314" s="9" t="str">
        <f aca="false">DEC2HEX(C314,8)</f>
        <v>0000039A</v>
      </c>
      <c r="E314" s="10" t="str">
        <f aca="false">_xlfn.UNICHAR(C314)</f>
        <v>Κ</v>
      </c>
      <c r="F314" s="7" t="n">
        <f aca="false">C314-C313</f>
        <v>1</v>
      </c>
      <c r="H314" s="12"/>
    </row>
    <row r="315" customFormat="false" ht="15" hidden="false" customHeight="false" outlineLevel="0" collapsed="false">
      <c r="A315" s="7" t="s">
        <v>226</v>
      </c>
      <c r="B315" s="8" t="s">
        <v>227</v>
      </c>
      <c r="C315" s="7" t="n">
        <f aca="false">HEX2DEC(B315)</f>
        <v>923</v>
      </c>
      <c r="D315" s="9" t="str">
        <f aca="false">DEC2HEX(C315,8)</f>
        <v>0000039B</v>
      </c>
      <c r="E315" s="10" t="str">
        <f aca="false">_xlfn.UNICHAR(C315)</f>
        <v>Λ</v>
      </c>
      <c r="F315" s="7" t="n">
        <f aca="false">C315-C314</f>
        <v>1</v>
      </c>
      <c r="H315" s="12"/>
    </row>
    <row r="316" customFormat="false" ht="15" hidden="false" customHeight="false" outlineLevel="0" collapsed="false">
      <c r="A316" s="7" t="s">
        <v>228</v>
      </c>
      <c r="B316" s="8" t="s">
        <v>229</v>
      </c>
      <c r="C316" s="7" t="n">
        <f aca="false">HEX2DEC(B316)</f>
        <v>924</v>
      </c>
      <c r="D316" s="9" t="str">
        <f aca="false">DEC2HEX(C316,8)</f>
        <v>0000039C</v>
      </c>
      <c r="E316" s="10" t="str">
        <f aca="false">_xlfn.UNICHAR(C316)</f>
        <v>Μ</v>
      </c>
      <c r="F316" s="7" t="n">
        <f aca="false">C316-C315</f>
        <v>1</v>
      </c>
      <c r="H316" s="12"/>
    </row>
    <row r="317" customFormat="false" ht="15" hidden="false" customHeight="false" outlineLevel="0" collapsed="false">
      <c r="A317" s="7" t="s">
        <v>230</v>
      </c>
      <c r="B317" s="8" t="s">
        <v>231</v>
      </c>
      <c r="C317" s="7" t="n">
        <f aca="false">HEX2DEC(B317)</f>
        <v>925</v>
      </c>
      <c r="D317" s="9" t="str">
        <f aca="false">DEC2HEX(C317,8)</f>
        <v>0000039D</v>
      </c>
      <c r="E317" s="10" t="str">
        <f aca="false">_xlfn.UNICHAR(C317)</f>
        <v>Ν</v>
      </c>
      <c r="F317" s="7" t="n">
        <f aca="false">C317-C316</f>
        <v>1</v>
      </c>
      <c r="H317" s="12"/>
    </row>
    <row r="318" customFormat="false" ht="15" hidden="false" customHeight="false" outlineLevel="0" collapsed="false">
      <c r="A318" s="7" t="s">
        <v>232</v>
      </c>
      <c r="B318" s="8" t="s">
        <v>233</v>
      </c>
      <c r="C318" s="7" t="n">
        <f aca="false">HEX2DEC(B318)</f>
        <v>926</v>
      </c>
      <c r="D318" s="9" t="str">
        <f aca="false">DEC2HEX(C318,8)</f>
        <v>0000039E</v>
      </c>
      <c r="E318" s="10" t="str">
        <f aca="false">_xlfn.UNICHAR(C318)</f>
        <v>Ξ</v>
      </c>
      <c r="F318" s="7" t="n">
        <f aca="false">C318-C317</f>
        <v>1</v>
      </c>
      <c r="H318" s="12"/>
    </row>
    <row r="319" customFormat="false" ht="15" hidden="false" customHeight="false" outlineLevel="0" collapsed="false">
      <c r="A319" s="7" t="s">
        <v>234</v>
      </c>
      <c r="B319" s="8" t="s">
        <v>235</v>
      </c>
      <c r="C319" s="7" t="n">
        <f aca="false">HEX2DEC(B319)</f>
        <v>927</v>
      </c>
      <c r="D319" s="9" t="str">
        <f aca="false">DEC2HEX(C319,8)</f>
        <v>0000039F</v>
      </c>
      <c r="E319" s="10" t="str">
        <f aca="false">_xlfn.UNICHAR(C319)</f>
        <v>Ο</v>
      </c>
      <c r="F319" s="7" t="n">
        <f aca="false">C319-C318</f>
        <v>1</v>
      </c>
      <c r="H319" s="12"/>
    </row>
    <row r="320" customFormat="false" ht="15" hidden="false" customHeight="false" outlineLevel="0" collapsed="false">
      <c r="A320" s="7" t="s">
        <v>236</v>
      </c>
      <c r="B320" s="8" t="s">
        <v>237</v>
      </c>
      <c r="C320" s="7" t="n">
        <f aca="false">HEX2DEC(B320)</f>
        <v>928</v>
      </c>
      <c r="D320" s="9" t="str">
        <f aca="false">DEC2HEX(C320,8)</f>
        <v>000003A0</v>
      </c>
      <c r="E320" s="10" t="str">
        <f aca="false">_xlfn.UNICHAR(C320)</f>
        <v>Π</v>
      </c>
      <c r="F320" s="7" t="n">
        <f aca="false">C320-C319</f>
        <v>1</v>
      </c>
      <c r="H320" s="12"/>
    </row>
    <row r="321" customFormat="false" ht="15" hidden="false" customHeight="false" outlineLevel="0" collapsed="false">
      <c r="A321" s="7" t="s">
        <v>238</v>
      </c>
      <c r="B321" s="8" t="s">
        <v>239</v>
      </c>
      <c r="C321" s="7" t="n">
        <f aca="false">HEX2DEC(B321)</f>
        <v>929</v>
      </c>
      <c r="D321" s="9" t="str">
        <f aca="false">DEC2HEX(C321,8)</f>
        <v>000003A1</v>
      </c>
      <c r="E321" s="10" t="str">
        <f aca="false">_xlfn.UNICHAR(C321)</f>
        <v>Ρ</v>
      </c>
      <c r="F321" s="7" t="n">
        <f aca="false">C321-C320</f>
        <v>1</v>
      </c>
      <c r="H321" s="12"/>
    </row>
    <row r="322" customFormat="false" ht="15" hidden="false" customHeight="false" outlineLevel="0" collapsed="false">
      <c r="A322" s="7" t="s">
        <v>240</v>
      </c>
      <c r="B322" s="8" t="s">
        <v>241</v>
      </c>
      <c r="C322" s="7" t="n">
        <f aca="false">HEX2DEC(B322)</f>
        <v>931</v>
      </c>
      <c r="D322" s="9" t="str">
        <f aca="false">DEC2HEX(C322,8)</f>
        <v>000003A3</v>
      </c>
      <c r="E322" s="10" t="str">
        <f aca="false">_xlfn.UNICHAR(C322)</f>
        <v>Σ</v>
      </c>
      <c r="F322" s="7" t="n">
        <f aca="false">C322-C321</f>
        <v>2</v>
      </c>
      <c r="H322" s="12"/>
    </row>
    <row r="323" customFormat="false" ht="15" hidden="false" customHeight="false" outlineLevel="0" collapsed="false">
      <c r="A323" s="7" t="s">
        <v>242</v>
      </c>
      <c r="B323" s="8" t="s">
        <v>243</v>
      </c>
      <c r="C323" s="7" t="n">
        <f aca="false">HEX2DEC(B323)</f>
        <v>932</v>
      </c>
      <c r="D323" s="9" t="str">
        <f aca="false">DEC2HEX(C323,8)</f>
        <v>000003A4</v>
      </c>
      <c r="E323" s="10" t="str">
        <f aca="false">_xlfn.UNICHAR(C323)</f>
        <v>Τ</v>
      </c>
      <c r="F323" s="7" t="n">
        <f aca="false">C323-C322</f>
        <v>1</v>
      </c>
      <c r="H323" s="12"/>
    </row>
    <row r="324" customFormat="false" ht="15" hidden="false" customHeight="false" outlineLevel="0" collapsed="false">
      <c r="A324" s="7" t="s">
        <v>244</v>
      </c>
      <c r="B324" s="8" t="s">
        <v>245</v>
      </c>
      <c r="C324" s="7" t="n">
        <f aca="false">HEX2DEC(B324)</f>
        <v>933</v>
      </c>
      <c r="D324" s="9" t="str">
        <f aca="false">DEC2HEX(C324,8)</f>
        <v>000003A5</v>
      </c>
      <c r="E324" s="10" t="str">
        <f aca="false">_xlfn.UNICHAR(C324)</f>
        <v>Υ</v>
      </c>
      <c r="F324" s="7" t="n">
        <f aca="false">C324-C323</f>
        <v>1</v>
      </c>
      <c r="H324" s="12"/>
    </row>
    <row r="325" customFormat="false" ht="15" hidden="false" customHeight="false" outlineLevel="0" collapsed="false">
      <c r="A325" s="7" t="s">
        <v>246</v>
      </c>
      <c r="B325" s="8" t="s">
        <v>247</v>
      </c>
      <c r="C325" s="7" t="n">
        <f aca="false">HEX2DEC(B325)</f>
        <v>934</v>
      </c>
      <c r="D325" s="9" t="str">
        <f aca="false">DEC2HEX(C325,8)</f>
        <v>000003A6</v>
      </c>
      <c r="E325" s="10" t="str">
        <f aca="false">_xlfn.UNICHAR(C325)</f>
        <v>Φ</v>
      </c>
      <c r="F325" s="7" t="n">
        <f aca="false">C325-C324</f>
        <v>1</v>
      </c>
      <c r="H325" s="12"/>
    </row>
    <row r="326" customFormat="false" ht="15" hidden="false" customHeight="false" outlineLevel="0" collapsed="false">
      <c r="A326" s="7" t="s">
        <v>248</v>
      </c>
      <c r="B326" s="8" t="s">
        <v>249</v>
      </c>
      <c r="C326" s="7" t="n">
        <f aca="false">HEX2DEC(B326)</f>
        <v>935</v>
      </c>
      <c r="D326" s="9" t="str">
        <f aca="false">DEC2HEX(C326,8)</f>
        <v>000003A7</v>
      </c>
      <c r="E326" s="10" t="str">
        <f aca="false">_xlfn.UNICHAR(C326)</f>
        <v>Χ</v>
      </c>
      <c r="F326" s="7" t="n">
        <f aca="false">C326-C325</f>
        <v>1</v>
      </c>
      <c r="H326" s="12"/>
    </row>
    <row r="327" customFormat="false" ht="15" hidden="false" customHeight="false" outlineLevel="0" collapsed="false">
      <c r="A327" s="7" t="s">
        <v>250</v>
      </c>
      <c r="B327" s="8" t="s">
        <v>251</v>
      </c>
      <c r="C327" s="7" t="n">
        <f aca="false">HEX2DEC(B327)</f>
        <v>936</v>
      </c>
      <c r="D327" s="9" t="str">
        <f aca="false">DEC2HEX(C327,8)</f>
        <v>000003A8</v>
      </c>
      <c r="E327" s="10" t="str">
        <f aca="false">_xlfn.UNICHAR(C327)</f>
        <v>Ψ</v>
      </c>
      <c r="F327" s="7" t="n">
        <f aca="false">C327-C326</f>
        <v>1</v>
      </c>
      <c r="H327" s="12"/>
    </row>
    <row r="328" customFormat="false" ht="15" hidden="false" customHeight="false" outlineLevel="0" collapsed="false">
      <c r="A328" s="7" t="s">
        <v>252</v>
      </c>
      <c r="B328" s="8" t="s">
        <v>253</v>
      </c>
      <c r="C328" s="7" t="n">
        <f aca="false">HEX2DEC(B328)</f>
        <v>937</v>
      </c>
      <c r="D328" s="9" t="str">
        <f aca="false">DEC2HEX(C328,8)</f>
        <v>000003A9</v>
      </c>
      <c r="E328" s="10" t="str">
        <f aca="false">_xlfn.UNICHAR(C328)</f>
        <v>Ω</v>
      </c>
      <c r="F328" s="7" t="n">
        <f aca="false">C328-C327</f>
        <v>1</v>
      </c>
      <c r="H328" s="12"/>
    </row>
    <row r="329" customFormat="false" ht="15" hidden="false" customHeight="false" outlineLevel="0" collapsed="false">
      <c r="A329" s="7" t="s">
        <v>254</v>
      </c>
      <c r="B329" s="8" t="s">
        <v>255</v>
      </c>
      <c r="C329" s="7" t="n">
        <f aca="false">HEX2DEC(B329)</f>
        <v>945</v>
      </c>
      <c r="D329" s="9" t="str">
        <f aca="false">DEC2HEX(C329,8)</f>
        <v>000003B1</v>
      </c>
      <c r="E329" s="10" t="str">
        <f aca="false">_xlfn.UNICHAR(C329)</f>
        <v>α</v>
      </c>
      <c r="F329" s="7" t="n">
        <f aca="false">C329-C328</f>
        <v>8</v>
      </c>
      <c r="H329" s="12"/>
    </row>
    <row r="330" customFormat="false" ht="15" hidden="false" customHeight="false" outlineLevel="0" collapsed="false">
      <c r="A330" s="7" t="s">
        <v>256</v>
      </c>
      <c r="B330" s="8" t="s">
        <v>257</v>
      </c>
      <c r="C330" s="7" t="n">
        <f aca="false">HEX2DEC(B330)</f>
        <v>946</v>
      </c>
      <c r="D330" s="9" t="str">
        <f aca="false">DEC2HEX(C330,8)</f>
        <v>000003B2</v>
      </c>
      <c r="E330" s="10" t="str">
        <f aca="false">_xlfn.UNICHAR(C330)</f>
        <v>β</v>
      </c>
      <c r="F330" s="7" t="n">
        <f aca="false">C330-C329</f>
        <v>1</v>
      </c>
      <c r="H330" s="12"/>
    </row>
    <row r="331" customFormat="false" ht="15" hidden="false" customHeight="false" outlineLevel="0" collapsed="false">
      <c r="A331" s="7" t="s">
        <v>258</v>
      </c>
      <c r="B331" s="8" t="s">
        <v>259</v>
      </c>
      <c r="C331" s="7" t="n">
        <f aca="false">HEX2DEC(B331)</f>
        <v>947</v>
      </c>
      <c r="D331" s="9" t="str">
        <f aca="false">DEC2HEX(C331,8)</f>
        <v>000003B3</v>
      </c>
      <c r="E331" s="10" t="str">
        <f aca="false">_xlfn.UNICHAR(C331)</f>
        <v>γ</v>
      </c>
      <c r="F331" s="7" t="n">
        <f aca="false">C331-C330</f>
        <v>1</v>
      </c>
      <c r="H331" s="12"/>
    </row>
    <row r="332" customFormat="false" ht="15" hidden="false" customHeight="false" outlineLevel="0" collapsed="false">
      <c r="A332" s="7" t="s">
        <v>260</v>
      </c>
      <c r="B332" s="8" t="s">
        <v>261</v>
      </c>
      <c r="C332" s="7" t="n">
        <f aca="false">HEX2DEC(B332)</f>
        <v>948</v>
      </c>
      <c r="D332" s="9" t="str">
        <f aca="false">DEC2HEX(C332,8)</f>
        <v>000003B4</v>
      </c>
      <c r="E332" s="10" t="str">
        <f aca="false">_xlfn.UNICHAR(C332)</f>
        <v>δ</v>
      </c>
      <c r="F332" s="7" t="n">
        <f aca="false">C332-C331</f>
        <v>1</v>
      </c>
      <c r="H332" s="12"/>
    </row>
    <row r="333" customFormat="false" ht="15" hidden="false" customHeight="false" outlineLevel="0" collapsed="false">
      <c r="A333" s="7" t="s">
        <v>262</v>
      </c>
      <c r="B333" s="8" t="s">
        <v>263</v>
      </c>
      <c r="C333" s="7" t="n">
        <f aca="false">HEX2DEC(B333)</f>
        <v>949</v>
      </c>
      <c r="D333" s="9" t="str">
        <f aca="false">DEC2HEX(C333,8)</f>
        <v>000003B5</v>
      </c>
      <c r="E333" s="10" t="str">
        <f aca="false">_xlfn.UNICHAR(C333)</f>
        <v>ε</v>
      </c>
      <c r="F333" s="7" t="n">
        <f aca="false">C333-C332</f>
        <v>1</v>
      </c>
      <c r="H333" s="12"/>
    </row>
    <row r="334" customFormat="false" ht="15" hidden="false" customHeight="false" outlineLevel="0" collapsed="false">
      <c r="A334" s="7" t="s">
        <v>264</v>
      </c>
      <c r="B334" s="8" t="s">
        <v>265</v>
      </c>
      <c r="C334" s="7" t="n">
        <f aca="false">HEX2DEC(B334)</f>
        <v>950</v>
      </c>
      <c r="D334" s="9" t="str">
        <f aca="false">DEC2HEX(C334,8)</f>
        <v>000003B6</v>
      </c>
      <c r="E334" s="10" t="str">
        <f aca="false">_xlfn.UNICHAR(C334)</f>
        <v>ζ</v>
      </c>
      <c r="F334" s="7" t="n">
        <f aca="false">C334-C333</f>
        <v>1</v>
      </c>
    </row>
    <row r="335" customFormat="false" ht="15" hidden="false" customHeight="false" outlineLevel="0" collapsed="false">
      <c r="A335" s="7" t="s">
        <v>266</v>
      </c>
      <c r="B335" s="8" t="s">
        <v>267</v>
      </c>
      <c r="C335" s="7" t="n">
        <f aca="false">HEX2DEC(B335)</f>
        <v>951</v>
      </c>
      <c r="D335" s="9" t="str">
        <f aca="false">DEC2HEX(C335,8)</f>
        <v>000003B7</v>
      </c>
      <c r="E335" s="10" t="str">
        <f aca="false">_xlfn.UNICHAR(C335)</f>
        <v>η</v>
      </c>
      <c r="F335" s="7" t="n">
        <f aca="false">C335-C334</f>
        <v>1</v>
      </c>
    </row>
    <row r="336" customFormat="false" ht="15" hidden="false" customHeight="false" outlineLevel="0" collapsed="false">
      <c r="A336" s="7" t="s">
        <v>268</v>
      </c>
      <c r="B336" s="8" t="s">
        <v>269</v>
      </c>
      <c r="C336" s="7" t="n">
        <f aca="false">HEX2DEC(B336)</f>
        <v>952</v>
      </c>
      <c r="D336" s="9" t="str">
        <f aca="false">DEC2HEX(C336,8)</f>
        <v>000003B8</v>
      </c>
      <c r="E336" s="10" t="str">
        <f aca="false">_xlfn.UNICHAR(C336)</f>
        <v>θ</v>
      </c>
      <c r="F336" s="7" t="n">
        <f aca="false">C336-C335</f>
        <v>1</v>
      </c>
    </row>
    <row r="337" customFormat="false" ht="15" hidden="false" customHeight="false" outlineLevel="0" collapsed="false">
      <c r="A337" s="7" t="s">
        <v>270</v>
      </c>
      <c r="B337" s="8" t="s">
        <v>271</v>
      </c>
      <c r="C337" s="7" t="n">
        <f aca="false">HEX2DEC(B337)</f>
        <v>953</v>
      </c>
      <c r="D337" s="9" t="str">
        <f aca="false">DEC2HEX(C337,8)</f>
        <v>000003B9</v>
      </c>
      <c r="E337" s="10" t="str">
        <f aca="false">_xlfn.UNICHAR(C337)</f>
        <v>ι</v>
      </c>
      <c r="F337" s="7" t="n">
        <f aca="false">C337-C336</f>
        <v>1</v>
      </c>
    </row>
    <row r="338" customFormat="false" ht="15" hidden="false" customHeight="false" outlineLevel="0" collapsed="false">
      <c r="A338" s="7" t="s">
        <v>272</v>
      </c>
      <c r="B338" s="8" t="s">
        <v>273</v>
      </c>
      <c r="C338" s="7" t="n">
        <f aca="false">HEX2DEC(B338)</f>
        <v>954</v>
      </c>
      <c r="D338" s="9" t="str">
        <f aca="false">DEC2HEX(C338,8)</f>
        <v>000003BA</v>
      </c>
      <c r="E338" s="10" t="str">
        <f aca="false">_xlfn.UNICHAR(C338)</f>
        <v>κ</v>
      </c>
      <c r="F338" s="7" t="n">
        <f aca="false">C338-C337</f>
        <v>1</v>
      </c>
    </row>
    <row r="339" customFormat="false" ht="15" hidden="false" customHeight="false" outlineLevel="0" collapsed="false">
      <c r="A339" s="7" t="s">
        <v>274</v>
      </c>
      <c r="B339" s="8" t="s">
        <v>275</v>
      </c>
      <c r="C339" s="7" t="n">
        <f aca="false">HEX2DEC(B339)</f>
        <v>955</v>
      </c>
      <c r="D339" s="9" t="str">
        <f aca="false">DEC2HEX(C339,8)</f>
        <v>000003BB</v>
      </c>
      <c r="E339" s="10" t="str">
        <f aca="false">_xlfn.UNICHAR(C339)</f>
        <v>λ</v>
      </c>
      <c r="F339" s="7" t="n">
        <f aca="false">C339-C338</f>
        <v>1</v>
      </c>
    </row>
    <row r="340" customFormat="false" ht="15" hidden="false" customHeight="false" outlineLevel="0" collapsed="false">
      <c r="A340" s="7" t="s">
        <v>276</v>
      </c>
      <c r="B340" s="8" t="s">
        <v>277</v>
      </c>
      <c r="C340" s="7" t="n">
        <f aca="false">HEX2DEC(B340)</f>
        <v>956</v>
      </c>
      <c r="D340" s="9" t="str">
        <f aca="false">DEC2HEX(C340,8)</f>
        <v>000003BC</v>
      </c>
      <c r="E340" s="10" t="str">
        <f aca="false">_xlfn.UNICHAR(C340)</f>
        <v>μ</v>
      </c>
      <c r="F340" s="7" t="n">
        <f aca="false">C340-C339</f>
        <v>1</v>
      </c>
    </row>
    <row r="341" customFormat="false" ht="15" hidden="false" customHeight="false" outlineLevel="0" collapsed="false">
      <c r="A341" s="7" t="s">
        <v>278</v>
      </c>
      <c r="B341" s="8" t="s">
        <v>279</v>
      </c>
      <c r="C341" s="7" t="n">
        <f aca="false">HEX2DEC(B341)</f>
        <v>957</v>
      </c>
      <c r="D341" s="9" t="str">
        <f aca="false">DEC2HEX(C341,8)</f>
        <v>000003BD</v>
      </c>
      <c r="E341" s="10" t="str">
        <f aca="false">_xlfn.UNICHAR(C341)</f>
        <v>ν</v>
      </c>
      <c r="F341" s="7" t="n">
        <f aca="false">C341-C340</f>
        <v>1</v>
      </c>
    </row>
    <row r="342" customFormat="false" ht="15" hidden="false" customHeight="false" outlineLevel="0" collapsed="false">
      <c r="A342" s="7" t="s">
        <v>280</v>
      </c>
      <c r="B342" s="8" t="s">
        <v>281</v>
      </c>
      <c r="C342" s="7" t="n">
        <f aca="false">HEX2DEC(B342)</f>
        <v>958</v>
      </c>
      <c r="D342" s="9" t="str">
        <f aca="false">DEC2HEX(C342,8)</f>
        <v>000003BE</v>
      </c>
      <c r="E342" s="10" t="str">
        <f aca="false">_xlfn.UNICHAR(C342)</f>
        <v>ξ</v>
      </c>
      <c r="F342" s="7" t="n">
        <f aca="false">C342-C341</f>
        <v>1</v>
      </c>
    </row>
    <row r="343" customFormat="false" ht="15" hidden="false" customHeight="false" outlineLevel="0" collapsed="false">
      <c r="A343" s="7" t="s">
        <v>282</v>
      </c>
      <c r="B343" s="8" t="s">
        <v>283</v>
      </c>
      <c r="C343" s="7" t="n">
        <f aca="false">HEX2DEC(B343)</f>
        <v>959</v>
      </c>
      <c r="D343" s="9" t="str">
        <f aca="false">DEC2HEX(C343,8)</f>
        <v>000003BF</v>
      </c>
      <c r="E343" s="10" t="str">
        <f aca="false">_xlfn.UNICHAR(C343)</f>
        <v>ο</v>
      </c>
      <c r="F343" s="7" t="n">
        <f aca="false">C343-C342</f>
        <v>1</v>
      </c>
    </row>
    <row r="344" customFormat="false" ht="15" hidden="false" customHeight="false" outlineLevel="0" collapsed="false">
      <c r="A344" s="7" t="s">
        <v>284</v>
      </c>
      <c r="B344" s="8" t="s">
        <v>285</v>
      </c>
      <c r="C344" s="7" t="n">
        <f aca="false">HEX2DEC(B344)</f>
        <v>960</v>
      </c>
      <c r="D344" s="9" t="str">
        <f aca="false">DEC2HEX(C344,8)</f>
        <v>000003C0</v>
      </c>
      <c r="E344" s="10" t="str">
        <f aca="false">_xlfn.UNICHAR(C344)</f>
        <v>π</v>
      </c>
      <c r="F344" s="7" t="n">
        <f aca="false">C344-C343</f>
        <v>1</v>
      </c>
    </row>
    <row r="345" customFormat="false" ht="15" hidden="false" customHeight="false" outlineLevel="0" collapsed="false">
      <c r="A345" s="7" t="s">
        <v>286</v>
      </c>
      <c r="B345" s="8" t="s">
        <v>287</v>
      </c>
      <c r="C345" s="7" t="n">
        <f aca="false">HEX2DEC(B345)</f>
        <v>961</v>
      </c>
      <c r="D345" s="9" t="str">
        <f aca="false">DEC2HEX(C345,8)</f>
        <v>000003C1</v>
      </c>
      <c r="E345" s="10" t="str">
        <f aca="false">_xlfn.UNICHAR(C345)</f>
        <v>ρ</v>
      </c>
      <c r="F345" s="7" t="n">
        <f aca="false">C345-C344</f>
        <v>1</v>
      </c>
    </row>
    <row r="346" customFormat="false" ht="15" hidden="false" customHeight="false" outlineLevel="0" collapsed="false">
      <c r="A346" s="7" t="s">
        <v>288</v>
      </c>
      <c r="B346" s="8" t="s">
        <v>289</v>
      </c>
      <c r="C346" s="7" t="n">
        <f aca="false">HEX2DEC(B346)</f>
        <v>962</v>
      </c>
      <c r="D346" s="9" t="str">
        <f aca="false">DEC2HEX(C346,8)</f>
        <v>000003C2</v>
      </c>
      <c r="E346" s="10" t="str">
        <f aca="false">_xlfn.UNICHAR(C346)</f>
        <v>ς</v>
      </c>
      <c r="F346" s="7" t="n">
        <f aca="false">C346-C345</f>
        <v>1</v>
      </c>
    </row>
    <row r="347" customFormat="false" ht="15" hidden="false" customHeight="false" outlineLevel="0" collapsed="false">
      <c r="A347" s="7" t="s">
        <v>290</v>
      </c>
      <c r="B347" s="8" t="s">
        <v>291</v>
      </c>
      <c r="C347" s="7" t="n">
        <f aca="false">HEX2DEC(B347)</f>
        <v>963</v>
      </c>
      <c r="D347" s="9" t="str">
        <f aca="false">DEC2HEX(C347,8)</f>
        <v>000003C3</v>
      </c>
      <c r="E347" s="10" t="str">
        <f aca="false">_xlfn.UNICHAR(C347)</f>
        <v>σ</v>
      </c>
      <c r="F347" s="7" t="n">
        <f aca="false">C347-C346</f>
        <v>1</v>
      </c>
    </row>
    <row r="348" customFormat="false" ht="15" hidden="false" customHeight="false" outlineLevel="0" collapsed="false">
      <c r="A348" s="7" t="s">
        <v>292</v>
      </c>
      <c r="B348" s="8" t="s">
        <v>293</v>
      </c>
      <c r="C348" s="7" t="n">
        <f aca="false">HEX2DEC(B348)</f>
        <v>964</v>
      </c>
      <c r="D348" s="9" t="str">
        <f aca="false">DEC2HEX(C348,8)</f>
        <v>000003C4</v>
      </c>
      <c r="E348" s="10" t="str">
        <f aca="false">_xlfn.UNICHAR(C348)</f>
        <v>τ</v>
      </c>
      <c r="F348" s="7" t="n">
        <f aca="false">C348-C347</f>
        <v>1</v>
      </c>
    </row>
    <row r="349" customFormat="false" ht="15" hidden="false" customHeight="false" outlineLevel="0" collapsed="false">
      <c r="A349" s="7" t="s">
        <v>294</v>
      </c>
      <c r="B349" s="8" t="s">
        <v>295</v>
      </c>
      <c r="C349" s="7" t="n">
        <f aca="false">HEX2DEC(B349)</f>
        <v>965</v>
      </c>
      <c r="D349" s="9" t="str">
        <f aca="false">DEC2HEX(C349,8)</f>
        <v>000003C5</v>
      </c>
      <c r="E349" s="10" t="str">
        <f aca="false">_xlfn.UNICHAR(C349)</f>
        <v>υ</v>
      </c>
      <c r="F349" s="7" t="n">
        <f aca="false">C349-C348</f>
        <v>1</v>
      </c>
    </row>
    <row r="350" customFormat="false" ht="15" hidden="false" customHeight="false" outlineLevel="0" collapsed="false">
      <c r="A350" s="7" t="s">
        <v>296</v>
      </c>
      <c r="B350" s="8" t="s">
        <v>297</v>
      </c>
      <c r="C350" s="7" t="n">
        <f aca="false">HEX2DEC(B350)</f>
        <v>966</v>
      </c>
      <c r="D350" s="9" t="str">
        <f aca="false">DEC2HEX(C350,8)</f>
        <v>000003C6</v>
      </c>
      <c r="E350" s="10" t="str">
        <f aca="false">_xlfn.UNICHAR(C350)</f>
        <v>φ</v>
      </c>
      <c r="F350" s="7" t="n">
        <f aca="false">C350-C349</f>
        <v>1</v>
      </c>
    </row>
    <row r="351" customFormat="false" ht="15" hidden="false" customHeight="false" outlineLevel="0" collapsed="false">
      <c r="A351" s="12" t="s">
        <v>298</v>
      </c>
      <c r="B351" s="11" t="s">
        <v>299</v>
      </c>
      <c r="C351" s="7" t="n">
        <f aca="false">HEX2DEC(B351)</f>
        <v>967</v>
      </c>
      <c r="D351" s="9" t="str">
        <f aca="false">DEC2HEX(C351,8)</f>
        <v>000003C7</v>
      </c>
      <c r="E351" s="10" t="str">
        <f aca="false">_xlfn.UNICHAR(C351)</f>
        <v>χ</v>
      </c>
      <c r="F351" s="7" t="n">
        <f aca="false">C351-C350</f>
        <v>1</v>
      </c>
    </row>
    <row r="352" customFormat="false" ht="15" hidden="false" customHeight="false" outlineLevel="0" collapsed="false">
      <c r="A352" s="7" t="s">
        <v>300</v>
      </c>
      <c r="B352" s="8" t="s">
        <v>301</v>
      </c>
      <c r="C352" s="7" t="n">
        <f aca="false">HEX2DEC(B352)</f>
        <v>968</v>
      </c>
      <c r="D352" s="9" t="str">
        <f aca="false">DEC2HEX(C352,8)</f>
        <v>000003C8</v>
      </c>
      <c r="E352" s="10" t="str">
        <f aca="false">_xlfn.UNICHAR(C352)</f>
        <v>ψ</v>
      </c>
      <c r="F352" s="7" t="n">
        <f aca="false">C352-C351</f>
        <v>1</v>
      </c>
    </row>
    <row r="353" customFormat="false" ht="15" hidden="false" customHeight="false" outlineLevel="0" collapsed="false">
      <c r="A353" s="7" t="s">
        <v>302</v>
      </c>
      <c r="B353" s="8" t="s">
        <v>303</v>
      </c>
      <c r="C353" s="7" t="n">
        <f aca="false">HEX2DEC(B353)</f>
        <v>969</v>
      </c>
      <c r="D353" s="9" t="str">
        <f aca="false">DEC2HEX(C353,8)</f>
        <v>000003C9</v>
      </c>
      <c r="E353" s="10" t="str">
        <f aca="false">_xlfn.UNICHAR(C353)</f>
        <v>ω</v>
      </c>
      <c r="F353" s="7" t="n">
        <f aca="false">C353-C352</f>
        <v>1</v>
      </c>
    </row>
    <row r="354" customFormat="false" ht="15" hidden="false" customHeight="false" outlineLevel="0" collapsed="false">
      <c r="A354" s="7" t="s">
        <v>304</v>
      </c>
      <c r="B354" s="8" t="s">
        <v>305</v>
      </c>
      <c r="C354" s="7" t="n">
        <f aca="false">HEX2DEC(B354)</f>
        <v>1025</v>
      </c>
      <c r="D354" s="9" t="str">
        <f aca="false">DEC2HEX(C354,8)</f>
        <v>00000401</v>
      </c>
      <c r="E354" s="10" t="str">
        <f aca="false">_xlfn.UNICHAR(C354)</f>
        <v>Ё</v>
      </c>
      <c r="F354" s="7" t="n">
        <f aca="false">C354-C353</f>
        <v>56</v>
      </c>
    </row>
    <row r="355" customFormat="false" ht="15" hidden="false" customHeight="false" outlineLevel="0" collapsed="false">
      <c r="A355" s="7" t="s">
        <v>306</v>
      </c>
      <c r="B355" s="8" t="s">
        <v>307</v>
      </c>
      <c r="C355" s="7" t="n">
        <f aca="false">HEX2DEC(B355)</f>
        <v>1028</v>
      </c>
      <c r="D355" s="9" t="str">
        <f aca="false">DEC2HEX(C355,8)</f>
        <v>00000404</v>
      </c>
      <c r="E355" s="10" t="str">
        <f aca="false">_xlfn.UNICHAR(C355)</f>
        <v>Є</v>
      </c>
      <c r="F355" s="7" t="n">
        <f aca="false">C355-C354</f>
        <v>3</v>
      </c>
    </row>
    <row r="356" customFormat="false" ht="15" hidden="false" customHeight="false" outlineLevel="0" collapsed="false">
      <c r="A356" s="7" t="s">
        <v>308</v>
      </c>
      <c r="B356" s="8" t="s">
        <v>309</v>
      </c>
      <c r="C356" s="7" t="n">
        <f aca="false">HEX2DEC(B356)</f>
        <v>1030</v>
      </c>
      <c r="D356" s="9" t="str">
        <f aca="false">DEC2HEX(C356,8)</f>
        <v>00000406</v>
      </c>
      <c r="E356" s="10" t="str">
        <f aca="false">_xlfn.UNICHAR(C356)</f>
        <v>І</v>
      </c>
      <c r="F356" s="7" t="n">
        <f aca="false">C356-C355</f>
        <v>2</v>
      </c>
    </row>
    <row r="357" customFormat="false" ht="15" hidden="false" customHeight="false" outlineLevel="0" collapsed="false">
      <c r="A357" s="7" t="s">
        <v>310</v>
      </c>
      <c r="B357" s="8" t="s">
        <v>311</v>
      </c>
      <c r="C357" s="7" t="n">
        <f aca="false">HEX2DEC(B357)</f>
        <v>1031</v>
      </c>
      <c r="D357" s="9" t="str">
        <f aca="false">DEC2HEX(C357,8)</f>
        <v>00000407</v>
      </c>
      <c r="E357" s="10" t="str">
        <f aca="false">_xlfn.UNICHAR(C357)</f>
        <v>Ї</v>
      </c>
      <c r="F357" s="7" t="n">
        <f aca="false">C357-C356</f>
        <v>1</v>
      </c>
    </row>
    <row r="358" customFormat="false" ht="15" hidden="false" customHeight="false" outlineLevel="0" collapsed="false">
      <c r="A358" s="14" t="s">
        <v>312</v>
      </c>
      <c r="B358" s="8" t="s">
        <v>313</v>
      </c>
      <c r="C358" s="7" t="n">
        <f aca="false">HEX2DEC(B358)</f>
        <v>1037</v>
      </c>
      <c r="D358" s="9" t="str">
        <f aca="false">DEC2HEX(C358,8)</f>
        <v>0000040D</v>
      </c>
      <c r="E358" s="10" t="str">
        <f aca="false">_xlfn.UNICHAR(C358)</f>
        <v>Ѝ</v>
      </c>
      <c r="F358" s="7" t="n">
        <f aca="false">C358-C357</f>
        <v>6</v>
      </c>
    </row>
    <row r="359" customFormat="false" ht="15" hidden="false" customHeight="false" outlineLevel="0" collapsed="false">
      <c r="A359" s="7" t="s">
        <v>314</v>
      </c>
      <c r="B359" s="8" t="s">
        <v>315</v>
      </c>
      <c r="C359" s="7" t="n">
        <f aca="false">HEX2DEC(B359)</f>
        <v>1038</v>
      </c>
      <c r="D359" s="9" t="str">
        <f aca="false">DEC2HEX(C359,8)</f>
        <v>0000040E</v>
      </c>
      <c r="E359" s="10" t="str">
        <f aca="false">_xlfn.UNICHAR(C359)</f>
        <v>Ў</v>
      </c>
      <c r="F359" s="7" t="n">
        <f aca="false">C359-C358</f>
        <v>1</v>
      </c>
    </row>
    <row r="360" customFormat="false" ht="15" hidden="false" customHeight="false" outlineLevel="0" collapsed="false">
      <c r="A360" s="12" t="s">
        <v>316</v>
      </c>
      <c r="B360" s="11" t="n">
        <v>410</v>
      </c>
      <c r="C360" s="7" t="n">
        <f aca="false">HEX2DEC(B360)</f>
        <v>1040</v>
      </c>
      <c r="D360" s="9" t="str">
        <f aca="false">DEC2HEX(C360,8)</f>
        <v>00000410</v>
      </c>
      <c r="E360" s="10" t="str">
        <f aca="false">_xlfn.UNICHAR(C360)</f>
        <v>А</v>
      </c>
      <c r="F360" s="7" t="n">
        <f aca="false">C360-C359</f>
        <v>2</v>
      </c>
    </row>
    <row r="361" customFormat="false" ht="15" hidden="false" customHeight="false" outlineLevel="0" collapsed="false">
      <c r="A361" s="12" t="s">
        <v>317</v>
      </c>
      <c r="B361" s="11" t="n">
        <v>411</v>
      </c>
      <c r="C361" s="7" t="n">
        <f aca="false">HEX2DEC(B361)</f>
        <v>1041</v>
      </c>
      <c r="D361" s="9" t="str">
        <f aca="false">DEC2HEX(C361,8)</f>
        <v>00000411</v>
      </c>
      <c r="E361" s="10" t="str">
        <f aca="false">_xlfn.UNICHAR(C361)</f>
        <v>Б</v>
      </c>
      <c r="F361" s="7" t="n">
        <f aca="false">C361-C360</f>
        <v>1</v>
      </c>
    </row>
    <row r="362" customFormat="false" ht="15" hidden="false" customHeight="false" outlineLevel="0" collapsed="false">
      <c r="A362" s="12" t="s">
        <v>318</v>
      </c>
      <c r="B362" s="11" t="n">
        <v>412</v>
      </c>
      <c r="C362" s="7" t="n">
        <f aca="false">HEX2DEC(B362)</f>
        <v>1042</v>
      </c>
      <c r="D362" s="9" t="str">
        <f aca="false">DEC2HEX(C362,8)</f>
        <v>00000412</v>
      </c>
      <c r="E362" s="10" t="str">
        <f aca="false">_xlfn.UNICHAR(C362)</f>
        <v>В</v>
      </c>
      <c r="F362" s="7" t="n">
        <f aca="false">C362-C361</f>
        <v>1</v>
      </c>
    </row>
    <row r="363" customFormat="false" ht="15" hidden="false" customHeight="false" outlineLevel="0" collapsed="false">
      <c r="A363" s="12" t="s">
        <v>319</v>
      </c>
      <c r="B363" s="11" t="n">
        <v>413</v>
      </c>
      <c r="C363" s="7" t="n">
        <f aca="false">HEX2DEC(B363)</f>
        <v>1043</v>
      </c>
      <c r="D363" s="9" t="str">
        <f aca="false">DEC2HEX(C363,8)</f>
        <v>00000413</v>
      </c>
      <c r="E363" s="10" t="str">
        <f aca="false">_xlfn.UNICHAR(C363)</f>
        <v>Г</v>
      </c>
      <c r="F363" s="7" t="n">
        <f aca="false">C363-C362</f>
        <v>1</v>
      </c>
    </row>
    <row r="364" customFormat="false" ht="15" hidden="false" customHeight="false" outlineLevel="0" collapsed="false">
      <c r="A364" s="12" t="s">
        <v>320</v>
      </c>
      <c r="B364" s="11" t="n">
        <v>414</v>
      </c>
      <c r="C364" s="7" t="n">
        <f aca="false">HEX2DEC(B364)</f>
        <v>1044</v>
      </c>
      <c r="D364" s="9" t="str">
        <f aca="false">DEC2HEX(C364,8)</f>
        <v>00000414</v>
      </c>
      <c r="E364" s="10" t="str">
        <f aca="false">_xlfn.UNICHAR(C364)</f>
        <v>Д</v>
      </c>
      <c r="F364" s="7" t="n">
        <f aca="false">C364-C363</f>
        <v>1</v>
      </c>
    </row>
    <row r="365" customFormat="false" ht="15" hidden="false" customHeight="false" outlineLevel="0" collapsed="false">
      <c r="A365" s="12" t="s">
        <v>321</v>
      </c>
      <c r="B365" s="11" t="n">
        <v>415</v>
      </c>
      <c r="C365" s="7" t="n">
        <f aca="false">HEX2DEC(B365)</f>
        <v>1045</v>
      </c>
      <c r="D365" s="9" t="str">
        <f aca="false">DEC2HEX(C365,8)</f>
        <v>00000415</v>
      </c>
      <c r="E365" s="10" t="str">
        <f aca="false">_xlfn.UNICHAR(C365)</f>
        <v>Е</v>
      </c>
      <c r="F365" s="7" t="n">
        <f aca="false">C365-C364</f>
        <v>1</v>
      </c>
    </row>
    <row r="366" customFormat="false" ht="15" hidden="false" customHeight="false" outlineLevel="0" collapsed="false">
      <c r="A366" s="12" t="s">
        <v>322</v>
      </c>
      <c r="B366" s="11" t="n">
        <v>416</v>
      </c>
      <c r="C366" s="7" t="n">
        <f aca="false">HEX2DEC(B366)</f>
        <v>1046</v>
      </c>
      <c r="D366" s="9" t="str">
        <f aca="false">DEC2HEX(C366,8)</f>
        <v>00000416</v>
      </c>
      <c r="E366" s="10" t="str">
        <f aca="false">_xlfn.UNICHAR(C366)</f>
        <v>Ж</v>
      </c>
      <c r="F366" s="7" t="n">
        <f aca="false">C366-C365</f>
        <v>1</v>
      </c>
    </row>
    <row r="367" customFormat="false" ht="15" hidden="false" customHeight="false" outlineLevel="0" collapsed="false">
      <c r="A367" s="12" t="s">
        <v>323</v>
      </c>
      <c r="B367" s="11" t="n">
        <v>417</v>
      </c>
      <c r="C367" s="7" t="n">
        <f aca="false">HEX2DEC(B367)</f>
        <v>1047</v>
      </c>
      <c r="D367" s="9" t="str">
        <f aca="false">DEC2HEX(C367,8)</f>
        <v>00000417</v>
      </c>
      <c r="E367" s="10" t="str">
        <f aca="false">_xlfn.UNICHAR(C367)</f>
        <v>З</v>
      </c>
      <c r="F367" s="7" t="n">
        <f aca="false">C367-C366</f>
        <v>1</v>
      </c>
    </row>
    <row r="368" customFormat="false" ht="15" hidden="false" customHeight="false" outlineLevel="0" collapsed="false">
      <c r="A368" s="12" t="s">
        <v>324</v>
      </c>
      <c r="B368" s="11" t="n">
        <v>418</v>
      </c>
      <c r="C368" s="7" t="n">
        <f aca="false">HEX2DEC(B368)</f>
        <v>1048</v>
      </c>
      <c r="D368" s="9" t="str">
        <f aca="false">DEC2HEX(C368,8)</f>
        <v>00000418</v>
      </c>
      <c r="E368" s="10" t="str">
        <f aca="false">_xlfn.UNICHAR(C368)</f>
        <v>И</v>
      </c>
      <c r="F368" s="7" t="n">
        <f aca="false">C368-C367</f>
        <v>1</v>
      </c>
    </row>
    <row r="369" customFormat="false" ht="15" hidden="false" customHeight="false" outlineLevel="0" collapsed="false">
      <c r="A369" s="12" t="s">
        <v>325</v>
      </c>
      <c r="B369" s="11" t="n">
        <v>419</v>
      </c>
      <c r="C369" s="7" t="n">
        <f aca="false">HEX2DEC(B369)</f>
        <v>1049</v>
      </c>
      <c r="D369" s="9" t="str">
        <f aca="false">DEC2HEX(C369,8)</f>
        <v>00000419</v>
      </c>
      <c r="E369" s="10" t="str">
        <f aca="false">_xlfn.UNICHAR(C369)</f>
        <v>Й</v>
      </c>
      <c r="F369" s="7" t="n">
        <f aca="false">C369-C368</f>
        <v>1</v>
      </c>
    </row>
    <row r="370" customFormat="false" ht="15" hidden="false" customHeight="false" outlineLevel="0" collapsed="false">
      <c r="A370" s="12" t="s">
        <v>326</v>
      </c>
      <c r="B370" s="11" t="s">
        <v>327</v>
      </c>
      <c r="C370" s="7" t="n">
        <f aca="false">HEX2DEC(B370)</f>
        <v>1050</v>
      </c>
      <c r="D370" s="9" t="str">
        <f aca="false">DEC2HEX(C370,8)</f>
        <v>0000041A</v>
      </c>
      <c r="E370" s="10" t="str">
        <f aca="false">_xlfn.UNICHAR(C370)</f>
        <v>К</v>
      </c>
      <c r="F370" s="7" t="n">
        <f aca="false">C370-C369</f>
        <v>1</v>
      </c>
    </row>
    <row r="371" customFormat="false" ht="15" hidden="false" customHeight="false" outlineLevel="0" collapsed="false">
      <c r="A371" s="12" t="s">
        <v>328</v>
      </c>
      <c r="B371" s="11" t="s">
        <v>329</v>
      </c>
      <c r="C371" s="7" t="n">
        <f aca="false">HEX2DEC(B371)</f>
        <v>1051</v>
      </c>
      <c r="D371" s="9" t="str">
        <f aca="false">DEC2HEX(C371,8)</f>
        <v>0000041B</v>
      </c>
      <c r="E371" s="10" t="str">
        <f aca="false">_xlfn.UNICHAR(C371)</f>
        <v>Л</v>
      </c>
      <c r="F371" s="7" t="n">
        <f aca="false">C371-C370</f>
        <v>1</v>
      </c>
    </row>
    <row r="372" customFormat="false" ht="15" hidden="false" customHeight="false" outlineLevel="0" collapsed="false">
      <c r="A372" s="12" t="s">
        <v>330</v>
      </c>
      <c r="B372" s="11" t="s">
        <v>331</v>
      </c>
      <c r="C372" s="7" t="n">
        <f aca="false">HEX2DEC(B372)</f>
        <v>1052</v>
      </c>
      <c r="D372" s="9" t="str">
        <f aca="false">DEC2HEX(C372,8)</f>
        <v>0000041C</v>
      </c>
      <c r="E372" s="10" t="str">
        <f aca="false">_xlfn.UNICHAR(C372)</f>
        <v>М</v>
      </c>
      <c r="F372" s="7" t="n">
        <f aca="false">C372-C371</f>
        <v>1</v>
      </c>
    </row>
    <row r="373" customFormat="false" ht="15" hidden="false" customHeight="false" outlineLevel="0" collapsed="false">
      <c r="A373" s="12" t="s">
        <v>332</v>
      </c>
      <c r="B373" s="11" t="s">
        <v>333</v>
      </c>
      <c r="C373" s="7" t="n">
        <f aca="false">HEX2DEC(B373)</f>
        <v>1053</v>
      </c>
      <c r="D373" s="9" t="str">
        <f aca="false">DEC2HEX(C373,8)</f>
        <v>0000041D</v>
      </c>
      <c r="E373" s="10" t="str">
        <f aca="false">_xlfn.UNICHAR(C373)</f>
        <v>Н</v>
      </c>
      <c r="F373" s="7" t="n">
        <f aca="false">C373-C372</f>
        <v>1</v>
      </c>
    </row>
    <row r="374" customFormat="false" ht="15" hidden="false" customHeight="false" outlineLevel="0" collapsed="false">
      <c r="A374" s="12" t="s">
        <v>334</v>
      </c>
      <c r="B374" s="11" t="s">
        <v>335</v>
      </c>
      <c r="C374" s="7" t="n">
        <f aca="false">HEX2DEC(B374)</f>
        <v>1054</v>
      </c>
      <c r="D374" s="9" t="str">
        <f aca="false">DEC2HEX(C374,8)</f>
        <v>0000041E</v>
      </c>
      <c r="E374" s="10" t="str">
        <f aca="false">_xlfn.UNICHAR(C374)</f>
        <v>О</v>
      </c>
      <c r="F374" s="7" t="n">
        <f aca="false">C374-C373</f>
        <v>1</v>
      </c>
    </row>
    <row r="375" customFormat="false" ht="15" hidden="false" customHeight="false" outlineLevel="0" collapsed="false">
      <c r="A375" s="12" t="s">
        <v>336</v>
      </c>
      <c r="B375" s="11" t="s">
        <v>337</v>
      </c>
      <c r="C375" s="7" t="n">
        <f aca="false">HEX2DEC(B375)</f>
        <v>1055</v>
      </c>
      <c r="D375" s="9" t="str">
        <f aca="false">DEC2HEX(C375,8)</f>
        <v>0000041F</v>
      </c>
      <c r="E375" s="10" t="str">
        <f aca="false">_xlfn.UNICHAR(C375)</f>
        <v>П</v>
      </c>
      <c r="F375" s="7" t="n">
        <f aca="false">C375-C374</f>
        <v>1</v>
      </c>
    </row>
    <row r="376" customFormat="false" ht="15" hidden="false" customHeight="false" outlineLevel="0" collapsed="false">
      <c r="A376" s="12" t="s">
        <v>338</v>
      </c>
      <c r="B376" s="11" t="n">
        <v>420</v>
      </c>
      <c r="C376" s="7" t="n">
        <f aca="false">HEX2DEC(B376)</f>
        <v>1056</v>
      </c>
      <c r="D376" s="9" t="str">
        <f aca="false">DEC2HEX(C376,8)</f>
        <v>00000420</v>
      </c>
      <c r="E376" s="10" t="str">
        <f aca="false">_xlfn.UNICHAR(C376)</f>
        <v>Р</v>
      </c>
      <c r="F376" s="7" t="n">
        <f aca="false">C376-C375</f>
        <v>1</v>
      </c>
    </row>
    <row r="377" customFormat="false" ht="15" hidden="false" customHeight="false" outlineLevel="0" collapsed="false">
      <c r="A377" s="12" t="s">
        <v>339</v>
      </c>
      <c r="B377" s="11" t="n">
        <v>421</v>
      </c>
      <c r="C377" s="7" t="n">
        <f aca="false">HEX2DEC(B377)</f>
        <v>1057</v>
      </c>
      <c r="D377" s="9" t="str">
        <f aca="false">DEC2HEX(C377,8)</f>
        <v>00000421</v>
      </c>
      <c r="E377" s="10" t="str">
        <f aca="false">_xlfn.UNICHAR(C377)</f>
        <v>С</v>
      </c>
      <c r="F377" s="7" t="n">
        <f aca="false">C377-C376</f>
        <v>1</v>
      </c>
    </row>
    <row r="378" customFormat="false" ht="15" hidden="false" customHeight="false" outlineLevel="0" collapsed="false">
      <c r="A378" s="12" t="s">
        <v>340</v>
      </c>
      <c r="B378" s="11" t="n">
        <v>422</v>
      </c>
      <c r="C378" s="7" t="n">
        <f aca="false">HEX2DEC(B378)</f>
        <v>1058</v>
      </c>
      <c r="D378" s="9" t="str">
        <f aca="false">DEC2HEX(C378,8)</f>
        <v>00000422</v>
      </c>
      <c r="E378" s="10" t="str">
        <f aca="false">_xlfn.UNICHAR(C378)</f>
        <v>Т</v>
      </c>
      <c r="F378" s="7" t="n">
        <f aca="false">C378-C377</f>
        <v>1</v>
      </c>
    </row>
    <row r="379" customFormat="false" ht="15" hidden="false" customHeight="false" outlineLevel="0" collapsed="false">
      <c r="A379" s="12" t="s">
        <v>341</v>
      </c>
      <c r="B379" s="11" t="n">
        <v>423</v>
      </c>
      <c r="C379" s="7" t="n">
        <f aca="false">HEX2DEC(B379)</f>
        <v>1059</v>
      </c>
      <c r="D379" s="9" t="str">
        <f aca="false">DEC2HEX(C379,8)</f>
        <v>00000423</v>
      </c>
      <c r="E379" s="10" t="str">
        <f aca="false">_xlfn.UNICHAR(C379)</f>
        <v>У</v>
      </c>
      <c r="F379" s="7" t="n">
        <f aca="false">C379-C378</f>
        <v>1</v>
      </c>
    </row>
    <row r="380" customFormat="false" ht="15" hidden="false" customHeight="false" outlineLevel="0" collapsed="false">
      <c r="A380" s="12" t="s">
        <v>342</v>
      </c>
      <c r="B380" s="11" t="n">
        <v>424</v>
      </c>
      <c r="C380" s="7" t="n">
        <f aca="false">HEX2DEC(B380)</f>
        <v>1060</v>
      </c>
      <c r="D380" s="9" t="str">
        <f aca="false">DEC2HEX(C380,8)</f>
        <v>00000424</v>
      </c>
      <c r="E380" s="10" t="str">
        <f aca="false">_xlfn.UNICHAR(C380)</f>
        <v>Ф</v>
      </c>
      <c r="F380" s="7" t="n">
        <f aca="false">C380-C379</f>
        <v>1</v>
      </c>
    </row>
    <row r="381" customFormat="false" ht="15" hidden="false" customHeight="false" outlineLevel="0" collapsed="false">
      <c r="A381" s="12" t="s">
        <v>343</v>
      </c>
      <c r="B381" s="11" t="n">
        <v>425</v>
      </c>
      <c r="C381" s="7" t="n">
        <f aca="false">HEX2DEC(B381)</f>
        <v>1061</v>
      </c>
      <c r="D381" s="9" t="str">
        <f aca="false">DEC2HEX(C381,8)</f>
        <v>00000425</v>
      </c>
      <c r="E381" s="10" t="str">
        <f aca="false">_xlfn.UNICHAR(C381)</f>
        <v>Х</v>
      </c>
      <c r="F381" s="7" t="n">
        <f aca="false">C381-C380</f>
        <v>1</v>
      </c>
    </row>
    <row r="382" customFormat="false" ht="15" hidden="false" customHeight="false" outlineLevel="0" collapsed="false">
      <c r="A382" s="12" t="s">
        <v>344</v>
      </c>
      <c r="B382" s="11" t="n">
        <v>426</v>
      </c>
      <c r="C382" s="7" t="n">
        <f aca="false">HEX2DEC(B382)</f>
        <v>1062</v>
      </c>
      <c r="D382" s="9" t="str">
        <f aca="false">DEC2HEX(C382,8)</f>
        <v>00000426</v>
      </c>
      <c r="E382" s="10" t="str">
        <f aca="false">_xlfn.UNICHAR(C382)</f>
        <v>Ц</v>
      </c>
      <c r="F382" s="7" t="n">
        <f aca="false">C382-C381</f>
        <v>1</v>
      </c>
    </row>
    <row r="383" customFormat="false" ht="15" hidden="false" customHeight="false" outlineLevel="0" collapsed="false">
      <c r="A383" s="12" t="s">
        <v>345</v>
      </c>
      <c r="B383" s="11" t="n">
        <v>427</v>
      </c>
      <c r="C383" s="7" t="n">
        <f aca="false">HEX2DEC(B383)</f>
        <v>1063</v>
      </c>
      <c r="D383" s="9" t="str">
        <f aca="false">DEC2HEX(C383,8)</f>
        <v>00000427</v>
      </c>
      <c r="E383" s="10" t="str">
        <f aca="false">_xlfn.UNICHAR(C383)</f>
        <v>Ч</v>
      </c>
      <c r="F383" s="7" t="n">
        <f aca="false">C383-C382</f>
        <v>1</v>
      </c>
    </row>
    <row r="384" customFormat="false" ht="15" hidden="false" customHeight="false" outlineLevel="0" collapsed="false">
      <c r="A384" s="12" t="s">
        <v>346</v>
      </c>
      <c r="B384" s="11" t="n">
        <v>428</v>
      </c>
      <c r="C384" s="7" t="n">
        <f aca="false">HEX2DEC(B384)</f>
        <v>1064</v>
      </c>
      <c r="D384" s="9" t="str">
        <f aca="false">DEC2HEX(C384,8)</f>
        <v>00000428</v>
      </c>
      <c r="E384" s="10" t="str">
        <f aca="false">_xlfn.UNICHAR(C384)</f>
        <v>Ш</v>
      </c>
      <c r="F384" s="7" t="n">
        <f aca="false">C384-C383</f>
        <v>1</v>
      </c>
    </row>
    <row r="385" customFormat="false" ht="15" hidden="false" customHeight="false" outlineLevel="0" collapsed="false">
      <c r="A385" s="12" t="s">
        <v>347</v>
      </c>
      <c r="B385" s="11" t="n">
        <v>429</v>
      </c>
      <c r="C385" s="7" t="n">
        <f aca="false">HEX2DEC(B385)</f>
        <v>1065</v>
      </c>
      <c r="D385" s="9" t="str">
        <f aca="false">DEC2HEX(C385,8)</f>
        <v>00000429</v>
      </c>
      <c r="E385" s="10" t="str">
        <f aca="false">_xlfn.UNICHAR(C385)</f>
        <v>Щ</v>
      </c>
      <c r="F385" s="7" t="n">
        <f aca="false">C385-C384</f>
        <v>1</v>
      </c>
    </row>
    <row r="386" customFormat="false" ht="15" hidden="false" customHeight="false" outlineLevel="0" collapsed="false">
      <c r="A386" s="12" t="s">
        <v>348</v>
      </c>
      <c r="B386" s="11" t="s">
        <v>349</v>
      </c>
      <c r="C386" s="7" t="n">
        <f aca="false">HEX2DEC(B386)</f>
        <v>1066</v>
      </c>
      <c r="D386" s="9" t="str">
        <f aca="false">DEC2HEX(C386,8)</f>
        <v>0000042A</v>
      </c>
      <c r="E386" s="10" t="str">
        <f aca="false">_xlfn.UNICHAR(C386)</f>
        <v>Ъ</v>
      </c>
      <c r="F386" s="7" t="n">
        <f aca="false">C386-C385</f>
        <v>1</v>
      </c>
    </row>
    <row r="387" customFormat="false" ht="15" hidden="false" customHeight="false" outlineLevel="0" collapsed="false">
      <c r="A387" s="12" t="s">
        <v>350</v>
      </c>
      <c r="B387" s="11" t="s">
        <v>351</v>
      </c>
      <c r="C387" s="7" t="n">
        <f aca="false">HEX2DEC(B387)</f>
        <v>1067</v>
      </c>
      <c r="D387" s="9" t="str">
        <f aca="false">DEC2HEX(C387,8)</f>
        <v>0000042B</v>
      </c>
      <c r="E387" s="10" t="str">
        <f aca="false">_xlfn.UNICHAR(C387)</f>
        <v>Ы</v>
      </c>
      <c r="F387" s="7" t="n">
        <f aca="false">C387-C386</f>
        <v>1</v>
      </c>
    </row>
    <row r="388" customFormat="false" ht="15" hidden="false" customHeight="false" outlineLevel="0" collapsed="false">
      <c r="A388" s="12" t="s">
        <v>352</v>
      </c>
      <c r="B388" s="11" t="s">
        <v>353</v>
      </c>
      <c r="C388" s="7" t="n">
        <f aca="false">HEX2DEC(B388)</f>
        <v>1068</v>
      </c>
      <c r="D388" s="9" t="str">
        <f aca="false">DEC2HEX(C388,8)</f>
        <v>0000042C</v>
      </c>
      <c r="E388" s="10" t="str">
        <f aca="false">_xlfn.UNICHAR(C388)</f>
        <v>Ь</v>
      </c>
      <c r="F388" s="7" t="n">
        <f aca="false">C388-C387</f>
        <v>1</v>
      </c>
    </row>
    <row r="389" customFormat="false" ht="15" hidden="false" customHeight="false" outlineLevel="0" collapsed="false">
      <c r="A389" s="12" t="s">
        <v>354</v>
      </c>
      <c r="B389" s="11" t="s">
        <v>355</v>
      </c>
      <c r="C389" s="7" t="n">
        <f aca="false">HEX2DEC(B389)</f>
        <v>1069</v>
      </c>
      <c r="D389" s="9" t="str">
        <f aca="false">DEC2HEX(C389,8)</f>
        <v>0000042D</v>
      </c>
      <c r="E389" s="10" t="str">
        <f aca="false">_xlfn.UNICHAR(C389)</f>
        <v>Э</v>
      </c>
      <c r="F389" s="7" t="n">
        <f aca="false">C389-C388</f>
        <v>1</v>
      </c>
    </row>
    <row r="390" customFormat="false" ht="15" hidden="false" customHeight="false" outlineLevel="0" collapsed="false">
      <c r="A390" s="12" t="s">
        <v>356</v>
      </c>
      <c r="B390" s="11" t="s">
        <v>357</v>
      </c>
      <c r="C390" s="7" t="n">
        <f aca="false">HEX2DEC(B390)</f>
        <v>1070</v>
      </c>
      <c r="D390" s="9" t="str">
        <f aca="false">DEC2HEX(C390,8)</f>
        <v>0000042E</v>
      </c>
      <c r="E390" s="10" t="str">
        <f aca="false">_xlfn.UNICHAR(C390)</f>
        <v>Ю</v>
      </c>
      <c r="F390" s="7" t="n">
        <f aca="false">C390-C389</f>
        <v>1</v>
      </c>
    </row>
    <row r="391" customFormat="false" ht="15" hidden="false" customHeight="false" outlineLevel="0" collapsed="false">
      <c r="A391" s="12" t="s">
        <v>358</v>
      </c>
      <c r="B391" s="11" t="s">
        <v>359</v>
      </c>
      <c r="C391" s="7" t="n">
        <f aca="false">HEX2DEC(B391)</f>
        <v>1071</v>
      </c>
      <c r="D391" s="9" t="str">
        <f aca="false">DEC2HEX(C391,8)</f>
        <v>0000042F</v>
      </c>
      <c r="E391" s="10" t="str">
        <f aca="false">_xlfn.UNICHAR(C391)</f>
        <v>Я</v>
      </c>
      <c r="F391" s="7" t="n">
        <f aca="false">C391-C390</f>
        <v>1</v>
      </c>
    </row>
    <row r="392" customFormat="false" ht="15" hidden="false" customHeight="false" outlineLevel="0" collapsed="false">
      <c r="A392" s="12" t="s">
        <v>360</v>
      </c>
      <c r="B392" s="11" t="n">
        <v>430</v>
      </c>
      <c r="C392" s="7" t="n">
        <f aca="false">HEX2DEC(B392)</f>
        <v>1072</v>
      </c>
      <c r="D392" s="9" t="str">
        <f aca="false">DEC2HEX(C392,8)</f>
        <v>00000430</v>
      </c>
      <c r="E392" s="10" t="str">
        <f aca="false">_xlfn.UNICHAR(C392)</f>
        <v>а</v>
      </c>
      <c r="F392" s="7" t="n">
        <f aca="false">C392-C391</f>
        <v>1</v>
      </c>
    </row>
    <row r="393" customFormat="false" ht="15" hidden="false" customHeight="false" outlineLevel="0" collapsed="false">
      <c r="A393" s="12" t="s">
        <v>361</v>
      </c>
      <c r="B393" s="11" t="n">
        <v>431</v>
      </c>
      <c r="C393" s="7" t="n">
        <f aca="false">HEX2DEC(B393)</f>
        <v>1073</v>
      </c>
      <c r="D393" s="9" t="str">
        <f aca="false">DEC2HEX(C393,8)</f>
        <v>00000431</v>
      </c>
      <c r="E393" s="10" t="str">
        <f aca="false">_xlfn.UNICHAR(C393)</f>
        <v>б</v>
      </c>
      <c r="F393" s="7" t="n">
        <f aca="false">C393-C392</f>
        <v>1</v>
      </c>
    </row>
    <row r="394" customFormat="false" ht="15" hidden="false" customHeight="false" outlineLevel="0" collapsed="false">
      <c r="A394" s="12" t="s">
        <v>362</v>
      </c>
      <c r="B394" s="11" t="n">
        <v>432</v>
      </c>
      <c r="C394" s="7" t="n">
        <f aca="false">HEX2DEC(B394)</f>
        <v>1074</v>
      </c>
      <c r="D394" s="9" t="str">
        <f aca="false">DEC2HEX(C394,8)</f>
        <v>00000432</v>
      </c>
      <c r="E394" s="10" t="str">
        <f aca="false">_xlfn.UNICHAR(C394)</f>
        <v>в</v>
      </c>
      <c r="F394" s="7" t="n">
        <f aca="false">C394-C393</f>
        <v>1</v>
      </c>
    </row>
    <row r="395" customFormat="false" ht="15" hidden="false" customHeight="false" outlineLevel="0" collapsed="false">
      <c r="A395" s="12" t="s">
        <v>363</v>
      </c>
      <c r="B395" s="11" t="n">
        <v>433</v>
      </c>
      <c r="C395" s="7" t="n">
        <f aca="false">HEX2DEC(B395)</f>
        <v>1075</v>
      </c>
      <c r="D395" s="9" t="str">
        <f aca="false">DEC2HEX(C395,8)</f>
        <v>00000433</v>
      </c>
      <c r="E395" s="10" t="str">
        <f aca="false">_xlfn.UNICHAR(C395)</f>
        <v>г</v>
      </c>
      <c r="F395" s="7" t="n">
        <f aca="false">C395-C394</f>
        <v>1</v>
      </c>
    </row>
    <row r="396" customFormat="false" ht="15" hidden="false" customHeight="false" outlineLevel="0" collapsed="false">
      <c r="A396" s="12" t="s">
        <v>364</v>
      </c>
      <c r="B396" s="11" t="n">
        <v>434</v>
      </c>
      <c r="C396" s="7" t="n">
        <f aca="false">HEX2DEC(B396)</f>
        <v>1076</v>
      </c>
      <c r="D396" s="9" t="str">
        <f aca="false">DEC2HEX(C396,8)</f>
        <v>00000434</v>
      </c>
      <c r="E396" s="10" t="str">
        <f aca="false">_xlfn.UNICHAR(C396)</f>
        <v>д</v>
      </c>
      <c r="F396" s="7" t="n">
        <f aca="false">C396-C395</f>
        <v>1</v>
      </c>
    </row>
    <row r="397" customFormat="false" ht="15" hidden="false" customHeight="false" outlineLevel="0" collapsed="false">
      <c r="A397" s="12" t="s">
        <v>365</v>
      </c>
      <c r="B397" s="11" t="n">
        <v>435</v>
      </c>
      <c r="C397" s="7" t="n">
        <f aca="false">HEX2DEC(B397)</f>
        <v>1077</v>
      </c>
      <c r="D397" s="9" t="str">
        <f aca="false">DEC2HEX(C397,8)</f>
        <v>00000435</v>
      </c>
      <c r="E397" s="10" t="str">
        <f aca="false">_xlfn.UNICHAR(C397)</f>
        <v>е</v>
      </c>
      <c r="F397" s="7" t="n">
        <f aca="false">C397-C396</f>
        <v>1</v>
      </c>
    </row>
    <row r="398" customFormat="false" ht="15" hidden="false" customHeight="false" outlineLevel="0" collapsed="false">
      <c r="A398" s="12" t="s">
        <v>366</v>
      </c>
      <c r="B398" s="11" t="n">
        <v>436</v>
      </c>
      <c r="C398" s="7" t="n">
        <f aca="false">HEX2DEC(B398)</f>
        <v>1078</v>
      </c>
      <c r="D398" s="9" t="str">
        <f aca="false">DEC2HEX(C398,8)</f>
        <v>00000436</v>
      </c>
      <c r="E398" s="10" t="str">
        <f aca="false">_xlfn.UNICHAR(C398)</f>
        <v>ж</v>
      </c>
      <c r="F398" s="7" t="n">
        <f aca="false">C398-C397</f>
        <v>1</v>
      </c>
    </row>
    <row r="399" customFormat="false" ht="15" hidden="false" customHeight="false" outlineLevel="0" collapsed="false">
      <c r="A399" s="12" t="s">
        <v>367</v>
      </c>
      <c r="B399" s="11" t="n">
        <v>437</v>
      </c>
      <c r="C399" s="7" t="n">
        <f aca="false">HEX2DEC(B399)</f>
        <v>1079</v>
      </c>
      <c r="D399" s="9" t="str">
        <f aca="false">DEC2HEX(C399,8)</f>
        <v>00000437</v>
      </c>
      <c r="E399" s="10" t="str">
        <f aca="false">_xlfn.UNICHAR(C399)</f>
        <v>з</v>
      </c>
      <c r="F399" s="7" t="n">
        <f aca="false">C399-C398</f>
        <v>1</v>
      </c>
    </row>
    <row r="400" customFormat="false" ht="15" hidden="false" customHeight="false" outlineLevel="0" collapsed="false">
      <c r="A400" s="12" t="s">
        <v>368</v>
      </c>
      <c r="B400" s="11" t="n">
        <v>438</v>
      </c>
      <c r="C400" s="7" t="n">
        <f aca="false">HEX2DEC(B400)</f>
        <v>1080</v>
      </c>
      <c r="D400" s="9" t="str">
        <f aca="false">DEC2HEX(C400,8)</f>
        <v>00000438</v>
      </c>
      <c r="E400" s="10" t="str">
        <f aca="false">_xlfn.UNICHAR(C400)</f>
        <v>и</v>
      </c>
      <c r="F400" s="7" t="n">
        <f aca="false">C400-C399</f>
        <v>1</v>
      </c>
    </row>
    <row r="401" customFormat="false" ht="15" hidden="false" customHeight="false" outlineLevel="0" collapsed="false">
      <c r="A401" s="12" t="s">
        <v>369</v>
      </c>
      <c r="B401" s="11" t="n">
        <v>439</v>
      </c>
      <c r="C401" s="7" t="n">
        <f aca="false">HEX2DEC(B401)</f>
        <v>1081</v>
      </c>
      <c r="D401" s="9" t="str">
        <f aca="false">DEC2HEX(C401,8)</f>
        <v>00000439</v>
      </c>
      <c r="E401" s="10" t="str">
        <f aca="false">_xlfn.UNICHAR(C401)</f>
        <v>й</v>
      </c>
      <c r="F401" s="7" t="n">
        <f aca="false">C401-C400</f>
        <v>1</v>
      </c>
    </row>
    <row r="402" customFormat="false" ht="15" hidden="false" customHeight="false" outlineLevel="0" collapsed="false">
      <c r="A402" s="12" t="s">
        <v>370</v>
      </c>
      <c r="B402" s="11" t="s">
        <v>371</v>
      </c>
      <c r="C402" s="7" t="n">
        <f aca="false">HEX2DEC(B402)</f>
        <v>1082</v>
      </c>
      <c r="D402" s="9" t="str">
        <f aca="false">DEC2HEX(C402,8)</f>
        <v>0000043A</v>
      </c>
      <c r="E402" s="10" t="str">
        <f aca="false">_xlfn.UNICHAR(C402)</f>
        <v>к</v>
      </c>
      <c r="F402" s="7" t="n">
        <f aca="false">C402-C401</f>
        <v>1</v>
      </c>
    </row>
    <row r="403" customFormat="false" ht="15" hidden="false" customHeight="false" outlineLevel="0" collapsed="false">
      <c r="A403" s="12" t="s">
        <v>372</v>
      </c>
      <c r="B403" s="11" t="s">
        <v>373</v>
      </c>
      <c r="C403" s="7" t="n">
        <f aca="false">HEX2DEC(B403)</f>
        <v>1083</v>
      </c>
      <c r="D403" s="9" t="str">
        <f aca="false">DEC2HEX(C403,8)</f>
        <v>0000043B</v>
      </c>
      <c r="E403" s="10" t="str">
        <f aca="false">_xlfn.UNICHAR(C403)</f>
        <v>л</v>
      </c>
      <c r="F403" s="7" t="n">
        <f aca="false">C403-C402</f>
        <v>1</v>
      </c>
    </row>
    <row r="404" customFormat="false" ht="15" hidden="false" customHeight="false" outlineLevel="0" collapsed="false">
      <c r="A404" s="12" t="s">
        <v>374</v>
      </c>
      <c r="B404" s="11" t="s">
        <v>375</v>
      </c>
      <c r="C404" s="7" t="n">
        <f aca="false">HEX2DEC(B404)</f>
        <v>1084</v>
      </c>
      <c r="D404" s="9" t="str">
        <f aca="false">DEC2HEX(C404,8)</f>
        <v>0000043C</v>
      </c>
      <c r="E404" s="10" t="str">
        <f aca="false">_xlfn.UNICHAR(C404)</f>
        <v>м</v>
      </c>
      <c r="F404" s="7" t="n">
        <f aca="false">C404-C403</f>
        <v>1</v>
      </c>
    </row>
    <row r="405" customFormat="false" ht="15" hidden="false" customHeight="false" outlineLevel="0" collapsed="false">
      <c r="A405" s="12" t="s">
        <v>376</v>
      </c>
      <c r="B405" s="11" t="s">
        <v>377</v>
      </c>
      <c r="C405" s="7" t="n">
        <f aca="false">HEX2DEC(B405)</f>
        <v>1085</v>
      </c>
      <c r="D405" s="9" t="str">
        <f aca="false">DEC2HEX(C405,8)</f>
        <v>0000043D</v>
      </c>
      <c r="E405" s="10" t="str">
        <f aca="false">_xlfn.UNICHAR(C405)</f>
        <v>н</v>
      </c>
      <c r="F405" s="7" t="n">
        <f aca="false">C405-C404</f>
        <v>1</v>
      </c>
    </row>
    <row r="406" customFormat="false" ht="15" hidden="false" customHeight="false" outlineLevel="0" collapsed="false">
      <c r="A406" s="12" t="s">
        <v>378</v>
      </c>
      <c r="B406" s="11" t="s">
        <v>379</v>
      </c>
      <c r="C406" s="7" t="n">
        <f aca="false">HEX2DEC(B406)</f>
        <v>1086</v>
      </c>
      <c r="D406" s="9" t="str">
        <f aca="false">DEC2HEX(C406,8)</f>
        <v>0000043E</v>
      </c>
      <c r="E406" s="10" t="str">
        <f aca="false">_xlfn.UNICHAR(C406)</f>
        <v>о</v>
      </c>
      <c r="F406" s="7" t="n">
        <f aca="false">C406-C405</f>
        <v>1</v>
      </c>
    </row>
    <row r="407" customFormat="false" ht="15" hidden="false" customHeight="false" outlineLevel="0" collapsed="false">
      <c r="A407" s="12" t="s">
        <v>380</v>
      </c>
      <c r="B407" s="11" t="s">
        <v>381</v>
      </c>
      <c r="C407" s="7" t="n">
        <f aca="false">HEX2DEC(B407)</f>
        <v>1087</v>
      </c>
      <c r="D407" s="9" t="str">
        <f aca="false">DEC2HEX(C407,8)</f>
        <v>0000043F</v>
      </c>
      <c r="E407" s="10" t="str">
        <f aca="false">_xlfn.UNICHAR(C407)</f>
        <v>п</v>
      </c>
      <c r="F407" s="7" t="n">
        <f aca="false">C407-C406</f>
        <v>1</v>
      </c>
    </row>
    <row r="408" customFormat="false" ht="15" hidden="false" customHeight="false" outlineLevel="0" collapsed="false">
      <c r="A408" s="12" t="s">
        <v>382</v>
      </c>
      <c r="B408" s="11" t="n">
        <v>440</v>
      </c>
      <c r="C408" s="7" t="n">
        <f aca="false">HEX2DEC(B408)</f>
        <v>1088</v>
      </c>
      <c r="D408" s="9" t="str">
        <f aca="false">DEC2HEX(C408,8)</f>
        <v>00000440</v>
      </c>
      <c r="E408" s="10" t="str">
        <f aca="false">_xlfn.UNICHAR(C408)</f>
        <v>р</v>
      </c>
      <c r="F408" s="7" t="n">
        <f aca="false">C408-C407</f>
        <v>1</v>
      </c>
    </row>
    <row r="409" customFormat="false" ht="15" hidden="false" customHeight="false" outlineLevel="0" collapsed="false">
      <c r="A409" s="12" t="s">
        <v>383</v>
      </c>
      <c r="B409" s="11" t="n">
        <v>441</v>
      </c>
      <c r="C409" s="7" t="n">
        <f aca="false">HEX2DEC(B409)</f>
        <v>1089</v>
      </c>
      <c r="D409" s="9" t="str">
        <f aca="false">DEC2HEX(C409,8)</f>
        <v>00000441</v>
      </c>
      <c r="E409" s="10" t="str">
        <f aca="false">_xlfn.UNICHAR(C409)</f>
        <v>с</v>
      </c>
      <c r="F409" s="7" t="n">
        <f aca="false">C409-C408</f>
        <v>1</v>
      </c>
    </row>
    <row r="410" customFormat="false" ht="15" hidden="false" customHeight="false" outlineLevel="0" collapsed="false">
      <c r="A410" s="12" t="s">
        <v>384</v>
      </c>
      <c r="B410" s="11" t="n">
        <v>442</v>
      </c>
      <c r="C410" s="7" t="n">
        <f aca="false">HEX2DEC(B410)</f>
        <v>1090</v>
      </c>
      <c r="D410" s="9" t="str">
        <f aca="false">DEC2HEX(C410,8)</f>
        <v>00000442</v>
      </c>
      <c r="E410" s="10" t="str">
        <f aca="false">_xlfn.UNICHAR(C410)</f>
        <v>т</v>
      </c>
      <c r="F410" s="7" t="n">
        <f aca="false">C410-C409</f>
        <v>1</v>
      </c>
    </row>
    <row r="411" customFormat="false" ht="15" hidden="false" customHeight="false" outlineLevel="0" collapsed="false">
      <c r="A411" s="12" t="s">
        <v>385</v>
      </c>
      <c r="B411" s="11" t="n">
        <v>443</v>
      </c>
      <c r="C411" s="7" t="n">
        <f aca="false">HEX2DEC(B411)</f>
        <v>1091</v>
      </c>
      <c r="D411" s="9" t="str">
        <f aca="false">DEC2HEX(C411,8)</f>
        <v>00000443</v>
      </c>
      <c r="E411" s="10" t="str">
        <f aca="false">_xlfn.UNICHAR(C411)</f>
        <v>у</v>
      </c>
      <c r="F411" s="7" t="n">
        <f aca="false">C411-C410</f>
        <v>1</v>
      </c>
    </row>
    <row r="412" customFormat="false" ht="15" hidden="false" customHeight="false" outlineLevel="0" collapsed="false">
      <c r="A412" s="12" t="s">
        <v>386</v>
      </c>
      <c r="B412" s="11" t="n">
        <v>444</v>
      </c>
      <c r="C412" s="7" t="n">
        <f aca="false">HEX2DEC(B412)</f>
        <v>1092</v>
      </c>
      <c r="D412" s="9" t="str">
        <f aca="false">DEC2HEX(C412,8)</f>
        <v>00000444</v>
      </c>
      <c r="E412" s="10" t="str">
        <f aca="false">_xlfn.UNICHAR(C412)</f>
        <v>ф</v>
      </c>
      <c r="F412" s="7" t="n">
        <f aca="false">C412-C411</f>
        <v>1</v>
      </c>
    </row>
    <row r="413" customFormat="false" ht="15" hidden="false" customHeight="false" outlineLevel="0" collapsed="false">
      <c r="A413" s="12" t="s">
        <v>387</v>
      </c>
      <c r="B413" s="11" t="n">
        <v>445</v>
      </c>
      <c r="C413" s="7" t="n">
        <f aca="false">HEX2DEC(B413)</f>
        <v>1093</v>
      </c>
      <c r="D413" s="9" t="str">
        <f aca="false">DEC2HEX(C413,8)</f>
        <v>00000445</v>
      </c>
      <c r="E413" s="10" t="str">
        <f aca="false">_xlfn.UNICHAR(C413)</f>
        <v>х</v>
      </c>
      <c r="F413" s="7" t="n">
        <f aca="false">C413-C412</f>
        <v>1</v>
      </c>
    </row>
    <row r="414" customFormat="false" ht="15" hidden="false" customHeight="false" outlineLevel="0" collapsed="false">
      <c r="A414" s="12" t="s">
        <v>388</v>
      </c>
      <c r="B414" s="11" t="n">
        <v>446</v>
      </c>
      <c r="C414" s="7" t="n">
        <f aca="false">HEX2DEC(B414)</f>
        <v>1094</v>
      </c>
      <c r="D414" s="9" t="str">
        <f aca="false">DEC2HEX(C414,8)</f>
        <v>00000446</v>
      </c>
      <c r="E414" s="10" t="str">
        <f aca="false">_xlfn.UNICHAR(C414)</f>
        <v>ц</v>
      </c>
      <c r="F414" s="7" t="n">
        <f aca="false">C414-C413</f>
        <v>1</v>
      </c>
    </row>
    <row r="415" customFormat="false" ht="15" hidden="false" customHeight="false" outlineLevel="0" collapsed="false">
      <c r="A415" s="12" t="s">
        <v>389</v>
      </c>
      <c r="B415" s="11" t="n">
        <v>447</v>
      </c>
      <c r="C415" s="7" t="n">
        <f aca="false">HEX2DEC(B415)</f>
        <v>1095</v>
      </c>
      <c r="D415" s="9" t="str">
        <f aca="false">DEC2HEX(C415,8)</f>
        <v>00000447</v>
      </c>
      <c r="E415" s="10" t="str">
        <f aca="false">_xlfn.UNICHAR(C415)</f>
        <v>ч</v>
      </c>
      <c r="F415" s="7" t="n">
        <f aca="false">C415-C414</f>
        <v>1</v>
      </c>
    </row>
    <row r="416" customFormat="false" ht="15" hidden="false" customHeight="false" outlineLevel="0" collapsed="false">
      <c r="A416" s="12" t="s">
        <v>390</v>
      </c>
      <c r="B416" s="11" t="n">
        <v>448</v>
      </c>
      <c r="C416" s="7" t="n">
        <f aca="false">HEX2DEC(B416)</f>
        <v>1096</v>
      </c>
      <c r="D416" s="9" t="str">
        <f aca="false">DEC2HEX(C416,8)</f>
        <v>00000448</v>
      </c>
      <c r="E416" s="10" t="str">
        <f aca="false">_xlfn.UNICHAR(C416)</f>
        <v>ш</v>
      </c>
      <c r="F416" s="7" t="n">
        <f aca="false">C416-C415</f>
        <v>1</v>
      </c>
    </row>
    <row r="417" customFormat="false" ht="15" hidden="false" customHeight="false" outlineLevel="0" collapsed="false">
      <c r="A417" s="12" t="s">
        <v>391</v>
      </c>
      <c r="B417" s="11" t="n">
        <v>449</v>
      </c>
      <c r="C417" s="7" t="n">
        <f aca="false">HEX2DEC(B417)</f>
        <v>1097</v>
      </c>
      <c r="D417" s="9" t="str">
        <f aca="false">DEC2HEX(C417,8)</f>
        <v>00000449</v>
      </c>
      <c r="E417" s="10" t="str">
        <f aca="false">_xlfn.UNICHAR(C417)</f>
        <v>щ</v>
      </c>
      <c r="F417" s="7" t="n">
        <f aca="false">C417-C416</f>
        <v>1</v>
      </c>
    </row>
    <row r="418" customFormat="false" ht="15" hidden="false" customHeight="false" outlineLevel="0" collapsed="false">
      <c r="A418" s="12" t="s">
        <v>392</v>
      </c>
      <c r="B418" s="11" t="s">
        <v>393</v>
      </c>
      <c r="C418" s="7" t="n">
        <f aca="false">HEX2DEC(B418)</f>
        <v>1098</v>
      </c>
      <c r="D418" s="9" t="str">
        <f aca="false">DEC2HEX(C418,8)</f>
        <v>0000044A</v>
      </c>
      <c r="E418" s="10" t="str">
        <f aca="false">_xlfn.UNICHAR(C418)</f>
        <v>ъ</v>
      </c>
      <c r="F418" s="7" t="n">
        <f aca="false">C418-C417</f>
        <v>1</v>
      </c>
    </row>
    <row r="419" customFormat="false" ht="15" hidden="false" customHeight="false" outlineLevel="0" collapsed="false">
      <c r="A419" s="12" t="s">
        <v>394</v>
      </c>
      <c r="B419" s="11" t="s">
        <v>395</v>
      </c>
      <c r="C419" s="7" t="n">
        <f aca="false">HEX2DEC(B419)</f>
        <v>1099</v>
      </c>
      <c r="D419" s="9" t="str">
        <f aca="false">DEC2HEX(C419,8)</f>
        <v>0000044B</v>
      </c>
      <c r="E419" s="10" t="str">
        <f aca="false">_xlfn.UNICHAR(C419)</f>
        <v>ы</v>
      </c>
      <c r="F419" s="7" t="n">
        <f aca="false">C419-C418</f>
        <v>1</v>
      </c>
    </row>
    <row r="420" customFormat="false" ht="15" hidden="false" customHeight="false" outlineLevel="0" collapsed="false">
      <c r="A420" s="12" t="s">
        <v>396</v>
      </c>
      <c r="B420" s="11" t="s">
        <v>397</v>
      </c>
      <c r="C420" s="7" t="n">
        <f aca="false">HEX2DEC(B420)</f>
        <v>1100</v>
      </c>
      <c r="D420" s="9" t="str">
        <f aca="false">DEC2HEX(C420,8)</f>
        <v>0000044C</v>
      </c>
      <c r="E420" s="10" t="str">
        <f aca="false">_xlfn.UNICHAR(C420)</f>
        <v>ь</v>
      </c>
      <c r="F420" s="7" t="n">
        <f aca="false">C420-C419</f>
        <v>1</v>
      </c>
    </row>
    <row r="421" customFormat="false" ht="15" hidden="false" customHeight="false" outlineLevel="0" collapsed="false">
      <c r="A421" s="12" t="s">
        <v>398</v>
      </c>
      <c r="B421" s="11" t="s">
        <v>399</v>
      </c>
      <c r="C421" s="7" t="n">
        <f aca="false">HEX2DEC(B421)</f>
        <v>1101</v>
      </c>
      <c r="D421" s="9" t="str">
        <f aca="false">DEC2HEX(C421,8)</f>
        <v>0000044D</v>
      </c>
      <c r="E421" s="10" t="str">
        <f aca="false">_xlfn.UNICHAR(C421)</f>
        <v>э</v>
      </c>
      <c r="F421" s="7" t="n">
        <f aca="false">C421-C420</f>
        <v>1</v>
      </c>
    </row>
    <row r="422" customFormat="false" ht="15" hidden="false" customHeight="false" outlineLevel="0" collapsed="false">
      <c r="A422" s="12" t="s">
        <v>400</v>
      </c>
      <c r="B422" s="11" t="s">
        <v>401</v>
      </c>
      <c r="C422" s="7" t="n">
        <f aca="false">HEX2DEC(B422)</f>
        <v>1102</v>
      </c>
      <c r="D422" s="9" t="str">
        <f aca="false">DEC2HEX(C422,8)</f>
        <v>0000044E</v>
      </c>
      <c r="E422" s="10" t="str">
        <f aca="false">_xlfn.UNICHAR(C422)</f>
        <v>ю</v>
      </c>
      <c r="F422" s="7" t="n">
        <f aca="false">C422-C421</f>
        <v>1</v>
      </c>
    </row>
    <row r="423" customFormat="false" ht="15" hidden="false" customHeight="false" outlineLevel="0" collapsed="false">
      <c r="A423" s="12" t="s">
        <v>402</v>
      </c>
      <c r="B423" s="11" t="s">
        <v>403</v>
      </c>
      <c r="C423" s="7" t="n">
        <f aca="false">HEX2DEC(B423)</f>
        <v>1103</v>
      </c>
      <c r="D423" s="9" t="str">
        <f aca="false">DEC2HEX(C423,8)</f>
        <v>0000044F</v>
      </c>
      <c r="E423" s="10" t="str">
        <f aca="false">_xlfn.UNICHAR(C423)</f>
        <v>я</v>
      </c>
      <c r="F423" s="7" t="n">
        <f aca="false">C423-C422</f>
        <v>1</v>
      </c>
    </row>
    <row r="424" customFormat="false" ht="15" hidden="false" customHeight="false" outlineLevel="0" collapsed="false">
      <c r="A424" s="12" t="s">
        <v>404</v>
      </c>
      <c r="B424" s="11" t="n">
        <v>451</v>
      </c>
      <c r="C424" s="7" t="n">
        <f aca="false">HEX2DEC(B424)</f>
        <v>1105</v>
      </c>
      <c r="D424" s="9" t="str">
        <f aca="false">DEC2HEX(C424,8)</f>
        <v>00000451</v>
      </c>
      <c r="E424" s="10" t="str">
        <f aca="false">_xlfn.UNICHAR(C424)</f>
        <v>ё</v>
      </c>
      <c r="F424" s="7" t="n">
        <f aca="false">C424-C423</f>
        <v>2</v>
      </c>
    </row>
    <row r="425" customFormat="false" ht="15" hidden="false" customHeight="false" outlineLevel="0" collapsed="false">
      <c r="A425" s="12" t="s">
        <v>405</v>
      </c>
      <c r="B425" s="11" t="n">
        <v>454</v>
      </c>
      <c r="C425" s="7" t="n">
        <f aca="false">HEX2DEC(B425)</f>
        <v>1108</v>
      </c>
      <c r="D425" s="9" t="str">
        <f aca="false">DEC2HEX(C425,8)</f>
        <v>00000454</v>
      </c>
      <c r="E425" s="10" t="str">
        <f aca="false">_xlfn.UNICHAR(C425)</f>
        <v>є</v>
      </c>
      <c r="F425" s="7" t="n">
        <f aca="false">C425-C424</f>
        <v>3</v>
      </c>
    </row>
    <row r="426" customFormat="false" ht="15" hidden="false" customHeight="false" outlineLevel="0" collapsed="false">
      <c r="A426" s="12" t="s">
        <v>406</v>
      </c>
      <c r="B426" s="11" t="n">
        <v>456</v>
      </c>
      <c r="C426" s="7" t="n">
        <f aca="false">HEX2DEC(B426)</f>
        <v>1110</v>
      </c>
      <c r="D426" s="9" t="str">
        <f aca="false">DEC2HEX(C426,8)</f>
        <v>00000456</v>
      </c>
      <c r="E426" s="10" t="str">
        <f aca="false">_xlfn.UNICHAR(C426)</f>
        <v>і</v>
      </c>
      <c r="F426" s="7" t="n">
        <f aca="false">C426-C425</f>
        <v>2</v>
      </c>
    </row>
    <row r="427" customFormat="false" ht="15" hidden="false" customHeight="false" outlineLevel="0" collapsed="false">
      <c r="A427" s="12" t="s">
        <v>407</v>
      </c>
      <c r="B427" s="11" t="n">
        <v>457</v>
      </c>
      <c r="C427" s="7" t="n">
        <f aca="false">HEX2DEC(B427)</f>
        <v>1111</v>
      </c>
      <c r="D427" s="9" t="str">
        <f aca="false">DEC2HEX(C427,8)</f>
        <v>00000457</v>
      </c>
      <c r="E427" s="10" t="str">
        <f aca="false">_xlfn.UNICHAR(C427)</f>
        <v>ї</v>
      </c>
      <c r="F427" s="7" t="n">
        <f aca="false">C427-C426</f>
        <v>1</v>
      </c>
    </row>
    <row r="428" customFormat="false" ht="15" hidden="false" customHeight="false" outlineLevel="0" collapsed="false">
      <c r="A428" s="12" t="s">
        <v>408</v>
      </c>
      <c r="B428" s="11" t="s">
        <v>409</v>
      </c>
      <c r="C428" s="7" t="n">
        <f aca="false">HEX2DEC(B428)</f>
        <v>1117</v>
      </c>
      <c r="D428" s="9" t="str">
        <f aca="false">DEC2HEX(C428,8)</f>
        <v>0000045D</v>
      </c>
      <c r="E428" s="10" t="str">
        <f aca="false">_xlfn.UNICHAR(C428)</f>
        <v>ѝ</v>
      </c>
      <c r="F428" s="7" t="n">
        <f aca="false">C428-C427</f>
        <v>6</v>
      </c>
    </row>
    <row r="429" customFormat="false" ht="15" hidden="false" customHeight="false" outlineLevel="0" collapsed="false">
      <c r="A429" s="12" t="s">
        <v>410</v>
      </c>
      <c r="B429" s="11" t="s">
        <v>411</v>
      </c>
      <c r="C429" s="7" t="n">
        <f aca="false">HEX2DEC(B429)</f>
        <v>1118</v>
      </c>
      <c r="D429" s="9" t="str">
        <f aca="false">DEC2HEX(C429,8)</f>
        <v>0000045E</v>
      </c>
      <c r="E429" s="10" t="str">
        <f aca="false">_xlfn.UNICHAR(C429)</f>
        <v>ў</v>
      </c>
      <c r="F429" s="7" t="n">
        <f aca="false">C429-C428</f>
        <v>1</v>
      </c>
    </row>
    <row r="430" customFormat="false" ht="15" hidden="false" customHeight="false" outlineLevel="0" collapsed="false">
      <c r="A430" s="12" t="s">
        <v>412</v>
      </c>
      <c r="B430" s="11" t="n">
        <v>463</v>
      </c>
      <c r="C430" s="7" t="n">
        <f aca="false">HEX2DEC(B430)</f>
        <v>1123</v>
      </c>
      <c r="D430" s="9" t="str">
        <f aca="false">DEC2HEX(C430,8)</f>
        <v>00000463</v>
      </c>
      <c r="E430" s="10" t="str">
        <f aca="false">_xlfn.UNICHAR(C430)</f>
        <v>ѣ</v>
      </c>
      <c r="F430" s="7" t="n">
        <f aca="false">C430-C429</f>
        <v>5</v>
      </c>
    </row>
    <row r="431" customFormat="false" ht="15" hidden="false" customHeight="false" outlineLevel="0" collapsed="false">
      <c r="A431" s="12" t="s">
        <v>413</v>
      </c>
      <c r="B431" s="11" t="s">
        <v>414</v>
      </c>
      <c r="C431" s="7" t="n">
        <f aca="false">HEX2DEC(B431)</f>
        <v>1131</v>
      </c>
      <c r="D431" s="9" t="str">
        <f aca="false">DEC2HEX(C431,8)</f>
        <v>0000046B</v>
      </c>
      <c r="E431" s="10" t="str">
        <f aca="false">_xlfn.UNICHAR(C431)</f>
        <v>ѫ</v>
      </c>
      <c r="F431" s="7" t="n">
        <f aca="false">C431-C430</f>
        <v>8</v>
      </c>
    </row>
    <row r="432" customFormat="false" ht="15" hidden="false" customHeight="false" outlineLevel="0" collapsed="false">
      <c r="A432" s="12" t="s">
        <v>415</v>
      </c>
      <c r="B432" s="11" t="n">
        <v>490</v>
      </c>
      <c r="C432" s="7" t="n">
        <f aca="false">HEX2DEC(B432)</f>
        <v>1168</v>
      </c>
      <c r="D432" s="9" t="str">
        <f aca="false">DEC2HEX(C432,8)</f>
        <v>00000490</v>
      </c>
      <c r="E432" s="10" t="str">
        <f aca="false">_xlfn.UNICHAR(C432)</f>
        <v>Ґ</v>
      </c>
      <c r="F432" s="7" t="n">
        <f aca="false">C432-C431</f>
        <v>37</v>
      </c>
    </row>
    <row r="433" customFormat="false" ht="15" hidden="false" customHeight="false" outlineLevel="0" collapsed="false">
      <c r="A433" s="12" t="s">
        <v>416</v>
      </c>
      <c r="B433" s="11" t="n">
        <v>491</v>
      </c>
      <c r="C433" s="7" t="n">
        <f aca="false">HEX2DEC(B433)</f>
        <v>1169</v>
      </c>
      <c r="D433" s="9" t="str">
        <f aca="false">DEC2HEX(C433,8)</f>
        <v>00000491</v>
      </c>
      <c r="E433" s="10" t="str">
        <f aca="false">_xlfn.UNICHAR(C433)</f>
        <v>ґ</v>
      </c>
      <c r="F433" s="7" t="n">
        <f aca="false">C433-C432</f>
        <v>1</v>
      </c>
    </row>
    <row r="434" customFormat="false" ht="15" hidden="false" customHeight="false" outlineLevel="0" collapsed="false">
      <c r="A434" s="12" t="s">
        <v>417</v>
      </c>
      <c r="B434" s="11" t="n">
        <v>492</v>
      </c>
      <c r="C434" s="7" t="n">
        <f aca="false">HEX2DEC(B434)</f>
        <v>1170</v>
      </c>
      <c r="D434" s="9" t="str">
        <f aca="false">DEC2HEX(C434,8)</f>
        <v>00000492</v>
      </c>
      <c r="E434" s="10" t="str">
        <f aca="false">_xlfn.UNICHAR(C434)</f>
        <v>Ғ</v>
      </c>
      <c r="F434" s="7" t="n">
        <f aca="false">C434-C433</f>
        <v>1</v>
      </c>
    </row>
    <row r="435" customFormat="false" ht="15" hidden="false" customHeight="false" outlineLevel="0" collapsed="false">
      <c r="A435" s="12" t="s">
        <v>418</v>
      </c>
      <c r="B435" s="11" t="n">
        <v>493</v>
      </c>
      <c r="C435" s="7" t="n">
        <f aca="false">HEX2DEC(B435)</f>
        <v>1171</v>
      </c>
      <c r="D435" s="9" t="str">
        <f aca="false">DEC2HEX(C435,8)</f>
        <v>00000493</v>
      </c>
      <c r="E435" s="10" t="str">
        <f aca="false">_xlfn.UNICHAR(C435)</f>
        <v>ғ</v>
      </c>
      <c r="F435" s="7" t="n">
        <f aca="false">C435-C434</f>
        <v>1</v>
      </c>
    </row>
    <row r="436" customFormat="false" ht="15" hidden="false" customHeight="false" outlineLevel="0" collapsed="false">
      <c r="A436" s="12" t="s">
        <v>419</v>
      </c>
      <c r="B436" s="11" t="s">
        <v>420</v>
      </c>
      <c r="C436" s="7" t="n">
        <f aca="false">HEX2DEC(B436)</f>
        <v>1178</v>
      </c>
      <c r="D436" s="9" t="str">
        <f aca="false">DEC2HEX(C436,8)</f>
        <v>0000049A</v>
      </c>
      <c r="E436" s="10" t="str">
        <f aca="false">_xlfn.UNICHAR(C436)</f>
        <v>Қ</v>
      </c>
      <c r="F436" s="7" t="n">
        <f aca="false">C436-C435</f>
        <v>7</v>
      </c>
    </row>
    <row r="437" customFormat="false" ht="15" hidden="false" customHeight="false" outlineLevel="0" collapsed="false">
      <c r="A437" s="12" t="s">
        <v>421</v>
      </c>
      <c r="B437" s="11" t="s">
        <v>422</v>
      </c>
      <c r="C437" s="7" t="n">
        <f aca="false">HEX2DEC(B437)</f>
        <v>1179</v>
      </c>
      <c r="D437" s="9" t="str">
        <f aca="false">DEC2HEX(C437,8)</f>
        <v>0000049B</v>
      </c>
      <c r="E437" s="10" t="str">
        <f aca="false">_xlfn.UNICHAR(C437)</f>
        <v>қ</v>
      </c>
      <c r="F437" s="7" t="n">
        <f aca="false">C437-C436</f>
        <v>1</v>
      </c>
    </row>
    <row r="438" customFormat="false" ht="15" hidden="false" customHeight="false" outlineLevel="0" collapsed="false">
      <c r="A438" s="12" t="s">
        <v>423</v>
      </c>
      <c r="B438" s="11" t="s">
        <v>424</v>
      </c>
      <c r="C438" s="7" t="n">
        <f aca="false">HEX2DEC(B438)</f>
        <v>1186</v>
      </c>
      <c r="D438" s="9" t="str">
        <f aca="false">DEC2HEX(C438,8)</f>
        <v>000004A2</v>
      </c>
      <c r="E438" s="10" t="str">
        <f aca="false">_xlfn.UNICHAR(C438)</f>
        <v>Ң</v>
      </c>
      <c r="F438" s="7" t="n">
        <f aca="false">C438-C437</f>
        <v>7</v>
      </c>
    </row>
    <row r="439" customFormat="false" ht="15" hidden="false" customHeight="false" outlineLevel="0" collapsed="false">
      <c r="A439" s="12" t="s">
        <v>425</v>
      </c>
      <c r="B439" s="11" t="s">
        <v>426</v>
      </c>
      <c r="C439" s="7" t="n">
        <f aca="false">HEX2DEC(B439)</f>
        <v>1187</v>
      </c>
      <c r="D439" s="9" t="str">
        <f aca="false">DEC2HEX(C439,8)</f>
        <v>000004A3</v>
      </c>
      <c r="E439" s="10" t="str">
        <f aca="false">_xlfn.UNICHAR(C439)</f>
        <v>ң</v>
      </c>
      <c r="F439" s="7" t="n">
        <f aca="false">C439-C438</f>
        <v>1</v>
      </c>
    </row>
    <row r="440" customFormat="false" ht="15" hidden="false" customHeight="false" outlineLevel="0" collapsed="false">
      <c r="A440" s="12" t="s">
        <v>427</v>
      </c>
      <c r="B440" s="11" t="s">
        <v>428</v>
      </c>
      <c r="C440" s="7" t="n">
        <f aca="false">HEX2DEC(B440)</f>
        <v>1198</v>
      </c>
      <c r="D440" s="9" t="str">
        <f aca="false">DEC2HEX(C440,8)</f>
        <v>000004AE</v>
      </c>
      <c r="E440" s="10" t="str">
        <f aca="false">_xlfn.UNICHAR(C440)</f>
        <v>Ү</v>
      </c>
      <c r="F440" s="7" t="n">
        <f aca="false">C440-C439</f>
        <v>11</v>
      </c>
    </row>
    <row r="441" customFormat="false" ht="15" hidden="false" customHeight="false" outlineLevel="0" collapsed="false">
      <c r="A441" s="12" t="s">
        <v>429</v>
      </c>
      <c r="B441" s="11" t="s">
        <v>430</v>
      </c>
      <c r="C441" s="7" t="n">
        <f aca="false">HEX2DEC(B441)</f>
        <v>1199</v>
      </c>
      <c r="D441" s="9" t="str">
        <f aca="false">DEC2HEX(C441,8)</f>
        <v>000004AF</v>
      </c>
      <c r="E441" s="10" t="str">
        <f aca="false">_xlfn.UNICHAR(C441)</f>
        <v>ү</v>
      </c>
      <c r="F441" s="7" t="n">
        <f aca="false">C441-C440</f>
        <v>1</v>
      </c>
    </row>
    <row r="442" customFormat="false" ht="15" hidden="false" customHeight="false" outlineLevel="0" collapsed="false">
      <c r="A442" s="12" t="s">
        <v>431</v>
      </c>
      <c r="B442" s="11" t="s">
        <v>432</v>
      </c>
      <c r="C442" s="7" t="n">
        <f aca="false">HEX2DEC(B442)</f>
        <v>1200</v>
      </c>
      <c r="D442" s="9" t="str">
        <f aca="false">DEC2HEX(C442,8)</f>
        <v>000004B0</v>
      </c>
      <c r="E442" s="10" t="str">
        <f aca="false">_xlfn.UNICHAR(C442)</f>
        <v>Ұ</v>
      </c>
      <c r="F442" s="7" t="n">
        <f aca="false">C442-C441</f>
        <v>1</v>
      </c>
    </row>
    <row r="443" customFormat="false" ht="15" hidden="false" customHeight="false" outlineLevel="0" collapsed="false">
      <c r="A443" s="12" t="s">
        <v>433</v>
      </c>
      <c r="B443" s="11" t="s">
        <v>434</v>
      </c>
      <c r="C443" s="7" t="n">
        <f aca="false">HEX2DEC(B443)</f>
        <v>1201</v>
      </c>
      <c r="D443" s="9" t="str">
        <f aca="false">DEC2HEX(C443,8)</f>
        <v>000004B1</v>
      </c>
      <c r="E443" s="10" t="str">
        <f aca="false">_xlfn.UNICHAR(C443)</f>
        <v>ұ</v>
      </c>
      <c r="F443" s="7" t="n">
        <f aca="false">C443-C442</f>
        <v>1</v>
      </c>
    </row>
    <row r="444" customFormat="false" ht="15" hidden="false" customHeight="false" outlineLevel="0" collapsed="false">
      <c r="A444" s="12" t="s">
        <v>435</v>
      </c>
      <c r="B444" s="11" t="s">
        <v>436</v>
      </c>
      <c r="C444" s="7" t="n">
        <f aca="false">HEX2DEC(B444)</f>
        <v>1210</v>
      </c>
      <c r="D444" s="9" t="str">
        <f aca="false">DEC2HEX(C444,8)</f>
        <v>000004BA</v>
      </c>
      <c r="E444" s="10" t="str">
        <f aca="false">_xlfn.UNICHAR(C444)</f>
        <v>Һ</v>
      </c>
      <c r="F444" s="7" t="n">
        <f aca="false">C444-C443</f>
        <v>9</v>
      </c>
    </row>
    <row r="445" customFormat="false" ht="15" hidden="false" customHeight="false" outlineLevel="0" collapsed="false">
      <c r="A445" s="12" t="s">
        <v>437</v>
      </c>
      <c r="B445" s="11" t="s">
        <v>438</v>
      </c>
      <c r="C445" s="7" t="n">
        <f aca="false">HEX2DEC(B445)</f>
        <v>1211</v>
      </c>
      <c r="D445" s="9" t="str">
        <f aca="false">DEC2HEX(C445,8)</f>
        <v>000004BB</v>
      </c>
      <c r="E445" s="10" t="str">
        <f aca="false">_xlfn.UNICHAR(C445)</f>
        <v>һ</v>
      </c>
      <c r="F445" s="7" t="n">
        <f aca="false">C445-C444</f>
        <v>1</v>
      </c>
    </row>
    <row r="446" customFormat="false" ht="15" hidden="false" customHeight="false" outlineLevel="0" collapsed="false">
      <c r="A446" s="12" t="s">
        <v>439</v>
      </c>
      <c r="B446" s="11" t="s">
        <v>440</v>
      </c>
      <c r="C446" s="7" t="n">
        <f aca="false">HEX2DEC(B446)</f>
        <v>1240</v>
      </c>
      <c r="D446" s="9" t="str">
        <f aca="false">DEC2HEX(C446,8)</f>
        <v>000004D8</v>
      </c>
      <c r="E446" s="10" t="str">
        <f aca="false">_xlfn.UNICHAR(C446)</f>
        <v>Ә</v>
      </c>
      <c r="F446" s="7" t="n">
        <f aca="false">C446-C445</f>
        <v>29</v>
      </c>
    </row>
    <row r="447" customFormat="false" ht="15" hidden="false" customHeight="false" outlineLevel="0" collapsed="false">
      <c r="A447" s="12" t="s">
        <v>441</v>
      </c>
      <c r="B447" s="11" t="s">
        <v>442</v>
      </c>
      <c r="C447" s="7" t="n">
        <f aca="false">HEX2DEC(B447)</f>
        <v>1241</v>
      </c>
      <c r="D447" s="9" t="str">
        <f aca="false">DEC2HEX(C447,8)</f>
        <v>000004D9</v>
      </c>
      <c r="E447" s="10" t="str">
        <f aca="false">_xlfn.UNICHAR(C447)</f>
        <v>ә</v>
      </c>
      <c r="F447" s="7" t="n">
        <f aca="false">C447-C446</f>
        <v>1</v>
      </c>
    </row>
    <row r="448" customFormat="false" ht="15" hidden="false" customHeight="false" outlineLevel="0" collapsed="false">
      <c r="A448" s="12" t="s">
        <v>443</v>
      </c>
      <c r="B448" s="15" t="s">
        <v>444</v>
      </c>
      <c r="C448" s="7" t="n">
        <f aca="false">HEX2DEC(B448)</f>
        <v>1256</v>
      </c>
      <c r="D448" s="9" t="str">
        <f aca="false">DEC2HEX(C448,8)</f>
        <v>000004E8</v>
      </c>
      <c r="E448" s="10" t="str">
        <f aca="false">_xlfn.UNICHAR(C448)</f>
        <v>Ө</v>
      </c>
      <c r="F448" s="7" t="n">
        <f aca="false">C448-C447</f>
        <v>15</v>
      </c>
    </row>
    <row r="449" customFormat="false" ht="15" hidden="false" customHeight="false" outlineLevel="0" collapsed="false">
      <c r="A449" s="12" t="s">
        <v>445</v>
      </c>
      <c r="B449" s="15" t="s">
        <v>446</v>
      </c>
      <c r="C449" s="7" t="n">
        <f aca="false">HEX2DEC(B449)</f>
        <v>1257</v>
      </c>
      <c r="D449" s="9" t="str">
        <f aca="false">DEC2HEX(C449,8)</f>
        <v>000004E9</v>
      </c>
      <c r="E449" s="10" t="str">
        <f aca="false">_xlfn.UNICHAR(C449)</f>
        <v>ө</v>
      </c>
      <c r="F449" s="7" t="n">
        <f aca="false">C449-C448</f>
        <v>1</v>
      </c>
    </row>
    <row r="450" customFormat="false" ht="15" hidden="false" customHeight="false" outlineLevel="0" collapsed="false">
      <c r="A450" s="12" t="s">
        <v>447</v>
      </c>
      <c r="B450" s="9" t="str">
        <f aca="false">DEC2HEX(C449)</f>
        <v>5B0</v>
      </c>
      <c r="C450" s="7" t="n">
        <v>1456</v>
      </c>
      <c r="D450" s="9" t="str">
        <f aca="false">DEC2HEX(C450,8)</f>
        <v>000005B0</v>
      </c>
      <c r="E450" s="10" t="str">
        <f aca="false">_xlfn.UNICHAR(C450)</f>
        <v>ְ</v>
      </c>
      <c r="F450" s="7" t="n">
        <f aca="false">C450-C449</f>
        <v/>
      </c>
    </row>
    <row r="451" customFormat="false" ht="15" hidden="false" customHeight="false" outlineLevel="0" collapsed="false">
      <c r="A451" s="12" t="s">
        <v>448</v>
      </c>
      <c r="B451" s="9" t="str">
        <f aca="false">DEC2HEX(C450)</f>
        <v>5B1</v>
      </c>
      <c r="C451" s="7" t="n">
        <v>1457</v>
      </c>
      <c r="D451" s="9" t="str">
        <f aca="false">DEC2HEX(C451,8)</f>
        <v>000005B1</v>
      </c>
      <c r="E451" s="10" t="str">
        <f aca="false">_xlfn.UNICHAR(C451)</f>
        <v>ֱ</v>
      </c>
      <c r="F451" s="7" t="n">
        <f aca="false">C451-C450</f>
        <v/>
      </c>
    </row>
    <row r="452" customFormat="false" ht="15" hidden="false" customHeight="false" outlineLevel="0" collapsed="false">
      <c r="A452" s="12" t="s">
        <v>449</v>
      </c>
      <c r="B452" s="9" t="str">
        <f aca="false">DEC2HEX(C451)</f>
        <v>5B2</v>
      </c>
      <c r="C452" s="7" t="n">
        <v>1458</v>
      </c>
      <c r="D452" s="9" t="str">
        <f aca="false">DEC2HEX(C452,8)</f>
        <v>000005B2</v>
      </c>
      <c r="E452" s="10" t="str">
        <f aca="false">_xlfn.UNICHAR(C452)</f>
        <v>ֲ</v>
      </c>
      <c r="F452" s="7" t="n">
        <f aca="false">C452-C451</f>
        <v/>
      </c>
    </row>
    <row r="453" customFormat="false" ht="15" hidden="false" customHeight="false" outlineLevel="0" collapsed="false">
      <c r="A453" s="12" t="s">
        <v>450</v>
      </c>
      <c r="B453" s="9" t="str">
        <f aca="false">DEC2HEX(C452)</f>
        <v>5B3</v>
      </c>
      <c r="C453" s="7" t="n">
        <v>1459</v>
      </c>
      <c r="D453" s="9" t="str">
        <f aca="false">DEC2HEX(C453,8)</f>
        <v>000005B3</v>
      </c>
      <c r="E453" s="10" t="str">
        <f aca="false">_xlfn.UNICHAR(C453)</f>
        <v>ֳ</v>
      </c>
      <c r="F453" s="7" t="n">
        <f aca="false">C453-C452</f>
        <v/>
      </c>
    </row>
    <row r="454" customFormat="false" ht="15" hidden="false" customHeight="false" outlineLevel="0" collapsed="false">
      <c r="A454" s="12" t="s">
        <v>451</v>
      </c>
      <c r="B454" s="9" t="str">
        <f aca="false">DEC2HEX(C453)</f>
        <v>5B4</v>
      </c>
      <c r="C454" s="7" t="n">
        <v>1460</v>
      </c>
      <c r="D454" s="9" t="str">
        <f aca="false">DEC2HEX(C454,8)</f>
        <v>000005B4</v>
      </c>
      <c r="E454" s="10" t="str">
        <f aca="false">_xlfn.UNICHAR(C454)</f>
        <v>ִ</v>
      </c>
      <c r="F454" s="7" t="n">
        <f aca="false">C454-C453</f>
        <v/>
      </c>
    </row>
    <row r="455" customFormat="false" ht="15" hidden="false" customHeight="false" outlineLevel="0" collapsed="false">
      <c r="A455" s="12" t="s">
        <v>452</v>
      </c>
      <c r="B455" s="9" t="str">
        <f aca="false">DEC2HEX(C454)</f>
        <v>5B5</v>
      </c>
      <c r="C455" s="7" t="n">
        <v>1461</v>
      </c>
      <c r="D455" s="9" t="str">
        <f aca="false">DEC2HEX(C455,8)</f>
        <v>000005B5</v>
      </c>
      <c r="E455" s="10" t="str">
        <f aca="false">_xlfn.UNICHAR(C455)</f>
        <v>ֵ</v>
      </c>
      <c r="F455" s="7" t="n">
        <f aca="false">C455-C454</f>
        <v/>
      </c>
    </row>
    <row r="456" customFormat="false" ht="15" hidden="false" customHeight="false" outlineLevel="0" collapsed="false">
      <c r="A456" s="12" t="s">
        <v>453</v>
      </c>
      <c r="B456" s="9" t="str">
        <f aca="false">DEC2HEX(C455)</f>
        <v>5B6</v>
      </c>
      <c r="C456" s="7" t="n">
        <v>1462</v>
      </c>
      <c r="D456" s="9" t="str">
        <f aca="false">DEC2HEX(C456,8)</f>
        <v>000005B6</v>
      </c>
      <c r="E456" s="10" t="str">
        <f aca="false">_xlfn.UNICHAR(C456)</f>
        <v>ֶ</v>
      </c>
      <c r="F456" s="7" t="n">
        <f aca="false">C456-C455</f>
        <v/>
      </c>
    </row>
    <row r="457" customFormat="false" ht="15" hidden="false" customHeight="false" outlineLevel="0" collapsed="false">
      <c r="A457" s="12" t="s">
        <v>454</v>
      </c>
      <c r="B457" s="9" t="str">
        <f aca="false">DEC2HEX(C456)</f>
        <v>5B7</v>
      </c>
      <c r="C457" s="7" t="n">
        <v>1463</v>
      </c>
      <c r="D457" s="9" t="str">
        <f aca="false">DEC2HEX(C457,8)</f>
        <v>000005B7</v>
      </c>
      <c r="E457" s="10" t="str">
        <f aca="false">_xlfn.UNICHAR(C457)</f>
        <v>ַ</v>
      </c>
      <c r="F457" s="7" t="n">
        <f aca="false">C457-C456</f>
        <v/>
      </c>
    </row>
    <row r="458" customFormat="false" ht="15" hidden="false" customHeight="false" outlineLevel="0" collapsed="false">
      <c r="A458" s="12" t="s">
        <v>455</v>
      </c>
      <c r="B458" s="9" t="str">
        <f aca="false">DEC2HEX(C457)</f>
        <v>5B8</v>
      </c>
      <c r="C458" s="7" t="n">
        <v>1464</v>
      </c>
      <c r="D458" s="9" t="str">
        <f aca="false">DEC2HEX(C458,8)</f>
        <v>000005B8</v>
      </c>
      <c r="E458" s="10" t="str">
        <f aca="false">_xlfn.UNICHAR(C458)</f>
        <v>ָ</v>
      </c>
      <c r="F458" s="7" t="n">
        <f aca="false">C458-C457</f>
        <v/>
      </c>
    </row>
    <row r="459" customFormat="false" ht="15" hidden="false" customHeight="false" outlineLevel="0" collapsed="false">
      <c r="A459" s="12" t="s">
        <v>456</v>
      </c>
      <c r="B459" s="9" t="str">
        <f aca="false">DEC2HEX(C458)</f>
        <v>5B9</v>
      </c>
      <c r="C459" s="7" t="n">
        <v>1465</v>
      </c>
      <c r="D459" s="9" t="str">
        <f aca="false">DEC2HEX(C459,8)</f>
        <v>000005B9</v>
      </c>
      <c r="E459" s="10" t="str">
        <f aca="false">_xlfn.UNICHAR(C459)</f>
        <v>ֹ</v>
      </c>
      <c r="F459" s="7" t="n">
        <f aca="false">C459-C458</f>
        <v/>
      </c>
    </row>
    <row r="460" customFormat="false" ht="15" hidden="false" customHeight="false" outlineLevel="0" collapsed="false">
      <c r="A460" s="12" t="s">
        <v>457</v>
      </c>
      <c r="B460" s="9" t="str">
        <f aca="false">DEC2HEX(C459)</f>
        <v>5BA</v>
      </c>
      <c r="C460" s="7" t="n">
        <v>1466</v>
      </c>
      <c r="D460" s="9" t="str">
        <f aca="false">DEC2HEX(C460,8)</f>
        <v>000005BA</v>
      </c>
      <c r="E460" s="10" t="str">
        <f aca="false">_xlfn.UNICHAR(C460)</f>
        <v>ֺ</v>
      </c>
      <c r="F460" s="7" t="n">
        <f aca="false">C460-C459</f>
        <v/>
      </c>
    </row>
    <row r="461" customFormat="false" ht="15" hidden="false" customHeight="false" outlineLevel="0" collapsed="false">
      <c r="A461" s="12" t="s">
        <v>458</v>
      </c>
      <c r="B461" s="9" t="str">
        <f aca="false">DEC2HEX(C460)</f>
        <v>5BB</v>
      </c>
      <c r="C461" s="7" t="n">
        <v>1467</v>
      </c>
      <c r="D461" s="9" t="str">
        <f aca="false">DEC2HEX(C461,8)</f>
        <v>000005BB</v>
      </c>
      <c r="E461" s="10" t="str">
        <f aca="false">_xlfn.UNICHAR(C461)</f>
        <v>ֻ</v>
      </c>
      <c r="F461" s="7" t="n">
        <f aca="false">C461-C460</f>
        <v/>
      </c>
    </row>
    <row r="462" customFormat="false" ht="15" hidden="false" customHeight="false" outlineLevel="0" collapsed="false">
      <c r="A462" s="12" t="s">
        <v>459</v>
      </c>
      <c r="B462" s="9" t="str">
        <f aca="false">DEC2HEX(C461)</f>
        <v>5BC</v>
      </c>
      <c r="C462" s="7" t="n">
        <v>1468</v>
      </c>
      <c r="D462" s="9" t="str">
        <f aca="false">DEC2HEX(C462,8)</f>
        <v>000005BC</v>
      </c>
      <c r="E462" s="10" t="str">
        <f aca="false">_xlfn.UNICHAR(C462)</f>
        <v>ּ</v>
      </c>
      <c r="F462" s="7" t="n">
        <f aca="false">C462-C461</f>
        <v/>
      </c>
    </row>
    <row r="463" customFormat="false" ht="15" hidden="false" customHeight="false" outlineLevel="0" collapsed="false">
      <c r="A463" s="12" t="s">
        <v>460</v>
      </c>
      <c r="B463" s="9" t="str">
        <f aca="false">DEC2HEX(C462)</f>
        <v>5BD</v>
      </c>
      <c r="C463" s="7" t="n">
        <v>1469</v>
      </c>
      <c r="D463" s="9" t="str">
        <f aca="false">DEC2HEX(C463,8)</f>
        <v>000005BD</v>
      </c>
      <c r="E463" s="10" t="str">
        <f aca="false">_xlfn.UNICHAR(C463)</f>
        <v>ֽ</v>
      </c>
      <c r="F463" s="7" t="n">
        <f aca="false">C463-C462</f>
        <v/>
      </c>
    </row>
    <row r="464" customFormat="false" ht="15" hidden="false" customHeight="false" outlineLevel="0" collapsed="false">
      <c r="A464" s="7" t="s">
        <v>461</v>
      </c>
      <c r="B464" s="9" t="str">
        <f aca="false">DEC2HEX(C463)</f>
        <v>5BE</v>
      </c>
      <c r="C464" s="7" t="n">
        <v>1470</v>
      </c>
      <c r="D464" s="9" t="str">
        <f aca="false">DEC2HEX(C464,8)</f>
        <v>000005BE</v>
      </c>
      <c r="E464" s="10" t="str">
        <f aca="false">_xlfn.UNICHAR(C464)</f>
        <v>־</v>
      </c>
      <c r="F464" s="7" t="n">
        <f aca="false">C464-C463</f>
        <v/>
      </c>
    </row>
    <row r="465" customFormat="false" ht="15" hidden="false" customHeight="false" outlineLevel="0" collapsed="false">
      <c r="A465" s="7" t="s">
        <v>462</v>
      </c>
      <c r="B465" s="9" t="str">
        <f aca="false">DEC2HEX(C464)</f>
        <v>5BF</v>
      </c>
      <c r="C465" s="7" t="n">
        <v>1471</v>
      </c>
      <c r="D465" s="9" t="str">
        <f aca="false">DEC2HEX(C465,8)</f>
        <v>000005BF</v>
      </c>
      <c r="E465" s="10" t="str">
        <f aca="false">_xlfn.UNICHAR(C465)</f>
        <v>ֿ</v>
      </c>
      <c r="F465" s="7" t="n">
        <f aca="false">C465-C464</f>
        <v/>
      </c>
    </row>
    <row r="466" customFormat="false" ht="15" hidden="false" customHeight="false" outlineLevel="0" collapsed="false">
      <c r="A466" s="7" t="s">
        <v>463</v>
      </c>
      <c r="B466" s="9" t="str">
        <f aca="false">DEC2HEX(C465)</f>
        <v>5C0</v>
      </c>
      <c r="C466" s="7" t="n">
        <v>1472</v>
      </c>
      <c r="D466" s="9" t="str">
        <f aca="false">DEC2HEX(C466,8)</f>
        <v>000005C0</v>
      </c>
      <c r="E466" s="10" t="str">
        <f aca="false">_xlfn.UNICHAR(C466)</f>
        <v>׀</v>
      </c>
      <c r="F466" s="7" t="n">
        <f aca="false">C466-C465</f>
        <v/>
      </c>
    </row>
    <row r="467" customFormat="false" ht="15" hidden="false" customHeight="false" outlineLevel="0" collapsed="false">
      <c r="A467" s="7" t="s">
        <v>464</v>
      </c>
      <c r="B467" s="9" t="str">
        <f aca="false">DEC2HEX(C466)</f>
        <v>5C1</v>
      </c>
      <c r="C467" s="7" t="n">
        <v>1473</v>
      </c>
      <c r="D467" s="9" t="str">
        <f aca="false">DEC2HEX(C467,8)</f>
        <v>000005C1</v>
      </c>
      <c r="E467" s="10" t="str">
        <f aca="false">_xlfn.UNICHAR(C467)</f>
        <v>ׁ</v>
      </c>
      <c r="F467" s="7" t="n">
        <f aca="false">C467-C466</f>
        <v/>
      </c>
    </row>
    <row r="468" customFormat="false" ht="15" hidden="false" customHeight="false" outlineLevel="0" collapsed="false">
      <c r="A468" s="7" t="s">
        <v>465</v>
      </c>
      <c r="B468" s="9" t="str">
        <f aca="false">DEC2HEX(C467)</f>
        <v>5C2</v>
      </c>
      <c r="C468" s="7" t="n">
        <v>1474</v>
      </c>
      <c r="D468" s="9" t="str">
        <f aca="false">DEC2HEX(C468,8)</f>
        <v>000005C2</v>
      </c>
      <c r="E468" s="10" t="str">
        <f aca="false">_xlfn.UNICHAR(C468)</f>
        <v>ׂ</v>
      </c>
      <c r="F468" s="7" t="n">
        <f aca="false">C468-C467</f>
        <v/>
      </c>
    </row>
    <row r="469" customFormat="false" ht="15" hidden="false" customHeight="false" outlineLevel="0" collapsed="false">
      <c r="A469" s="7" t="s">
        <v>466</v>
      </c>
      <c r="B469" s="9" t="str">
        <f aca="false">DEC2HEX(C468)</f>
        <v>5C3</v>
      </c>
      <c r="C469" s="7" t="n">
        <v>1475</v>
      </c>
      <c r="D469" s="9" t="str">
        <f aca="false">DEC2HEX(C469,8)</f>
        <v>000005C3</v>
      </c>
      <c r="E469" s="10" t="str">
        <f aca="false">_xlfn.UNICHAR(C469)</f>
        <v>׃</v>
      </c>
      <c r="F469" s="7" t="n">
        <f aca="false">C469-C468</f>
        <v/>
      </c>
    </row>
    <row r="470" customFormat="false" ht="15" hidden="false" customHeight="false" outlineLevel="0" collapsed="false">
      <c r="A470" s="7" t="s">
        <v>467</v>
      </c>
      <c r="B470" s="9" t="str">
        <f aca="false">DEC2HEX(C469)</f>
        <v>5C4</v>
      </c>
      <c r="C470" s="7" t="n">
        <v>1476</v>
      </c>
      <c r="D470" s="9" t="str">
        <f aca="false">DEC2HEX(C470,8)</f>
        <v>000005C4</v>
      </c>
      <c r="E470" s="10" t="str">
        <f aca="false">_xlfn.UNICHAR(C470)</f>
        <v>ׄ</v>
      </c>
      <c r="F470" s="7" t="n">
        <f aca="false">C470-C469</f>
        <v/>
      </c>
    </row>
    <row r="471" customFormat="false" ht="15" hidden="false" customHeight="false" outlineLevel="0" collapsed="false">
      <c r="A471" s="7" t="s">
        <v>468</v>
      </c>
      <c r="B471" s="9" t="str">
        <f aca="false">DEC2HEX(C470)</f>
        <v>5C5</v>
      </c>
      <c r="C471" s="7" t="n">
        <v>1477</v>
      </c>
      <c r="D471" s="9" t="str">
        <f aca="false">DEC2HEX(C471,8)</f>
        <v>000005C5</v>
      </c>
      <c r="E471" s="10" t="str">
        <f aca="false">_xlfn.UNICHAR(C471)</f>
        <v>ׅ</v>
      </c>
      <c r="F471" s="7" t="n">
        <f aca="false">C471-C470</f>
        <v/>
      </c>
    </row>
    <row r="472" customFormat="false" ht="15" hidden="false" customHeight="false" outlineLevel="0" collapsed="false">
      <c r="A472" s="7" t="s">
        <v>469</v>
      </c>
      <c r="B472" s="9" t="str">
        <f aca="false">DEC2HEX(C471)</f>
        <v>5C6</v>
      </c>
      <c r="C472" s="7" t="n">
        <v>1478</v>
      </c>
      <c r="D472" s="9" t="str">
        <f aca="false">DEC2HEX(C472,8)</f>
        <v>000005C6</v>
      </c>
      <c r="E472" s="10" t="str">
        <f aca="false">_xlfn.UNICHAR(C472)</f>
        <v>׆</v>
      </c>
      <c r="F472" s="7" t="n">
        <f aca="false">C472-C471</f>
        <v/>
      </c>
    </row>
    <row r="473" customFormat="false" ht="15" hidden="false" customHeight="false" outlineLevel="0" collapsed="false">
      <c r="A473" s="7" t="s">
        <v>470</v>
      </c>
      <c r="B473" s="9" t="str">
        <f aca="false">DEC2HEX(C472)</f>
        <v>5C7</v>
      </c>
      <c r="C473" s="7" t="n">
        <v>1479</v>
      </c>
      <c r="D473" s="9" t="str">
        <f aca="false">DEC2HEX(C473,8)</f>
        <v>000005C7</v>
      </c>
      <c r="E473" s="10" t="str">
        <f aca="false">_xlfn.UNICHAR(C473)</f>
        <v>ׇ</v>
      </c>
      <c r="F473" s="7" t="n">
        <f aca="false">C473-C472</f>
        <v/>
      </c>
    </row>
    <row r="474" customFormat="false" ht="15" hidden="false" customHeight="false" outlineLevel="0" collapsed="false">
      <c r="A474" s="7" t="s">
        <v>471</v>
      </c>
      <c r="B474" s="9" t="str">
        <f aca="false">DEC2HEX(C473)</f>
        <v>5D0</v>
      </c>
      <c r="C474" s="7" t="n">
        <v>1488</v>
      </c>
      <c r="D474" s="9" t="str">
        <f aca="false">DEC2HEX(C474,8)</f>
        <v>000005D0</v>
      </c>
      <c r="E474" s="10" t="str">
        <f aca="false">_xlfn.UNICHAR(C474)</f>
        <v>א</v>
      </c>
      <c r="F474" s="7" t="n">
        <f aca="false">C474-C473</f>
        <v/>
      </c>
    </row>
    <row r="475" customFormat="false" ht="15" hidden="false" customHeight="false" outlineLevel="0" collapsed="false">
      <c r="A475" s="7" t="s">
        <v>472</v>
      </c>
      <c r="B475" s="9" t="str">
        <f aca="false">DEC2HEX(C474)</f>
        <v>5D1</v>
      </c>
      <c r="C475" s="7" t="n">
        <v>1489</v>
      </c>
      <c r="D475" s="9" t="str">
        <f aca="false">DEC2HEX(C475,8)</f>
        <v>000005D1</v>
      </c>
      <c r="E475" s="10" t="str">
        <f aca="false">_xlfn.UNICHAR(C475)</f>
        <v>ב</v>
      </c>
      <c r="F475" s="7" t="n">
        <f aca="false">C475-C474</f>
        <v/>
      </c>
    </row>
    <row r="476" customFormat="false" ht="15" hidden="false" customHeight="false" outlineLevel="0" collapsed="false">
      <c r="A476" s="7" t="s">
        <v>473</v>
      </c>
      <c r="B476" s="9" t="str">
        <f aca="false">DEC2HEX(C475)</f>
        <v>5D2</v>
      </c>
      <c r="C476" s="7" t="n">
        <v>1490</v>
      </c>
      <c r="D476" s="9" t="str">
        <f aca="false">DEC2HEX(C476,8)</f>
        <v>000005D2</v>
      </c>
      <c r="E476" s="10" t="str">
        <f aca="false">_xlfn.UNICHAR(C476)</f>
        <v>ג</v>
      </c>
      <c r="F476" s="7" t="n">
        <f aca="false">C476-C475</f>
        <v/>
      </c>
    </row>
    <row r="477" customFormat="false" ht="15" hidden="false" customHeight="false" outlineLevel="0" collapsed="false">
      <c r="A477" s="7" t="s">
        <v>474</v>
      </c>
      <c r="B477" s="9" t="str">
        <f aca="false">DEC2HEX(C476)</f>
        <v>5D3</v>
      </c>
      <c r="C477" s="7" t="n">
        <v>1491</v>
      </c>
      <c r="D477" s="9" t="str">
        <f aca="false">DEC2HEX(C477,8)</f>
        <v>000005D3</v>
      </c>
      <c r="E477" s="10" t="str">
        <f aca="false">_xlfn.UNICHAR(C477)</f>
        <v>ד</v>
      </c>
      <c r="F477" s="7" t="n">
        <f aca="false">C477-C476</f>
        <v/>
      </c>
    </row>
    <row r="478" customFormat="false" ht="15" hidden="false" customHeight="false" outlineLevel="0" collapsed="false">
      <c r="A478" s="7" t="s">
        <v>475</v>
      </c>
      <c r="B478" s="9" t="str">
        <f aca="false">DEC2HEX(C477)</f>
        <v>5D4</v>
      </c>
      <c r="C478" s="7" t="n">
        <v>1492</v>
      </c>
      <c r="D478" s="9" t="str">
        <f aca="false">DEC2HEX(C478,8)</f>
        <v>000005D4</v>
      </c>
      <c r="E478" s="10" t="str">
        <f aca="false">_xlfn.UNICHAR(C478)</f>
        <v>ה</v>
      </c>
      <c r="F478" s="7" t="n">
        <f aca="false">C478-C477</f>
        <v/>
      </c>
    </row>
    <row r="479" customFormat="false" ht="15" hidden="false" customHeight="false" outlineLevel="0" collapsed="false">
      <c r="A479" s="7" t="s">
        <v>476</v>
      </c>
      <c r="B479" s="9" t="str">
        <f aca="false">DEC2HEX(C478)</f>
        <v>5D5</v>
      </c>
      <c r="C479" s="7" t="n">
        <v>1493</v>
      </c>
      <c r="D479" s="9" t="str">
        <f aca="false">DEC2HEX(C479,8)</f>
        <v>000005D5</v>
      </c>
      <c r="E479" s="10" t="str">
        <f aca="false">_xlfn.UNICHAR(C479)</f>
        <v>ו</v>
      </c>
      <c r="F479" s="7" t="n">
        <f aca="false">C479-C478</f>
        <v/>
      </c>
    </row>
    <row r="480" customFormat="false" ht="15" hidden="false" customHeight="false" outlineLevel="0" collapsed="false">
      <c r="A480" s="7" t="s">
        <v>477</v>
      </c>
      <c r="B480" s="9" t="str">
        <f aca="false">DEC2HEX(C479)</f>
        <v>5D6</v>
      </c>
      <c r="C480" s="7" t="n">
        <v>1494</v>
      </c>
      <c r="D480" s="9" t="str">
        <f aca="false">DEC2HEX(C480,8)</f>
        <v>000005D6</v>
      </c>
      <c r="E480" s="10" t="str">
        <f aca="false">_xlfn.UNICHAR(C480)</f>
        <v>ז</v>
      </c>
      <c r="F480" s="7" t="n">
        <f aca="false">C480-C479</f>
        <v/>
      </c>
    </row>
    <row r="481" customFormat="false" ht="15" hidden="false" customHeight="false" outlineLevel="0" collapsed="false">
      <c r="A481" s="7" t="s">
        <v>478</v>
      </c>
      <c r="B481" s="9" t="str">
        <f aca="false">DEC2HEX(C480)</f>
        <v>5D7</v>
      </c>
      <c r="C481" s="7" t="n">
        <v>1495</v>
      </c>
      <c r="D481" s="9" t="str">
        <f aca="false">DEC2HEX(C481,8)</f>
        <v>000005D7</v>
      </c>
      <c r="E481" s="10" t="str">
        <f aca="false">_xlfn.UNICHAR(C481)</f>
        <v>ח</v>
      </c>
      <c r="F481" s="7" t="n">
        <f aca="false">C481-C480</f>
        <v/>
      </c>
    </row>
    <row r="482" customFormat="false" ht="15" hidden="false" customHeight="false" outlineLevel="0" collapsed="false">
      <c r="A482" s="7" t="s">
        <v>479</v>
      </c>
      <c r="B482" s="9" t="str">
        <f aca="false">DEC2HEX(C481)</f>
        <v>5D8</v>
      </c>
      <c r="C482" s="7" t="n">
        <v>1496</v>
      </c>
      <c r="D482" s="9" t="str">
        <f aca="false">DEC2HEX(C482,8)</f>
        <v>000005D8</v>
      </c>
      <c r="E482" s="10" t="str">
        <f aca="false">_xlfn.UNICHAR(C482)</f>
        <v>ט</v>
      </c>
      <c r="F482" s="7" t="n">
        <f aca="false">C482-C481</f>
        <v/>
      </c>
    </row>
    <row r="483" customFormat="false" ht="15" hidden="false" customHeight="false" outlineLevel="0" collapsed="false">
      <c r="A483" s="7" t="s">
        <v>480</v>
      </c>
      <c r="B483" s="9" t="str">
        <f aca="false">DEC2HEX(C482)</f>
        <v>5D9</v>
      </c>
      <c r="C483" s="7" t="n">
        <v>1497</v>
      </c>
      <c r="D483" s="9" t="str">
        <f aca="false">DEC2HEX(C483,8)</f>
        <v>000005D9</v>
      </c>
      <c r="E483" s="10" t="str">
        <f aca="false">_xlfn.UNICHAR(C483)</f>
        <v>י</v>
      </c>
      <c r="F483" s="7" t="n">
        <f aca="false">C483-C482</f>
        <v/>
      </c>
    </row>
    <row r="484" customFormat="false" ht="15" hidden="false" customHeight="false" outlineLevel="0" collapsed="false">
      <c r="A484" s="7" t="s">
        <v>481</v>
      </c>
      <c r="B484" s="9" t="str">
        <f aca="false">DEC2HEX(C483)</f>
        <v>5DA</v>
      </c>
      <c r="C484" s="7" t="n">
        <v>1498</v>
      </c>
      <c r="D484" s="9" t="str">
        <f aca="false">DEC2HEX(C484,8)</f>
        <v>000005DA</v>
      </c>
      <c r="E484" s="10" t="str">
        <f aca="false">_xlfn.UNICHAR(C484)</f>
        <v>ך</v>
      </c>
      <c r="F484" s="7" t="n">
        <f aca="false">C484-C483</f>
        <v/>
      </c>
    </row>
    <row r="485" customFormat="false" ht="15" hidden="false" customHeight="false" outlineLevel="0" collapsed="false">
      <c r="A485" s="7" t="s">
        <v>482</v>
      </c>
      <c r="B485" s="9" t="str">
        <f aca="false">DEC2HEX(C484)</f>
        <v>5DB</v>
      </c>
      <c r="C485" s="7" t="n">
        <v>1499</v>
      </c>
      <c r="D485" s="9" t="str">
        <f aca="false">DEC2HEX(C485,8)</f>
        <v>000005DB</v>
      </c>
      <c r="E485" s="10" t="str">
        <f aca="false">_xlfn.UNICHAR(C485)</f>
        <v>כ</v>
      </c>
      <c r="F485" s="7" t="n">
        <f aca="false">C485-C484</f>
        <v/>
      </c>
    </row>
    <row r="486" customFormat="false" ht="15" hidden="false" customHeight="false" outlineLevel="0" collapsed="false">
      <c r="A486" s="7" t="s">
        <v>483</v>
      </c>
      <c r="B486" s="9" t="str">
        <f aca="false">DEC2HEX(C485)</f>
        <v>5DC</v>
      </c>
      <c r="C486" s="7" t="n">
        <v>1500</v>
      </c>
      <c r="D486" s="9" t="str">
        <f aca="false">DEC2HEX(C486,8)</f>
        <v>000005DC</v>
      </c>
      <c r="E486" s="10" t="str">
        <f aca="false">_xlfn.UNICHAR(C486)</f>
        <v>ל</v>
      </c>
      <c r="F486" s="7" t="n">
        <f aca="false">C486-C485</f>
        <v/>
      </c>
    </row>
    <row r="487" customFormat="false" ht="15" hidden="false" customHeight="false" outlineLevel="0" collapsed="false">
      <c r="A487" s="7" t="s">
        <v>484</v>
      </c>
      <c r="B487" s="9" t="str">
        <f aca="false">DEC2HEX(C486)</f>
        <v>5DD</v>
      </c>
      <c r="C487" s="7" t="n">
        <v>1501</v>
      </c>
      <c r="D487" s="9" t="str">
        <f aca="false">DEC2HEX(C487,8)</f>
        <v>000005DD</v>
      </c>
      <c r="E487" s="10" t="str">
        <f aca="false">_xlfn.UNICHAR(C487)</f>
        <v>ם</v>
      </c>
      <c r="F487" s="7" t="n">
        <f aca="false">C487-C486</f>
        <v/>
      </c>
    </row>
    <row r="488" customFormat="false" ht="15" hidden="false" customHeight="false" outlineLevel="0" collapsed="false">
      <c r="A488" s="7" t="s">
        <v>485</v>
      </c>
      <c r="B488" s="9" t="str">
        <f aca="false">DEC2HEX(C487)</f>
        <v>5DE</v>
      </c>
      <c r="C488" s="7" t="n">
        <v>1502</v>
      </c>
      <c r="D488" s="9" t="str">
        <f aca="false">DEC2HEX(C488,8)</f>
        <v>000005DE</v>
      </c>
      <c r="E488" s="10" t="str">
        <f aca="false">_xlfn.UNICHAR(C488)</f>
        <v>מ</v>
      </c>
      <c r="F488" s="7" t="n">
        <f aca="false">C488-C487</f>
        <v/>
      </c>
    </row>
    <row r="489" customFormat="false" ht="15" hidden="false" customHeight="false" outlineLevel="0" collapsed="false">
      <c r="A489" s="7" t="s">
        <v>486</v>
      </c>
      <c r="B489" s="9" t="str">
        <f aca="false">DEC2HEX(C488)</f>
        <v>5DF</v>
      </c>
      <c r="C489" s="7" t="n">
        <v>1503</v>
      </c>
      <c r="D489" s="9" t="str">
        <f aca="false">DEC2HEX(C489,8)</f>
        <v>000005DF</v>
      </c>
      <c r="E489" s="10" t="str">
        <f aca="false">_xlfn.UNICHAR(C489)</f>
        <v>ן</v>
      </c>
      <c r="F489" s="7" t="n">
        <f aca="false">C489-C488</f>
        <v/>
      </c>
    </row>
    <row r="490" customFormat="false" ht="15" hidden="false" customHeight="false" outlineLevel="0" collapsed="false">
      <c r="A490" s="7" t="s">
        <v>487</v>
      </c>
      <c r="B490" s="9" t="str">
        <f aca="false">DEC2HEX(C489)</f>
        <v>5E0</v>
      </c>
      <c r="C490" s="7" t="n">
        <v>1504</v>
      </c>
      <c r="D490" s="9" t="str">
        <f aca="false">DEC2HEX(C490,8)</f>
        <v>000005E0</v>
      </c>
      <c r="E490" s="10" t="str">
        <f aca="false">_xlfn.UNICHAR(C490)</f>
        <v>נ</v>
      </c>
      <c r="F490" s="7" t="n">
        <f aca="false">C490-C489</f>
        <v/>
      </c>
    </row>
    <row r="491" customFormat="false" ht="15" hidden="false" customHeight="false" outlineLevel="0" collapsed="false">
      <c r="A491" s="7" t="s">
        <v>488</v>
      </c>
      <c r="B491" s="9" t="str">
        <f aca="false">DEC2HEX(C490)</f>
        <v>5E1</v>
      </c>
      <c r="C491" s="7" t="n">
        <v>1505</v>
      </c>
      <c r="D491" s="9" t="str">
        <f aca="false">DEC2HEX(C491,8)</f>
        <v>000005E1</v>
      </c>
      <c r="E491" s="10" t="str">
        <f aca="false">_xlfn.UNICHAR(C491)</f>
        <v>ס</v>
      </c>
      <c r="F491" s="7" t="n">
        <f aca="false">C491-C490</f>
        <v/>
      </c>
    </row>
    <row r="492" customFormat="false" ht="15" hidden="false" customHeight="false" outlineLevel="0" collapsed="false">
      <c r="A492" s="7" t="s">
        <v>489</v>
      </c>
      <c r="B492" s="9" t="str">
        <f aca="false">DEC2HEX(C491)</f>
        <v>5E2</v>
      </c>
      <c r="C492" s="7" t="n">
        <v>1506</v>
      </c>
      <c r="D492" s="9" t="str">
        <f aca="false">DEC2HEX(C492,8)</f>
        <v>000005E2</v>
      </c>
      <c r="E492" s="10" t="str">
        <f aca="false">_xlfn.UNICHAR(C492)</f>
        <v>ע</v>
      </c>
      <c r="F492" s="7" t="n">
        <f aca="false">C492-C491</f>
        <v/>
      </c>
    </row>
    <row r="493" customFormat="false" ht="15" hidden="false" customHeight="false" outlineLevel="0" collapsed="false">
      <c r="A493" s="7" t="s">
        <v>490</v>
      </c>
      <c r="B493" s="9" t="str">
        <f aca="false">DEC2HEX(C492)</f>
        <v>5E3</v>
      </c>
      <c r="C493" s="7" t="n">
        <v>1507</v>
      </c>
      <c r="D493" s="9" t="str">
        <f aca="false">DEC2HEX(C493,8)</f>
        <v>000005E3</v>
      </c>
      <c r="E493" s="10" t="str">
        <f aca="false">_xlfn.UNICHAR(C493)</f>
        <v>ף</v>
      </c>
      <c r="F493" s="7" t="n">
        <f aca="false">C493-C492</f>
        <v/>
      </c>
    </row>
    <row r="494" customFormat="false" ht="15" hidden="false" customHeight="false" outlineLevel="0" collapsed="false">
      <c r="A494" s="7" t="s">
        <v>491</v>
      </c>
      <c r="B494" s="9" t="str">
        <f aca="false">DEC2HEX(C493)</f>
        <v>5E4</v>
      </c>
      <c r="C494" s="7" t="n">
        <v>1508</v>
      </c>
      <c r="D494" s="9" t="str">
        <f aca="false">DEC2HEX(C494,8)</f>
        <v>000005E4</v>
      </c>
      <c r="E494" s="10" t="str">
        <f aca="false">_xlfn.UNICHAR(C494)</f>
        <v>פ</v>
      </c>
      <c r="F494" s="7" t="n">
        <f aca="false">C494-C493</f>
        <v/>
      </c>
    </row>
    <row r="495" customFormat="false" ht="15" hidden="false" customHeight="false" outlineLevel="0" collapsed="false">
      <c r="A495" s="7" t="s">
        <v>492</v>
      </c>
      <c r="B495" s="9" t="str">
        <f aca="false">DEC2HEX(C494)</f>
        <v>5E5</v>
      </c>
      <c r="C495" s="7" t="n">
        <v>1509</v>
      </c>
      <c r="D495" s="9" t="str">
        <f aca="false">DEC2HEX(C495,8)</f>
        <v>000005E5</v>
      </c>
      <c r="E495" s="10" t="str">
        <f aca="false">_xlfn.UNICHAR(C495)</f>
        <v>ץ</v>
      </c>
      <c r="F495" s="7" t="n">
        <f aca="false">C495-C494</f>
        <v/>
      </c>
    </row>
    <row r="496" customFormat="false" ht="15" hidden="false" customHeight="false" outlineLevel="0" collapsed="false">
      <c r="A496" s="7" t="s">
        <v>493</v>
      </c>
      <c r="B496" s="9" t="str">
        <f aca="false">DEC2HEX(C495)</f>
        <v>5E6</v>
      </c>
      <c r="C496" s="7" t="n">
        <v>1510</v>
      </c>
      <c r="D496" s="9" t="str">
        <f aca="false">DEC2HEX(C496,8)</f>
        <v>000005E6</v>
      </c>
      <c r="E496" s="10" t="str">
        <f aca="false">_xlfn.UNICHAR(C496)</f>
        <v>צ</v>
      </c>
      <c r="F496" s="7" t="n">
        <f aca="false">C496-C495</f>
        <v/>
      </c>
    </row>
    <row r="497" customFormat="false" ht="15" hidden="false" customHeight="false" outlineLevel="0" collapsed="false">
      <c r="A497" s="7" t="s">
        <v>494</v>
      </c>
      <c r="B497" s="9" t="str">
        <f aca="false">DEC2HEX(C496)</f>
        <v>5E7</v>
      </c>
      <c r="C497" s="7" t="n">
        <v>1511</v>
      </c>
      <c r="D497" s="9" t="str">
        <f aca="false">DEC2HEX(C497,8)</f>
        <v>000005E7</v>
      </c>
      <c r="E497" s="10" t="str">
        <f aca="false">_xlfn.UNICHAR(C497)</f>
        <v>ק</v>
      </c>
      <c r="F497" s="7" t="n">
        <f aca="false">C497-C496</f>
        <v/>
      </c>
    </row>
    <row r="498" customFormat="false" ht="15" hidden="false" customHeight="false" outlineLevel="0" collapsed="false">
      <c r="A498" s="7" t="s">
        <v>495</v>
      </c>
      <c r="B498" s="9" t="str">
        <f aca="false">DEC2HEX(C497)</f>
        <v>5E8</v>
      </c>
      <c r="C498" s="7" t="n">
        <v>1512</v>
      </c>
      <c r="D498" s="9" t="str">
        <f aca="false">DEC2HEX(C498,8)</f>
        <v>000005E8</v>
      </c>
      <c r="E498" s="10" t="str">
        <f aca="false">_xlfn.UNICHAR(C498)</f>
        <v>ר</v>
      </c>
      <c r="F498" s="7" t="n">
        <f aca="false">C498-C497</f>
        <v/>
      </c>
    </row>
    <row r="499" customFormat="false" ht="15" hidden="false" customHeight="false" outlineLevel="0" collapsed="false">
      <c r="A499" s="7" t="s">
        <v>496</v>
      </c>
      <c r="B499" s="9" t="str">
        <f aca="false">DEC2HEX(C498)</f>
        <v>5E9</v>
      </c>
      <c r="C499" s="7" t="n">
        <v>1513</v>
      </c>
      <c r="D499" s="9" t="str">
        <f aca="false">DEC2HEX(C499,8)</f>
        <v>000005E9</v>
      </c>
      <c r="E499" s="10" t="str">
        <f aca="false">_xlfn.UNICHAR(C499)</f>
        <v>ש</v>
      </c>
      <c r="F499" s="7" t="n">
        <f aca="false">C499-C498</f>
        <v/>
      </c>
    </row>
    <row r="500" customFormat="false" ht="15" hidden="false" customHeight="false" outlineLevel="0" collapsed="false">
      <c r="A500" s="7" t="s">
        <v>497</v>
      </c>
      <c r="B500" s="9" t="str">
        <f aca="false">DEC2HEX(C499)</f>
        <v>5EA</v>
      </c>
      <c r="C500" s="7" t="n">
        <v>1514</v>
      </c>
      <c r="D500" s="9" t="str">
        <f aca="false">DEC2HEX(C500,8)</f>
        <v>000005EA</v>
      </c>
      <c r="E500" s="10" t="str">
        <f aca="false">_xlfn.UNICHAR(C500)</f>
        <v>ת</v>
      </c>
      <c r="F500" s="7" t="n">
        <f aca="false">C500-C499</f>
        <v/>
      </c>
    </row>
    <row r="501" customFormat="false" ht="15" hidden="false" customHeight="false" outlineLevel="0" collapsed="false">
      <c r="A501" s="7" t="s">
        <v>498</v>
      </c>
      <c r="B501" s="9" t="str">
        <f aca="false">DEC2HEX(C500)</f>
        <v>5F0</v>
      </c>
      <c r="C501" s="7" t="n">
        <v>1520</v>
      </c>
      <c r="D501" s="9" t="str">
        <f aca="false">DEC2HEX(C501,8)</f>
        <v>000005F0</v>
      </c>
      <c r="E501" s="10" t="str">
        <f aca="false">_xlfn.UNICHAR(C501)</f>
        <v>װ</v>
      </c>
      <c r="F501" s="7" t="n">
        <f aca="false">C501-C500</f>
        <v/>
      </c>
    </row>
    <row r="502" customFormat="false" ht="15" hidden="false" customHeight="false" outlineLevel="0" collapsed="false">
      <c r="A502" s="7" t="s">
        <v>499</v>
      </c>
      <c r="B502" s="9" t="str">
        <f aca="false">DEC2HEX(C501)</f>
        <v>5F1</v>
      </c>
      <c r="C502" s="7" t="n">
        <v>1521</v>
      </c>
      <c r="D502" s="9" t="str">
        <f aca="false">DEC2HEX(C502,8)</f>
        <v>000005F1</v>
      </c>
      <c r="E502" s="10" t="str">
        <f aca="false">_xlfn.UNICHAR(C502)</f>
        <v>ױ</v>
      </c>
      <c r="F502" s="7" t="n">
        <f aca="false">C502-C501</f>
        <v/>
      </c>
    </row>
    <row r="503" customFormat="false" ht="15" hidden="false" customHeight="false" outlineLevel="0" collapsed="false">
      <c r="A503" s="7" t="s">
        <v>500</v>
      </c>
      <c r="B503" s="9" t="str">
        <f aca="false">DEC2HEX(C502)</f>
        <v>5F2</v>
      </c>
      <c r="C503" s="7" t="n">
        <v>1522</v>
      </c>
      <c r="D503" s="9" t="str">
        <f aca="false">DEC2HEX(C503,8)</f>
        <v>000005F2</v>
      </c>
      <c r="E503" s="10" t="str">
        <f aca="false">_xlfn.UNICHAR(C503)</f>
        <v>ײ</v>
      </c>
      <c r="F503" s="7" t="n">
        <f aca="false">C503-C502</f>
        <v/>
      </c>
    </row>
    <row r="504" customFormat="false" ht="15" hidden="false" customHeight="false" outlineLevel="0" collapsed="false">
      <c r="A504" s="7" t="s">
        <v>501</v>
      </c>
      <c r="B504" s="9" t="str">
        <f aca="false">DEC2HEX(C503)</f>
        <v>5F3</v>
      </c>
      <c r="C504" s="7" t="n">
        <v>1523</v>
      </c>
      <c r="D504" s="9" t="str">
        <f aca="false">DEC2HEX(C504,8)</f>
        <v>000005F3</v>
      </c>
      <c r="E504" s="10" t="str">
        <f aca="false">_xlfn.UNICHAR(C504)</f>
        <v>׳</v>
      </c>
      <c r="F504" s="7" t="n">
        <f aca="false">C504-C503</f>
        <v/>
      </c>
    </row>
    <row r="505" customFormat="false" ht="15" hidden="false" customHeight="false" outlineLevel="0" collapsed="false">
      <c r="A505" s="7" t="s">
        <v>502</v>
      </c>
      <c r="B505" s="9" t="str">
        <f aca="false">DEC2HEX(C504)</f>
        <v>5F4</v>
      </c>
      <c r="C505" s="7" t="n">
        <v>1524</v>
      </c>
      <c r="D505" s="9" t="str">
        <f aca="false">DEC2HEX(C505,8)</f>
        <v>000005F4</v>
      </c>
      <c r="E505" s="10" t="str">
        <f aca="false">_xlfn.UNICHAR(C505)</f>
        <v>״</v>
      </c>
      <c r="F505" s="7" t="n">
        <f aca="false">C505-C504</f>
        <v/>
      </c>
    </row>
    <row r="506" customFormat="false" ht="15" hidden="false" customHeight="false" outlineLevel="0" collapsed="false">
      <c r="A506" s="7" t="s">
        <v>503</v>
      </c>
      <c r="B506" s="9" t="s">
        <v>504</v>
      </c>
      <c r="C506" s="7" t="n">
        <v>1548</v>
      </c>
      <c r="D506" s="9" t="str">
        <f aca="false">DEC2HEX(C506,8)</f>
        <v>0000060C</v>
      </c>
      <c r="E506" s="10" t="s">
        <v>505</v>
      </c>
      <c r="F506" s="7" t="n">
        <v>291</v>
      </c>
    </row>
    <row r="507" customFormat="false" ht="15" hidden="false" customHeight="false" outlineLevel="0" collapsed="false">
      <c r="A507" s="7" t="s">
        <v>506</v>
      </c>
      <c r="B507" s="9" t="s">
        <v>507</v>
      </c>
      <c r="C507" s="7" t="n">
        <v>1563</v>
      </c>
      <c r="D507" s="9" t="str">
        <f aca="false">DEC2HEX(C507,8)</f>
        <v>0000061B</v>
      </c>
      <c r="E507" s="10" t="s">
        <v>508</v>
      </c>
      <c r="F507" s="7" t="n">
        <v>15</v>
      </c>
    </row>
    <row r="508" customFormat="false" ht="15" hidden="false" customHeight="false" outlineLevel="0" collapsed="false">
      <c r="A508" s="7" t="s">
        <v>509</v>
      </c>
      <c r="B508" s="9" t="s">
        <v>510</v>
      </c>
      <c r="C508" s="7" t="n">
        <v>1567</v>
      </c>
      <c r="D508" s="9" t="str">
        <f aca="false">DEC2HEX(C508,8)</f>
        <v>0000061F</v>
      </c>
      <c r="E508" s="10" t="s">
        <v>511</v>
      </c>
      <c r="F508" s="7" t="n">
        <v>4</v>
      </c>
    </row>
    <row r="509" customFormat="false" ht="15" hidden="false" customHeight="false" outlineLevel="0" collapsed="false">
      <c r="A509" s="7" t="s">
        <v>512</v>
      </c>
      <c r="B509" s="9" t="n">
        <v>620</v>
      </c>
      <c r="C509" s="7" t="n">
        <v>1568</v>
      </c>
      <c r="D509" s="9" t="str">
        <f aca="false">DEC2HEX(C509,8)</f>
        <v>00000620</v>
      </c>
      <c r="E509" s="10" t="s">
        <v>513</v>
      </c>
      <c r="F509" s="7" t="n">
        <v>1</v>
      </c>
    </row>
    <row r="510" customFormat="false" ht="15" hidden="false" customHeight="false" outlineLevel="0" collapsed="false">
      <c r="A510" s="7" t="s">
        <v>514</v>
      </c>
      <c r="B510" s="9" t="n">
        <v>621</v>
      </c>
      <c r="C510" s="7" t="n">
        <v>1569</v>
      </c>
      <c r="D510" s="9" t="str">
        <f aca="false">DEC2HEX(C510,8)</f>
        <v>00000621</v>
      </c>
      <c r="E510" s="10" t="s">
        <v>515</v>
      </c>
      <c r="F510" s="7" t="n">
        <v>1</v>
      </c>
    </row>
    <row r="511" customFormat="false" ht="15" hidden="false" customHeight="false" outlineLevel="0" collapsed="false">
      <c r="A511" s="7" t="s">
        <v>516</v>
      </c>
      <c r="B511" s="9" t="n">
        <v>622</v>
      </c>
      <c r="C511" s="7" t="n">
        <v>1570</v>
      </c>
      <c r="D511" s="9" t="str">
        <f aca="false">DEC2HEX(C511,8)</f>
        <v>00000622</v>
      </c>
      <c r="E511" s="10" t="s">
        <v>517</v>
      </c>
      <c r="F511" s="7" t="n">
        <v>1</v>
      </c>
    </row>
    <row r="512" customFormat="false" ht="15" hidden="false" customHeight="false" outlineLevel="0" collapsed="false">
      <c r="A512" s="7" t="s">
        <v>518</v>
      </c>
      <c r="B512" s="9" t="n">
        <v>623</v>
      </c>
      <c r="C512" s="7" t="n">
        <v>1571</v>
      </c>
      <c r="D512" s="9" t="str">
        <f aca="false">DEC2HEX(C512,8)</f>
        <v>00000623</v>
      </c>
      <c r="E512" s="10" t="s">
        <v>519</v>
      </c>
      <c r="F512" s="7" t="n">
        <v>1</v>
      </c>
    </row>
    <row r="513" customFormat="false" ht="15" hidden="false" customHeight="false" outlineLevel="0" collapsed="false">
      <c r="A513" s="7" t="s">
        <v>520</v>
      </c>
      <c r="B513" s="9" t="n">
        <v>624</v>
      </c>
      <c r="C513" s="7" t="n">
        <v>1572</v>
      </c>
      <c r="D513" s="9" t="str">
        <f aca="false">DEC2HEX(C513,8)</f>
        <v>00000624</v>
      </c>
      <c r="E513" s="10" t="s">
        <v>521</v>
      </c>
      <c r="F513" s="7" t="n">
        <v>1</v>
      </c>
    </row>
    <row r="514" customFormat="false" ht="15" hidden="false" customHeight="false" outlineLevel="0" collapsed="false">
      <c r="A514" s="7" t="s">
        <v>522</v>
      </c>
      <c r="B514" s="9" t="n">
        <v>625</v>
      </c>
      <c r="C514" s="7" t="n">
        <v>1573</v>
      </c>
      <c r="D514" s="9" t="str">
        <f aca="false">DEC2HEX(C514,8)</f>
        <v>00000625</v>
      </c>
      <c r="E514" s="10" t="s">
        <v>523</v>
      </c>
      <c r="F514" s="7" t="n">
        <v>1</v>
      </c>
    </row>
    <row r="515" customFormat="false" ht="15" hidden="false" customHeight="false" outlineLevel="0" collapsed="false">
      <c r="A515" s="7" t="s">
        <v>524</v>
      </c>
      <c r="B515" s="9" t="n">
        <v>626</v>
      </c>
      <c r="C515" s="7" t="n">
        <v>1574</v>
      </c>
      <c r="D515" s="9" t="str">
        <f aca="false">DEC2HEX(C515,8)</f>
        <v>00000626</v>
      </c>
      <c r="E515" s="10" t="s">
        <v>525</v>
      </c>
      <c r="F515" s="7" t="n">
        <v>1</v>
      </c>
    </row>
    <row r="516" customFormat="false" ht="15" hidden="false" customHeight="false" outlineLevel="0" collapsed="false">
      <c r="A516" s="7" t="s">
        <v>526</v>
      </c>
      <c r="B516" s="9" t="n">
        <v>627</v>
      </c>
      <c r="C516" s="7" t="n">
        <v>1575</v>
      </c>
      <c r="D516" s="9" t="str">
        <f aca="false">DEC2HEX(C516,8)</f>
        <v>00000627</v>
      </c>
      <c r="E516" s="10" t="s">
        <v>527</v>
      </c>
      <c r="F516" s="7" t="n">
        <v>1</v>
      </c>
    </row>
    <row r="517" customFormat="false" ht="15" hidden="false" customHeight="false" outlineLevel="0" collapsed="false">
      <c r="A517" s="7" t="s">
        <v>528</v>
      </c>
      <c r="B517" s="9" t="n">
        <v>628</v>
      </c>
      <c r="C517" s="7" t="n">
        <v>1576</v>
      </c>
      <c r="D517" s="9" t="str">
        <f aca="false">DEC2HEX(C517,8)</f>
        <v>00000628</v>
      </c>
      <c r="E517" s="10" t="s">
        <v>529</v>
      </c>
      <c r="F517" s="7" t="n">
        <v>1</v>
      </c>
    </row>
    <row r="518" customFormat="false" ht="15" hidden="false" customHeight="false" outlineLevel="0" collapsed="false">
      <c r="A518" s="7" t="s">
        <v>530</v>
      </c>
      <c r="B518" s="9" t="n">
        <v>629</v>
      </c>
      <c r="C518" s="7" t="n">
        <v>1577</v>
      </c>
      <c r="D518" s="9" t="str">
        <f aca="false">DEC2HEX(C518,8)</f>
        <v>00000629</v>
      </c>
      <c r="E518" s="10" t="s">
        <v>531</v>
      </c>
      <c r="F518" s="7" t="n">
        <v>1</v>
      </c>
    </row>
    <row r="519" customFormat="false" ht="15" hidden="false" customHeight="false" outlineLevel="0" collapsed="false">
      <c r="A519" s="7" t="s">
        <v>532</v>
      </c>
      <c r="B519" s="9" t="s">
        <v>533</v>
      </c>
      <c r="C519" s="7" t="n">
        <v>1578</v>
      </c>
      <c r="D519" s="9" t="str">
        <f aca="false">DEC2HEX(C519,8)</f>
        <v>0000062A</v>
      </c>
      <c r="E519" s="10" t="s">
        <v>534</v>
      </c>
      <c r="F519" s="7" t="n">
        <v>1</v>
      </c>
    </row>
    <row r="520" customFormat="false" ht="15" hidden="false" customHeight="false" outlineLevel="0" collapsed="false">
      <c r="A520" s="7" t="s">
        <v>535</v>
      </c>
      <c r="B520" s="9" t="s">
        <v>536</v>
      </c>
      <c r="C520" s="7" t="n">
        <v>1579</v>
      </c>
      <c r="D520" s="9" t="str">
        <f aca="false">DEC2HEX(C520,8)</f>
        <v>0000062B</v>
      </c>
      <c r="E520" s="10" t="s">
        <v>537</v>
      </c>
      <c r="F520" s="7" t="n">
        <v>1</v>
      </c>
    </row>
    <row r="521" customFormat="false" ht="15" hidden="false" customHeight="false" outlineLevel="0" collapsed="false">
      <c r="A521" s="7" t="s">
        <v>538</v>
      </c>
      <c r="B521" s="9" t="s">
        <v>539</v>
      </c>
      <c r="C521" s="7" t="n">
        <v>1580</v>
      </c>
      <c r="D521" s="9" t="str">
        <f aca="false">DEC2HEX(C521,8)</f>
        <v>0000062C</v>
      </c>
      <c r="E521" s="10" t="s">
        <v>540</v>
      </c>
      <c r="F521" s="7" t="n">
        <v>1</v>
      </c>
    </row>
    <row r="522" customFormat="false" ht="15" hidden="false" customHeight="false" outlineLevel="0" collapsed="false">
      <c r="A522" s="7" t="s">
        <v>541</v>
      </c>
      <c r="B522" s="9" t="s">
        <v>542</v>
      </c>
      <c r="C522" s="7" t="n">
        <v>1581</v>
      </c>
      <c r="D522" s="9" t="str">
        <f aca="false">DEC2HEX(C522,8)</f>
        <v>0000062D</v>
      </c>
      <c r="E522" s="10" t="s">
        <v>543</v>
      </c>
      <c r="F522" s="7" t="n">
        <v>1</v>
      </c>
    </row>
    <row r="523" customFormat="false" ht="15" hidden="false" customHeight="false" outlineLevel="0" collapsed="false">
      <c r="A523" s="7" t="s">
        <v>544</v>
      </c>
      <c r="B523" s="9" t="s">
        <v>545</v>
      </c>
      <c r="C523" s="7" t="n">
        <v>1582</v>
      </c>
      <c r="D523" s="9" t="str">
        <f aca="false">DEC2HEX(C523,8)</f>
        <v>0000062E</v>
      </c>
      <c r="E523" s="10" t="s">
        <v>546</v>
      </c>
      <c r="F523" s="7" t="n">
        <v>1</v>
      </c>
    </row>
    <row r="524" customFormat="false" ht="15" hidden="false" customHeight="false" outlineLevel="0" collapsed="false">
      <c r="A524" s="7" t="s">
        <v>547</v>
      </c>
      <c r="B524" s="9" t="s">
        <v>548</v>
      </c>
      <c r="C524" s="7" t="n">
        <v>1583</v>
      </c>
      <c r="D524" s="9" t="str">
        <f aca="false">DEC2HEX(C524,8)</f>
        <v>0000062F</v>
      </c>
      <c r="E524" s="10" t="s">
        <v>549</v>
      </c>
      <c r="F524" s="7" t="n">
        <v>1</v>
      </c>
    </row>
    <row r="525" customFormat="false" ht="15" hidden="false" customHeight="false" outlineLevel="0" collapsed="false">
      <c r="A525" s="7" t="s">
        <v>550</v>
      </c>
      <c r="B525" s="9" t="n">
        <v>630</v>
      </c>
      <c r="C525" s="7" t="n">
        <v>1584</v>
      </c>
      <c r="D525" s="9" t="str">
        <f aca="false">DEC2HEX(C525,8)</f>
        <v>00000630</v>
      </c>
      <c r="E525" s="10" t="s">
        <v>551</v>
      </c>
      <c r="F525" s="7" t="n">
        <v>1</v>
      </c>
    </row>
    <row r="526" customFormat="false" ht="15" hidden="false" customHeight="false" outlineLevel="0" collapsed="false">
      <c r="A526" s="7" t="s">
        <v>552</v>
      </c>
      <c r="B526" s="9" t="n">
        <v>631</v>
      </c>
      <c r="C526" s="7" t="n">
        <v>1585</v>
      </c>
      <c r="D526" s="9" t="str">
        <f aca="false">DEC2HEX(C526,8)</f>
        <v>00000631</v>
      </c>
      <c r="E526" s="10" t="s">
        <v>553</v>
      </c>
      <c r="F526" s="7" t="n">
        <v>1</v>
      </c>
    </row>
    <row r="527" customFormat="false" ht="15" hidden="false" customHeight="false" outlineLevel="0" collapsed="false">
      <c r="A527" s="7" t="s">
        <v>554</v>
      </c>
      <c r="B527" s="9" t="n">
        <v>632</v>
      </c>
      <c r="C527" s="7" t="n">
        <v>1586</v>
      </c>
      <c r="D527" s="9" t="str">
        <f aca="false">DEC2HEX(C527,8)</f>
        <v>00000632</v>
      </c>
      <c r="E527" s="10" t="s">
        <v>555</v>
      </c>
      <c r="F527" s="7" t="n">
        <v>1</v>
      </c>
    </row>
    <row r="528" customFormat="false" ht="15" hidden="false" customHeight="false" outlineLevel="0" collapsed="false">
      <c r="A528" s="7" t="s">
        <v>556</v>
      </c>
      <c r="B528" s="9" t="n">
        <v>633</v>
      </c>
      <c r="C528" s="7" t="n">
        <v>1587</v>
      </c>
      <c r="D528" s="9" t="str">
        <f aca="false">DEC2HEX(C528,8)</f>
        <v>00000633</v>
      </c>
      <c r="E528" s="10" t="s">
        <v>557</v>
      </c>
      <c r="F528" s="7" t="n">
        <v>1</v>
      </c>
    </row>
    <row r="529" customFormat="false" ht="15" hidden="false" customHeight="false" outlineLevel="0" collapsed="false">
      <c r="A529" s="7" t="s">
        <v>558</v>
      </c>
      <c r="B529" s="9" t="n">
        <v>634</v>
      </c>
      <c r="C529" s="7" t="n">
        <v>1588</v>
      </c>
      <c r="D529" s="9" t="str">
        <f aca="false">DEC2HEX(C529,8)</f>
        <v>00000634</v>
      </c>
      <c r="E529" s="10" t="s">
        <v>559</v>
      </c>
      <c r="F529" s="7" t="n">
        <v>1</v>
      </c>
    </row>
    <row r="530" customFormat="false" ht="15" hidden="false" customHeight="false" outlineLevel="0" collapsed="false">
      <c r="A530" s="7" t="s">
        <v>560</v>
      </c>
      <c r="B530" s="9" t="n">
        <v>635</v>
      </c>
      <c r="C530" s="7" t="n">
        <v>1589</v>
      </c>
      <c r="D530" s="9" t="str">
        <f aca="false">DEC2HEX(C530,8)</f>
        <v>00000635</v>
      </c>
      <c r="E530" s="10" t="s">
        <v>561</v>
      </c>
      <c r="F530" s="7" t="n">
        <v>1</v>
      </c>
    </row>
    <row r="531" customFormat="false" ht="15" hidden="false" customHeight="false" outlineLevel="0" collapsed="false">
      <c r="A531" s="7" t="s">
        <v>562</v>
      </c>
      <c r="B531" s="9" t="n">
        <v>636</v>
      </c>
      <c r="C531" s="7" t="n">
        <v>1590</v>
      </c>
      <c r="D531" s="9" t="str">
        <f aca="false">DEC2HEX(C531,8)</f>
        <v>00000636</v>
      </c>
      <c r="E531" s="10" t="s">
        <v>563</v>
      </c>
      <c r="F531" s="7" t="n">
        <v>1</v>
      </c>
    </row>
    <row r="532" customFormat="false" ht="15" hidden="false" customHeight="false" outlineLevel="0" collapsed="false">
      <c r="A532" s="7" t="s">
        <v>564</v>
      </c>
      <c r="B532" s="9" t="n">
        <v>637</v>
      </c>
      <c r="C532" s="7" t="n">
        <v>1591</v>
      </c>
      <c r="D532" s="9" t="str">
        <f aca="false">DEC2HEX(C532,8)</f>
        <v>00000637</v>
      </c>
      <c r="E532" s="10" t="s">
        <v>565</v>
      </c>
      <c r="F532" s="7" t="n">
        <v>1</v>
      </c>
    </row>
    <row r="533" customFormat="false" ht="15" hidden="false" customHeight="false" outlineLevel="0" collapsed="false">
      <c r="A533" s="7" t="s">
        <v>566</v>
      </c>
      <c r="B533" s="9" t="n">
        <v>638</v>
      </c>
      <c r="C533" s="7" t="n">
        <v>1592</v>
      </c>
      <c r="D533" s="9" t="str">
        <f aca="false">DEC2HEX(C533,8)</f>
        <v>00000638</v>
      </c>
      <c r="E533" s="10" t="s">
        <v>567</v>
      </c>
      <c r="F533" s="7" t="n">
        <v>1</v>
      </c>
    </row>
    <row r="534" customFormat="false" ht="15" hidden="false" customHeight="false" outlineLevel="0" collapsed="false">
      <c r="A534" s="7" t="s">
        <v>568</v>
      </c>
      <c r="B534" s="9" t="n">
        <v>639</v>
      </c>
      <c r="C534" s="7" t="n">
        <v>1593</v>
      </c>
      <c r="D534" s="9" t="str">
        <f aca="false">DEC2HEX(C534,8)</f>
        <v>00000639</v>
      </c>
      <c r="E534" s="10" t="s">
        <v>569</v>
      </c>
      <c r="F534" s="7" t="n">
        <v>1</v>
      </c>
    </row>
    <row r="535" customFormat="false" ht="15" hidden="false" customHeight="false" outlineLevel="0" collapsed="false">
      <c r="A535" s="7" t="s">
        <v>570</v>
      </c>
      <c r="B535" s="9" t="s">
        <v>571</v>
      </c>
      <c r="C535" s="7" t="n">
        <v>1594</v>
      </c>
      <c r="D535" s="9" t="str">
        <f aca="false">DEC2HEX(C535,8)</f>
        <v>0000063A</v>
      </c>
      <c r="E535" s="10" t="s">
        <v>572</v>
      </c>
      <c r="F535" s="7" t="n">
        <v>1</v>
      </c>
    </row>
    <row r="536" customFormat="false" ht="15" hidden="false" customHeight="false" outlineLevel="0" collapsed="false">
      <c r="A536" s="7" t="s">
        <v>573</v>
      </c>
      <c r="B536" s="9" t="s">
        <v>574</v>
      </c>
      <c r="C536" s="7" t="n">
        <v>1595</v>
      </c>
      <c r="D536" s="9" t="str">
        <f aca="false">DEC2HEX(C536,8)</f>
        <v>0000063B</v>
      </c>
      <c r="E536" s="10" t="s">
        <v>575</v>
      </c>
      <c r="F536" s="7" t="n">
        <v>1</v>
      </c>
    </row>
    <row r="537" customFormat="false" ht="15" hidden="false" customHeight="false" outlineLevel="0" collapsed="false">
      <c r="A537" s="7" t="s">
        <v>576</v>
      </c>
      <c r="B537" s="9" t="s">
        <v>577</v>
      </c>
      <c r="C537" s="7" t="n">
        <v>1596</v>
      </c>
      <c r="D537" s="9" t="str">
        <f aca="false">DEC2HEX(C537,8)</f>
        <v>0000063C</v>
      </c>
      <c r="E537" s="10" t="s">
        <v>578</v>
      </c>
      <c r="F537" s="7" t="n">
        <v>1</v>
      </c>
    </row>
    <row r="538" customFormat="false" ht="15" hidden="false" customHeight="false" outlineLevel="0" collapsed="false">
      <c r="A538" s="7" t="s">
        <v>579</v>
      </c>
      <c r="B538" s="9" t="s">
        <v>580</v>
      </c>
      <c r="C538" s="7" t="n">
        <v>1597</v>
      </c>
      <c r="D538" s="9" t="str">
        <f aca="false">DEC2HEX(C538,8)</f>
        <v>0000063D</v>
      </c>
      <c r="E538" s="10" t="s">
        <v>581</v>
      </c>
      <c r="F538" s="7" t="n">
        <v>1</v>
      </c>
    </row>
    <row r="539" customFormat="false" ht="15" hidden="false" customHeight="false" outlineLevel="0" collapsed="false">
      <c r="A539" s="7" t="s">
        <v>582</v>
      </c>
      <c r="B539" s="9" t="s">
        <v>583</v>
      </c>
      <c r="C539" s="7" t="n">
        <v>1598</v>
      </c>
      <c r="D539" s="9" t="str">
        <f aca="false">DEC2HEX(C539,8)</f>
        <v>0000063E</v>
      </c>
      <c r="E539" s="10" t="s">
        <v>584</v>
      </c>
      <c r="F539" s="7" t="n">
        <v>1</v>
      </c>
    </row>
    <row r="540" customFormat="false" ht="15" hidden="false" customHeight="false" outlineLevel="0" collapsed="false">
      <c r="A540" s="7" t="s">
        <v>585</v>
      </c>
      <c r="B540" s="9" t="s">
        <v>586</v>
      </c>
      <c r="C540" s="7" t="n">
        <v>1599</v>
      </c>
      <c r="D540" s="9" t="str">
        <f aca="false">DEC2HEX(C540,8)</f>
        <v>0000063F</v>
      </c>
      <c r="E540" s="10" t="s">
        <v>587</v>
      </c>
      <c r="F540" s="7" t="n">
        <v>1</v>
      </c>
    </row>
    <row r="541" customFormat="false" ht="15" hidden="false" customHeight="false" outlineLevel="0" collapsed="false">
      <c r="A541" s="7" t="s">
        <v>588</v>
      </c>
      <c r="B541" s="9" t="n">
        <v>640</v>
      </c>
      <c r="C541" s="7" t="n">
        <v>1600</v>
      </c>
      <c r="D541" s="9" t="str">
        <f aca="false">DEC2HEX(C541,8)</f>
        <v>00000640</v>
      </c>
      <c r="E541" s="10" t="s">
        <v>589</v>
      </c>
      <c r="F541" s="7" t="n">
        <v>1</v>
      </c>
    </row>
    <row r="542" customFormat="false" ht="15" hidden="false" customHeight="false" outlineLevel="0" collapsed="false">
      <c r="A542" s="7" t="s">
        <v>590</v>
      </c>
      <c r="B542" s="9" t="n">
        <v>641</v>
      </c>
      <c r="C542" s="7" t="n">
        <v>1601</v>
      </c>
      <c r="D542" s="9" t="str">
        <f aca="false">DEC2HEX(C542,8)</f>
        <v>00000641</v>
      </c>
      <c r="E542" s="10" t="s">
        <v>591</v>
      </c>
      <c r="F542" s="7" t="n">
        <v>1</v>
      </c>
    </row>
    <row r="543" customFormat="false" ht="15" hidden="false" customHeight="false" outlineLevel="0" collapsed="false">
      <c r="A543" s="7" t="s">
        <v>592</v>
      </c>
      <c r="B543" s="9" t="n">
        <v>642</v>
      </c>
      <c r="C543" s="7" t="n">
        <v>1602</v>
      </c>
      <c r="D543" s="9" t="str">
        <f aca="false">DEC2HEX(C543,8)</f>
        <v>00000642</v>
      </c>
      <c r="E543" s="10" t="s">
        <v>593</v>
      </c>
      <c r="F543" s="7" t="n">
        <v>1</v>
      </c>
    </row>
    <row r="544" customFormat="false" ht="15" hidden="false" customHeight="false" outlineLevel="0" collapsed="false">
      <c r="A544" s="7" t="s">
        <v>594</v>
      </c>
      <c r="B544" s="9" t="n">
        <v>643</v>
      </c>
      <c r="C544" s="7" t="n">
        <v>1603</v>
      </c>
      <c r="D544" s="9" t="str">
        <f aca="false">DEC2HEX(C544,8)</f>
        <v>00000643</v>
      </c>
      <c r="E544" s="10" t="s">
        <v>595</v>
      </c>
      <c r="F544" s="7" t="n">
        <v>1</v>
      </c>
    </row>
    <row r="545" customFormat="false" ht="15" hidden="false" customHeight="false" outlineLevel="0" collapsed="false">
      <c r="A545" s="7" t="s">
        <v>596</v>
      </c>
      <c r="B545" s="9" t="n">
        <v>644</v>
      </c>
      <c r="C545" s="7" t="n">
        <v>1604</v>
      </c>
      <c r="D545" s="9" t="str">
        <f aca="false">DEC2HEX(C545,8)</f>
        <v>00000644</v>
      </c>
      <c r="E545" s="10" t="s">
        <v>597</v>
      </c>
      <c r="F545" s="7" t="n">
        <v>1</v>
      </c>
    </row>
    <row r="546" customFormat="false" ht="15" hidden="false" customHeight="false" outlineLevel="0" collapsed="false">
      <c r="A546" s="7" t="s">
        <v>598</v>
      </c>
      <c r="B546" s="9" t="n">
        <v>645</v>
      </c>
      <c r="C546" s="7" t="n">
        <v>1605</v>
      </c>
      <c r="D546" s="9" t="str">
        <f aca="false">DEC2HEX(C546,8)</f>
        <v>00000645</v>
      </c>
      <c r="E546" s="10" t="s">
        <v>599</v>
      </c>
      <c r="F546" s="7" t="n">
        <v>1</v>
      </c>
    </row>
    <row r="547" customFormat="false" ht="15" hidden="false" customHeight="false" outlineLevel="0" collapsed="false">
      <c r="A547" s="7" t="s">
        <v>600</v>
      </c>
      <c r="B547" s="9" t="n">
        <v>646</v>
      </c>
      <c r="C547" s="7" t="n">
        <v>1606</v>
      </c>
      <c r="D547" s="9" t="str">
        <f aca="false">DEC2HEX(C547,8)</f>
        <v>00000646</v>
      </c>
      <c r="E547" s="10" t="s">
        <v>601</v>
      </c>
      <c r="F547" s="7" t="n">
        <v>1</v>
      </c>
    </row>
    <row r="548" customFormat="false" ht="15" hidden="false" customHeight="false" outlineLevel="0" collapsed="false">
      <c r="A548" s="7" t="s">
        <v>602</v>
      </c>
      <c r="B548" s="9" t="n">
        <v>647</v>
      </c>
      <c r="C548" s="7" t="n">
        <v>1607</v>
      </c>
      <c r="D548" s="9" t="str">
        <f aca="false">DEC2HEX(C548,8)</f>
        <v>00000647</v>
      </c>
      <c r="E548" s="10" t="s">
        <v>603</v>
      </c>
      <c r="F548" s="7" t="n">
        <v>1</v>
      </c>
    </row>
    <row r="549" customFormat="false" ht="15" hidden="false" customHeight="false" outlineLevel="0" collapsed="false">
      <c r="A549" s="7" t="s">
        <v>604</v>
      </c>
      <c r="B549" s="9" t="n">
        <v>648</v>
      </c>
      <c r="C549" s="7" t="n">
        <v>1608</v>
      </c>
      <c r="D549" s="9" t="str">
        <f aca="false">DEC2HEX(C549,8)</f>
        <v>00000648</v>
      </c>
      <c r="E549" s="10" t="s">
        <v>605</v>
      </c>
      <c r="F549" s="7" t="n">
        <v>1</v>
      </c>
    </row>
    <row r="550" customFormat="false" ht="15" hidden="false" customHeight="false" outlineLevel="0" collapsed="false">
      <c r="A550" s="7" t="s">
        <v>606</v>
      </c>
      <c r="B550" s="8" t="n">
        <v>649</v>
      </c>
      <c r="C550" s="7" t="n">
        <f aca="false">HEX2DEC(B550)</f>
        <v>1609</v>
      </c>
      <c r="D550" s="9" t="str">
        <f aca="false">DEC2HEX(C550,8)</f>
        <v>00000649</v>
      </c>
      <c r="E550" s="10" t="str">
        <f aca="false">_xlfn.UNICHAR(C550)</f>
        <v>ى</v>
      </c>
      <c r="F550" s="7" t="n">
        <f aca="false">C550-C549</f>
        <v>352</v>
      </c>
    </row>
    <row r="551" customFormat="false" ht="15" hidden="false" customHeight="false" outlineLevel="0" collapsed="false">
      <c r="A551" s="7" t="s">
        <v>607</v>
      </c>
      <c r="B551" s="8" t="s">
        <v>608</v>
      </c>
      <c r="C551" s="7" t="n">
        <f aca="false">HEX2DEC(B551)</f>
        <v>1610</v>
      </c>
      <c r="D551" s="9" t="str">
        <f aca="false">DEC2HEX(C551,8)</f>
        <v>0000064A</v>
      </c>
      <c r="E551" s="10" t="str">
        <f aca="false">_xlfn.UNICHAR(C551)</f>
        <v>ي</v>
      </c>
      <c r="F551" s="7" t="n">
        <f aca="false">C551-C550</f>
        <v>1</v>
      </c>
    </row>
    <row r="552" customFormat="false" ht="15" hidden="false" customHeight="false" outlineLevel="0" collapsed="false">
      <c r="A552" s="7" t="s">
        <v>609</v>
      </c>
      <c r="B552" s="8" t="s">
        <v>610</v>
      </c>
      <c r="C552" s="7" t="n">
        <f aca="false">HEX2DEC(B552)</f>
        <v>1611</v>
      </c>
      <c r="D552" s="9" t="str">
        <f aca="false">DEC2HEX(C552,8)</f>
        <v>0000064B</v>
      </c>
      <c r="E552" s="10" t="str">
        <f aca="false">_xlfn.UNICHAR(C552)</f>
        <v>ً</v>
      </c>
      <c r="F552" s="7" t="n">
        <f aca="false">C552-C551</f>
        <v>1</v>
      </c>
    </row>
    <row r="553" customFormat="false" ht="15" hidden="false" customHeight="false" outlineLevel="0" collapsed="false">
      <c r="A553" s="7" t="s">
        <v>611</v>
      </c>
      <c r="B553" s="8" t="s">
        <v>612</v>
      </c>
      <c r="C553" s="7" t="n">
        <f aca="false">HEX2DEC(B553)</f>
        <v>1612</v>
      </c>
      <c r="D553" s="9" t="str">
        <f aca="false">DEC2HEX(C553,8)</f>
        <v>0000064C</v>
      </c>
      <c r="E553" s="10" t="str">
        <f aca="false">_xlfn.UNICHAR(C553)</f>
        <v>ٌ</v>
      </c>
      <c r="F553" s="7" t="n">
        <f aca="false">C553-C552</f>
        <v>1</v>
      </c>
    </row>
    <row r="554" customFormat="false" ht="15" hidden="false" customHeight="false" outlineLevel="0" collapsed="false">
      <c r="A554" s="7" t="s">
        <v>613</v>
      </c>
      <c r="B554" s="8" t="s">
        <v>614</v>
      </c>
      <c r="C554" s="7" t="n">
        <f aca="false">HEX2DEC(B554)</f>
        <v>1613</v>
      </c>
      <c r="D554" s="9" t="str">
        <f aca="false">DEC2HEX(C554,8)</f>
        <v>0000064D</v>
      </c>
      <c r="E554" s="10" t="str">
        <f aca="false">_xlfn.UNICHAR(C554)</f>
        <v>ٍ</v>
      </c>
      <c r="F554" s="7" t="n">
        <f aca="false">C554-C553</f>
        <v>1</v>
      </c>
    </row>
    <row r="555" customFormat="false" ht="15" hidden="false" customHeight="false" outlineLevel="0" collapsed="false">
      <c r="A555" s="7" t="s">
        <v>615</v>
      </c>
      <c r="B555" s="8" t="s">
        <v>616</v>
      </c>
      <c r="C555" s="7" t="n">
        <f aca="false">HEX2DEC(B555)</f>
        <v>1614</v>
      </c>
      <c r="D555" s="9" t="str">
        <f aca="false">DEC2HEX(C555,8)</f>
        <v>0000064E</v>
      </c>
      <c r="E555" s="10" t="str">
        <f aca="false">_xlfn.UNICHAR(C555)</f>
        <v>َ</v>
      </c>
      <c r="F555" s="7" t="n">
        <f aca="false">C555-C554</f>
        <v>1</v>
      </c>
    </row>
    <row r="556" customFormat="false" ht="15" hidden="false" customHeight="false" outlineLevel="0" collapsed="false">
      <c r="A556" s="7" t="s">
        <v>617</v>
      </c>
      <c r="B556" s="8" t="s">
        <v>618</v>
      </c>
      <c r="C556" s="7" t="n">
        <f aca="false">HEX2DEC(B556)</f>
        <v>1615</v>
      </c>
      <c r="D556" s="9" t="str">
        <f aca="false">DEC2HEX(C556,8)</f>
        <v>0000064F</v>
      </c>
      <c r="E556" s="10" t="str">
        <f aca="false">_xlfn.UNICHAR(C556)</f>
        <v>ُ</v>
      </c>
      <c r="F556" s="7" t="n">
        <f aca="false">C556-C555</f>
        <v>1</v>
      </c>
    </row>
    <row r="557" customFormat="false" ht="15" hidden="false" customHeight="false" outlineLevel="0" collapsed="false">
      <c r="A557" s="7" t="s">
        <v>619</v>
      </c>
      <c r="B557" s="8" t="s">
        <v>620</v>
      </c>
      <c r="C557" s="7" t="n">
        <f aca="false">HEX2DEC(B557)</f>
        <v>1616</v>
      </c>
      <c r="D557" s="9" t="str">
        <f aca="false">DEC2HEX(C557,8)</f>
        <v>00000650</v>
      </c>
      <c r="E557" s="10" t="str">
        <f aca="false">_xlfn.UNICHAR(C557)</f>
        <v>ِ</v>
      </c>
      <c r="F557" s="7" t="n">
        <f aca="false">C557-C556</f>
        <v>1</v>
      </c>
    </row>
    <row r="558" customFormat="false" ht="15" hidden="false" customHeight="false" outlineLevel="0" collapsed="false">
      <c r="A558" s="7" t="s">
        <v>621</v>
      </c>
      <c r="B558" s="8" t="s">
        <v>622</v>
      </c>
      <c r="C558" s="7" t="n">
        <f aca="false">HEX2DEC(B558)</f>
        <v>1617</v>
      </c>
      <c r="D558" s="9" t="str">
        <f aca="false">DEC2HEX(C558,8)</f>
        <v>00000651</v>
      </c>
      <c r="E558" s="10" t="str">
        <f aca="false">_xlfn.UNICHAR(C558)</f>
        <v>ّ</v>
      </c>
      <c r="F558" s="7" t="n">
        <f aca="false">C558-C557</f>
        <v>1</v>
      </c>
    </row>
    <row r="559" customFormat="false" ht="15" hidden="false" customHeight="false" outlineLevel="0" collapsed="false">
      <c r="A559" s="7" t="s">
        <v>623</v>
      </c>
      <c r="B559" s="8" t="s">
        <v>624</v>
      </c>
      <c r="C559" s="7" t="n">
        <f aca="false">HEX2DEC(B559)</f>
        <v>1618</v>
      </c>
      <c r="D559" s="9" t="str">
        <f aca="false">DEC2HEX(C559,8)</f>
        <v>00000652</v>
      </c>
      <c r="E559" s="10" t="str">
        <f aca="false">_xlfn.UNICHAR(C559)</f>
        <v>ْ</v>
      </c>
      <c r="F559" s="7" t="n">
        <f aca="false">C559-C558</f>
        <v>1</v>
      </c>
    </row>
    <row r="560" customFormat="false" ht="15" hidden="false" customHeight="false" outlineLevel="0" collapsed="false">
      <c r="A560" s="7" t="s">
        <v>625</v>
      </c>
      <c r="B560" s="8" t="n">
        <v>660</v>
      </c>
      <c r="C560" s="7" t="n">
        <f aca="false">HEX2DEC(B560)</f>
        <v>1632</v>
      </c>
      <c r="D560" s="9" t="str">
        <f aca="false">DEC2HEX(C560,8)</f>
        <v>00000660</v>
      </c>
      <c r="E560" s="10" t="str">
        <f aca="false">_xlfn.UNICHAR(C560)</f>
        <v>٠</v>
      </c>
      <c r="F560" s="7" t="n">
        <f aca="false">C560-C559</f>
        <v>14</v>
      </c>
    </row>
    <row r="561" customFormat="false" ht="15" hidden="false" customHeight="false" outlineLevel="0" collapsed="false">
      <c r="A561" s="7" t="s">
        <v>626</v>
      </c>
      <c r="B561" s="8" t="n">
        <v>661</v>
      </c>
      <c r="C561" s="7" t="n">
        <f aca="false">HEX2DEC(B561)</f>
        <v>1633</v>
      </c>
      <c r="D561" s="9" t="str">
        <f aca="false">DEC2HEX(C561,8)</f>
        <v>00000661</v>
      </c>
      <c r="E561" s="10" t="str">
        <f aca="false">_xlfn.UNICHAR(C561)</f>
        <v>١</v>
      </c>
      <c r="F561" s="7" t="n">
        <f aca="false">C561-C560</f>
        <v>1</v>
      </c>
    </row>
    <row r="562" customFormat="false" ht="15" hidden="false" customHeight="false" outlineLevel="0" collapsed="false">
      <c r="A562" s="7" t="s">
        <v>627</v>
      </c>
      <c r="B562" s="8" t="n">
        <v>662</v>
      </c>
      <c r="C562" s="7" t="n">
        <f aca="false">HEX2DEC(B562)</f>
        <v>1634</v>
      </c>
      <c r="D562" s="9" t="str">
        <f aca="false">DEC2HEX(C562,8)</f>
        <v>00000662</v>
      </c>
      <c r="E562" s="10" t="str">
        <f aca="false">_xlfn.UNICHAR(C562)</f>
        <v>٢</v>
      </c>
      <c r="F562" s="7" t="n">
        <f aca="false">C562-C561</f>
        <v>1</v>
      </c>
    </row>
    <row r="563" customFormat="false" ht="15" hidden="false" customHeight="false" outlineLevel="0" collapsed="false">
      <c r="A563" s="7" t="s">
        <v>628</v>
      </c>
      <c r="B563" s="8" t="n">
        <v>663</v>
      </c>
      <c r="C563" s="7" t="n">
        <f aca="false">HEX2DEC(B563)</f>
        <v>1635</v>
      </c>
      <c r="D563" s="9" t="str">
        <f aca="false">DEC2HEX(C563,8)</f>
        <v>00000663</v>
      </c>
      <c r="E563" s="10" t="str">
        <f aca="false">_xlfn.UNICHAR(C563)</f>
        <v>٣</v>
      </c>
      <c r="F563" s="7" t="n">
        <f aca="false">C563-C562</f>
        <v>1</v>
      </c>
    </row>
    <row r="564" customFormat="false" ht="15" hidden="false" customHeight="false" outlineLevel="0" collapsed="false">
      <c r="A564" s="7" t="s">
        <v>629</v>
      </c>
      <c r="B564" s="8" t="n">
        <v>664</v>
      </c>
      <c r="C564" s="7" t="n">
        <f aca="false">HEX2DEC(B564)</f>
        <v>1636</v>
      </c>
      <c r="D564" s="9" t="str">
        <f aca="false">DEC2HEX(C564,8)</f>
        <v>00000664</v>
      </c>
      <c r="E564" s="10" t="str">
        <f aca="false">_xlfn.UNICHAR(C564)</f>
        <v>٤</v>
      </c>
      <c r="F564" s="7" t="n">
        <f aca="false">C564-C563</f>
        <v>1</v>
      </c>
    </row>
    <row r="565" customFormat="false" ht="15" hidden="false" customHeight="false" outlineLevel="0" collapsed="false">
      <c r="A565" s="7" t="s">
        <v>630</v>
      </c>
      <c r="B565" s="8" t="n">
        <v>665</v>
      </c>
      <c r="C565" s="7" t="n">
        <f aca="false">HEX2DEC(B565)</f>
        <v>1637</v>
      </c>
      <c r="D565" s="9" t="str">
        <f aca="false">DEC2HEX(C565,8)</f>
        <v>00000665</v>
      </c>
      <c r="E565" s="10" t="str">
        <f aca="false">_xlfn.UNICHAR(C565)</f>
        <v>٥</v>
      </c>
      <c r="F565" s="7" t="n">
        <f aca="false">C565-C564</f>
        <v>1</v>
      </c>
    </row>
    <row r="566" customFormat="false" ht="15" hidden="false" customHeight="false" outlineLevel="0" collapsed="false">
      <c r="A566" s="7" t="s">
        <v>631</v>
      </c>
      <c r="B566" s="8" t="n">
        <v>666</v>
      </c>
      <c r="C566" s="7" t="n">
        <f aca="false">HEX2DEC(B566)</f>
        <v>1638</v>
      </c>
      <c r="D566" s="9" t="str">
        <f aca="false">DEC2HEX(C566,8)</f>
        <v>00000666</v>
      </c>
      <c r="E566" s="10" t="str">
        <f aca="false">_xlfn.UNICHAR(C566)</f>
        <v>٦</v>
      </c>
      <c r="F566" s="7" t="n">
        <f aca="false">C566-C565</f>
        <v>1</v>
      </c>
    </row>
    <row r="567" customFormat="false" ht="15" hidden="false" customHeight="false" outlineLevel="0" collapsed="false">
      <c r="A567" s="7" t="s">
        <v>632</v>
      </c>
      <c r="B567" s="8" t="n">
        <v>667</v>
      </c>
      <c r="C567" s="7" t="n">
        <f aca="false">HEX2DEC(B567)</f>
        <v>1639</v>
      </c>
      <c r="D567" s="9" t="str">
        <f aca="false">DEC2HEX(C567,8)</f>
        <v>00000667</v>
      </c>
      <c r="E567" s="10" t="str">
        <f aca="false">_xlfn.UNICHAR(C567)</f>
        <v>٧</v>
      </c>
      <c r="F567" s="7" t="n">
        <f aca="false">C567-C566</f>
        <v>1</v>
      </c>
    </row>
    <row r="568" customFormat="false" ht="15" hidden="false" customHeight="false" outlineLevel="0" collapsed="false">
      <c r="A568" s="7" t="s">
        <v>633</v>
      </c>
      <c r="B568" s="8" t="n">
        <v>668</v>
      </c>
      <c r="C568" s="7" t="n">
        <f aca="false">HEX2DEC(B568)</f>
        <v>1640</v>
      </c>
      <c r="D568" s="9" t="str">
        <f aca="false">DEC2HEX(C568,8)</f>
        <v>00000668</v>
      </c>
      <c r="E568" s="10" t="str">
        <f aca="false">_xlfn.UNICHAR(C568)</f>
        <v>٨</v>
      </c>
      <c r="F568" s="7" t="n">
        <f aca="false">C568-C567</f>
        <v>1</v>
      </c>
    </row>
    <row r="569" customFormat="false" ht="15" hidden="false" customHeight="false" outlineLevel="0" collapsed="false">
      <c r="A569" s="7" t="s">
        <v>634</v>
      </c>
      <c r="B569" s="8" t="n">
        <v>669</v>
      </c>
      <c r="C569" s="7" t="n">
        <f aca="false">HEX2DEC(B569)</f>
        <v>1641</v>
      </c>
      <c r="D569" s="9" t="str">
        <f aca="false">DEC2HEX(C569,8)</f>
        <v>00000669</v>
      </c>
      <c r="E569" s="10" t="str">
        <f aca="false">_xlfn.UNICHAR(C569)</f>
        <v>٩</v>
      </c>
      <c r="F569" s="7" t="n">
        <f aca="false">C569-C568</f>
        <v>1</v>
      </c>
    </row>
    <row r="570" customFormat="false" ht="15" hidden="false" customHeight="false" outlineLevel="0" collapsed="false">
      <c r="A570" s="7" t="s">
        <v>635</v>
      </c>
      <c r="B570" s="8" t="n">
        <v>1100</v>
      </c>
      <c r="C570" s="7" t="n">
        <f aca="false">HEX2DEC(B570)</f>
        <v>4352</v>
      </c>
      <c r="D570" s="9" t="str">
        <f aca="false">DEC2HEX(C570,8)</f>
        <v>00001100</v>
      </c>
      <c r="E570" s="10" t="str">
        <f aca="false">_xlfn.UNICHAR(C570)</f>
        <v>ᄀ</v>
      </c>
      <c r="F570" s="7" t="n">
        <f aca="false">C570-C569</f>
        <v>2711</v>
      </c>
    </row>
    <row r="571" customFormat="false" ht="15" hidden="false" customHeight="false" outlineLevel="0" collapsed="false">
      <c r="A571" s="7" t="s">
        <v>636</v>
      </c>
      <c r="B571" s="8" t="n">
        <v>1101</v>
      </c>
      <c r="C571" s="7" t="n">
        <f aca="false">HEX2DEC(B571)</f>
        <v>4353</v>
      </c>
      <c r="D571" s="9" t="str">
        <f aca="false">DEC2HEX(C571,8)</f>
        <v>00001101</v>
      </c>
      <c r="E571" s="10" t="str">
        <f aca="false">_xlfn.UNICHAR(C571)</f>
        <v>ᄁ</v>
      </c>
      <c r="F571" s="7" t="n">
        <f aca="false">C571-C570</f>
        <v>1</v>
      </c>
    </row>
    <row r="572" customFormat="false" ht="15" hidden="false" customHeight="false" outlineLevel="0" collapsed="false">
      <c r="A572" s="7" t="s">
        <v>637</v>
      </c>
      <c r="B572" s="8" t="n">
        <v>1102</v>
      </c>
      <c r="C572" s="7" t="n">
        <f aca="false">HEX2DEC(B572)</f>
        <v>4354</v>
      </c>
      <c r="D572" s="9" t="str">
        <f aca="false">DEC2HEX(C572,8)</f>
        <v>00001102</v>
      </c>
      <c r="E572" s="10" t="str">
        <f aca="false">_xlfn.UNICHAR(C572)</f>
        <v>ᄂ</v>
      </c>
      <c r="F572" s="7" t="n">
        <f aca="false">C572-C571</f>
        <v>1</v>
      </c>
    </row>
    <row r="573" customFormat="false" ht="15" hidden="false" customHeight="false" outlineLevel="0" collapsed="false">
      <c r="A573" s="7" t="s">
        <v>638</v>
      </c>
      <c r="B573" s="8" t="n">
        <v>1103</v>
      </c>
      <c r="C573" s="7" t="n">
        <f aca="false">HEX2DEC(B573)</f>
        <v>4355</v>
      </c>
      <c r="D573" s="9" t="str">
        <f aca="false">DEC2HEX(C573,8)</f>
        <v>00001103</v>
      </c>
      <c r="E573" s="10" t="str">
        <f aca="false">_xlfn.UNICHAR(C573)</f>
        <v>ᄃ</v>
      </c>
      <c r="F573" s="7" t="n">
        <f aca="false">C573-C572</f>
        <v>1</v>
      </c>
    </row>
    <row r="574" customFormat="false" ht="15" hidden="false" customHeight="false" outlineLevel="0" collapsed="false">
      <c r="A574" s="7" t="s">
        <v>639</v>
      </c>
      <c r="B574" s="8" t="n">
        <v>1104</v>
      </c>
      <c r="C574" s="7" t="n">
        <f aca="false">HEX2DEC(B574)</f>
        <v>4356</v>
      </c>
      <c r="D574" s="9" t="str">
        <f aca="false">DEC2HEX(C574,8)</f>
        <v>00001104</v>
      </c>
      <c r="E574" s="10" t="str">
        <f aca="false">_xlfn.UNICHAR(C574)</f>
        <v>ᄄ</v>
      </c>
      <c r="F574" s="7" t="n">
        <f aca="false">C574-C573</f>
        <v>1</v>
      </c>
    </row>
    <row r="575" customFormat="false" ht="15" hidden="false" customHeight="false" outlineLevel="0" collapsed="false">
      <c r="A575" s="7" t="s">
        <v>640</v>
      </c>
      <c r="B575" s="8" t="n">
        <v>1105</v>
      </c>
      <c r="C575" s="7" t="n">
        <f aca="false">HEX2DEC(B575)</f>
        <v>4357</v>
      </c>
      <c r="D575" s="9" t="str">
        <f aca="false">DEC2HEX(C575,8)</f>
        <v>00001105</v>
      </c>
      <c r="E575" s="10" t="str">
        <f aca="false">_xlfn.UNICHAR(C575)</f>
        <v>ᄅ</v>
      </c>
      <c r="F575" s="7" t="n">
        <f aca="false">C575-C574</f>
        <v>1</v>
      </c>
    </row>
    <row r="576" customFormat="false" ht="15" hidden="false" customHeight="false" outlineLevel="0" collapsed="false">
      <c r="A576" s="7" t="s">
        <v>641</v>
      </c>
      <c r="B576" s="8" t="n">
        <v>1106</v>
      </c>
      <c r="C576" s="7" t="n">
        <f aca="false">HEX2DEC(B576)</f>
        <v>4358</v>
      </c>
      <c r="D576" s="9" t="str">
        <f aca="false">DEC2HEX(C576,8)</f>
        <v>00001106</v>
      </c>
      <c r="E576" s="10" t="str">
        <f aca="false">_xlfn.UNICHAR(C576)</f>
        <v>ᄆ</v>
      </c>
      <c r="F576" s="7" t="n">
        <f aca="false">C576-C575</f>
        <v>1</v>
      </c>
    </row>
    <row r="577" customFormat="false" ht="15" hidden="false" customHeight="false" outlineLevel="0" collapsed="false">
      <c r="A577" s="7" t="s">
        <v>642</v>
      </c>
      <c r="B577" s="8" t="n">
        <v>1107</v>
      </c>
      <c r="C577" s="7" t="n">
        <f aca="false">HEX2DEC(B577)</f>
        <v>4359</v>
      </c>
      <c r="D577" s="9" t="str">
        <f aca="false">DEC2HEX(C577,8)</f>
        <v>00001107</v>
      </c>
      <c r="E577" s="10" t="str">
        <f aca="false">_xlfn.UNICHAR(C577)</f>
        <v>ᄇ</v>
      </c>
      <c r="F577" s="7" t="n">
        <f aca="false">C577-C576</f>
        <v>1</v>
      </c>
    </row>
    <row r="578" customFormat="false" ht="15" hidden="false" customHeight="false" outlineLevel="0" collapsed="false">
      <c r="A578" s="7" t="s">
        <v>643</v>
      </c>
      <c r="B578" s="8" t="n">
        <v>1108</v>
      </c>
      <c r="C578" s="7" t="n">
        <f aca="false">HEX2DEC(B578)</f>
        <v>4360</v>
      </c>
      <c r="D578" s="9" t="str">
        <f aca="false">DEC2HEX(C578,8)</f>
        <v>00001108</v>
      </c>
      <c r="E578" s="10" t="str">
        <f aca="false">_xlfn.UNICHAR(C578)</f>
        <v>ᄈ</v>
      </c>
      <c r="F578" s="7" t="n">
        <f aca="false">C578-C577</f>
        <v>1</v>
      </c>
    </row>
    <row r="579" customFormat="false" ht="15" hidden="false" customHeight="false" outlineLevel="0" collapsed="false">
      <c r="A579" s="7" t="s">
        <v>644</v>
      </c>
      <c r="B579" s="8" t="n">
        <v>1109</v>
      </c>
      <c r="C579" s="7" t="n">
        <f aca="false">HEX2DEC(B579)</f>
        <v>4361</v>
      </c>
      <c r="D579" s="9" t="str">
        <f aca="false">DEC2HEX(C579,8)</f>
        <v>00001109</v>
      </c>
      <c r="E579" s="10" t="str">
        <f aca="false">_xlfn.UNICHAR(C579)</f>
        <v>ᄉ</v>
      </c>
      <c r="F579" s="7" t="n">
        <f aca="false">C579-C578</f>
        <v>1</v>
      </c>
    </row>
    <row r="580" customFormat="false" ht="15" hidden="false" customHeight="false" outlineLevel="0" collapsed="false">
      <c r="A580" s="7" t="s">
        <v>645</v>
      </c>
      <c r="B580" s="8" t="s">
        <v>646</v>
      </c>
      <c r="C580" s="7" t="n">
        <f aca="false">HEX2DEC(B580)</f>
        <v>4362</v>
      </c>
      <c r="D580" s="9" t="str">
        <f aca="false">DEC2HEX(C580,8)</f>
        <v>0000110A</v>
      </c>
      <c r="E580" s="10" t="str">
        <f aca="false">_xlfn.UNICHAR(C580)</f>
        <v>ᄊ</v>
      </c>
      <c r="F580" s="7" t="n">
        <f aca="false">C580-C579</f>
        <v>1</v>
      </c>
    </row>
    <row r="581" customFormat="false" ht="15" hidden="false" customHeight="false" outlineLevel="0" collapsed="false">
      <c r="A581" s="7" t="s">
        <v>647</v>
      </c>
      <c r="B581" s="8" t="s">
        <v>648</v>
      </c>
      <c r="C581" s="7" t="n">
        <f aca="false">HEX2DEC(B581)</f>
        <v>4363</v>
      </c>
      <c r="D581" s="9" t="str">
        <f aca="false">DEC2HEX(C581,8)</f>
        <v>0000110B</v>
      </c>
      <c r="E581" s="10" t="str">
        <f aca="false">_xlfn.UNICHAR(C581)</f>
        <v>ᄋ</v>
      </c>
      <c r="F581" s="7" t="n">
        <f aca="false">C581-C580</f>
        <v>1</v>
      </c>
    </row>
    <row r="582" customFormat="false" ht="15" hidden="false" customHeight="false" outlineLevel="0" collapsed="false">
      <c r="A582" s="7" t="s">
        <v>649</v>
      </c>
      <c r="B582" s="8" t="s">
        <v>650</v>
      </c>
      <c r="C582" s="7" t="n">
        <f aca="false">HEX2DEC(B582)</f>
        <v>4364</v>
      </c>
      <c r="D582" s="9" t="str">
        <f aca="false">DEC2HEX(C582,8)</f>
        <v>0000110C</v>
      </c>
      <c r="E582" s="10" t="str">
        <f aca="false">_xlfn.UNICHAR(C582)</f>
        <v>ᄌ</v>
      </c>
      <c r="F582" s="7" t="n">
        <f aca="false">C582-C581</f>
        <v>1</v>
      </c>
    </row>
    <row r="583" customFormat="false" ht="15" hidden="false" customHeight="false" outlineLevel="0" collapsed="false">
      <c r="A583" s="7" t="s">
        <v>651</v>
      </c>
      <c r="B583" s="8" t="s">
        <v>652</v>
      </c>
      <c r="C583" s="7" t="n">
        <f aca="false">HEX2DEC(B583)</f>
        <v>4365</v>
      </c>
      <c r="D583" s="9" t="str">
        <f aca="false">DEC2HEX(C583,8)</f>
        <v>0000110D</v>
      </c>
      <c r="E583" s="10" t="str">
        <f aca="false">_xlfn.UNICHAR(C583)</f>
        <v>ᄍ</v>
      </c>
      <c r="F583" s="7" t="n">
        <f aca="false">C583-C582</f>
        <v>1</v>
      </c>
    </row>
    <row r="584" customFormat="false" ht="15" hidden="false" customHeight="false" outlineLevel="0" collapsed="false">
      <c r="A584" s="7" t="s">
        <v>653</v>
      </c>
      <c r="B584" s="8" t="s">
        <v>654</v>
      </c>
      <c r="C584" s="7" t="n">
        <f aca="false">HEX2DEC(B584)</f>
        <v>4366</v>
      </c>
      <c r="D584" s="9" t="str">
        <f aca="false">DEC2HEX(C584,8)</f>
        <v>0000110E</v>
      </c>
      <c r="E584" s="10" t="str">
        <f aca="false">_xlfn.UNICHAR(C584)</f>
        <v>ᄎ</v>
      </c>
      <c r="F584" s="7" t="n">
        <f aca="false">C584-C583</f>
        <v>1</v>
      </c>
    </row>
    <row r="585" customFormat="false" ht="15" hidden="false" customHeight="false" outlineLevel="0" collapsed="false">
      <c r="A585" s="7" t="s">
        <v>655</v>
      </c>
      <c r="B585" s="8" t="s">
        <v>656</v>
      </c>
      <c r="C585" s="7" t="n">
        <f aca="false">HEX2DEC(B585)</f>
        <v>4367</v>
      </c>
      <c r="D585" s="9" t="str">
        <f aca="false">DEC2HEX(C585,8)</f>
        <v>0000110F</v>
      </c>
      <c r="E585" s="10" t="str">
        <f aca="false">_xlfn.UNICHAR(C585)</f>
        <v>ᄏ</v>
      </c>
      <c r="F585" s="7" t="n">
        <f aca="false">C585-C584</f>
        <v>1</v>
      </c>
    </row>
    <row r="586" customFormat="false" ht="15" hidden="false" customHeight="false" outlineLevel="0" collapsed="false">
      <c r="A586" s="7" t="s">
        <v>657</v>
      </c>
      <c r="B586" s="8" t="n">
        <v>1110</v>
      </c>
      <c r="C586" s="7" t="n">
        <f aca="false">HEX2DEC(B586)</f>
        <v>4368</v>
      </c>
      <c r="D586" s="9" t="str">
        <f aca="false">DEC2HEX(C586,8)</f>
        <v>00001110</v>
      </c>
      <c r="E586" s="10" t="str">
        <f aca="false">_xlfn.UNICHAR(C586)</f>
        <v>ᄐ</v>
      </c>
      <c r="F586" s="7" t="n">
        <f aca="false">C586-C585</f>
        <v>1</v>
      </c>
    </row>
    <row r="587" customFormat="false" ht="15" hidden="false" customHeight="false" outlineLevel="0" collapsed="false">
      <c r="A587" s="7" t="s">
        <v>658</v>
      </c>
      <c r="B587" s="8" t="n">
        <v>1111</v>
      </c>
      <c r="C587" s="7" t="n">
        <f aca="false">HEX2DEC(B587)</f>
        <v>4369</v>
      </c>
      <c r="D587" s="9" t="str">
        <f aca="false">DEC2HEX(C587,8)</f>
        <v>00001111</v>
      </c>
      <c r="E587" s="10" t="str">
        <f aca="false">_xlfn.UNICHAR(C587)</f>
        <v>ᄑ</v>
      </c>
      <c r="F587" s="7" t="n">
        <f aca="false">C587-C586</f>
        <v>1</v>
      </c>
    </row>
    <row r="588" customFormat="false" ht="15" hidden="false" customHeight="false" outlineLevel="0" collapsed="false">
      <c r="A588" s="7" t="s">
        <v>659</v>
      </c>
      <c r="B588" s="8" t="n">
        <v>1112</v>
      </c>
      <c r="C588" s="7" t="n">
        <f aca="false">HEX2DEC(B588)</f>
        <v>4370</v>
      </c>
      <c r="D588" s="9" t="str">
        <f aca="false">DEC2HEX(C588,8)</f>
        <v>00001112</v>
      </c>
      <c r="E588" s="10" t="str">
        <f aca="false">_xlfn.UNICHAR(C588)</f>
        <v>ᄒ</v>
      </c>
      <c r="F588" s="7" t="n">
        <f aca="false">C588-C587</f>
        <v>1</v>
      </c>
    </row>
    <row r="589" customFormat="false" ht="15" hidden="false" customHeight="false" outlineLevel="0" collapsed="false">
      <c r="A589" s="7" t="s">
        <v>660</v>
      </c>
      <c r="B589" s="8" t="n">
        <v>1161</v>
      </c>
      <c r="C589" s="7" t="n">
        <f aca="false">HEX2DEC(B589)</f>
        <v>4449</v>
      </c>
      <c r="D589" s="9" t="str">
        <f aca="false">DEC2HEX(C589,8)</f>
        <v>00001161</v>
      </c>
      <c r="E589" s="10" t="str">
        <f aca="false">_xlfn.UNICHAR(C589)</f>
        <v>ᅡ</v>
      </c>
      <c r="F589" s="7" t="n">
        <f aca="false">C589-C588</f>
        <v>79</v>
      </c>
    </row>
    <row r="590" customFormat="false" ht="15" hidden="false" customHeight="false" outlineLevel="0" collapsed="false">
      <c r="A590" s="7" t="s">
        <v>661</v>
      </c>
      <c r="B590" s="8" t="n">
        <v>1162</v>
      </c>
      <c r="C590" s="7" t="n">
        <f aca="false">HEX2DEC(B590)</f>
        <v>4450</v>
      </c>
      <c r="D590" s="9" t="str">
        <f aca="false">DEC2HEX(C590,8)</f>
        <v>00001162</v>
      </c>
      <c r="E590" s="10" t="str">
        <f aca="false">_xlfn.UNICHAR(C590)</f>
        <v>ᅢ</v>
      </c>
      <c r="F590" s="7" t="n">
        <f aca="false">C590-C589</f>
        <v>1</v>
      </c>
    </row>
    <row r="591" customFormat="false" ht="15" hidden="false" customHeight="false" outlineLevel="0" collapsed="false">
      <c r="A591" s="7" t="s">
        <v>662</v>
      </c>
      <c r="B591" s="8" t="n">
        <v>1163</v>
      </c>
      <c r="C591" s="7" t="n">
        <f aca="false">HEX2DEC(B591)</f>
        <v>4451</v>
      </c>
      <c r="D591" s="9" t="str">
        <f aca="false">DEC2HEX(C591,8)</f>
        <v>00001163</v>
      </c>
      <c r="E591" s="10" t="str">
        <f aca="false">_xlfn.UNICHAR(C591)</f>
        <v>ᅣ</v>
      </c>
      <c r="F591" s="7" t="n">
        <f aca="false">C591-C590</f>
        <v>1</v>
      </c>
    </row>
    <row r="592" customFormat="false" ht="15" hidden="false" customHeight="false" outlineLevel="0" collapsed="false">
      <c r="A592" s="7" t="s">
        <v>663</v>
      </c>
      <c r="B592" s="8" t="n">
        <v>1164</v>
      </c>
      <c r="C592" s="7" t="n">
        <f aca="false">HEX2DEC(B592)</f>
        <v>4452</v>
      </c>
      <c r="D592" s="9" t="str">
        <f aca="false">DEC2HEX(C592,8)</f>
        <v>00001164</v>
      </c>
      <c r="E592" s="10" t="str">
        <f aca="false">_xlfn.UNICHAR(C592)</f>
        <v>ᅤ</v>
      </c>
      <c r="F592" s="7" t="n">
        <f aca="false">C592-C591</f>
        <v>1</v>
      </c>
    </row>
    <row r="593" customFormat="false" ht="15" hidden="false" customHeight="false" outlineLevel="0" collapsed="false">
      <c r="A593" s="7" t="s">
        <v>664</v>
      </c>
      <c r="B593" s="8" t="n">
        <v>1165</v>
      </c>
      <c r="C593" s="7" t="n">
        <f aca="false">HEX2DEC(B593)</f>
        <v>4453</v>
      </c>
      <c r="D593" s="9" t="str">
        <f aca="false">DEC2HEX(C593,8)</f>
        <v>00001165</v>
      </c>
      <c r="E593" s="10" t="str">
        <f aca="false">_xlfn.UNICHAR(C593)</f>
        <v>ᅥ</v>
      </c>
      <c r="F593" s="7" t="n">
        <f aca="false">C593-C592</f>
        <v>1</v>
      </c>
    </row>
    <row r="594" customFormat="false" ht="15" hidden="false" customHeight="false" outlineLevel="0" collapsed="false">
      <c r="A594" s="7" t="s">
        <v>665</v>
      </c>
      <c r="B594" s="8" t="n">
        <v>1166</v>
      </c>
      <c r="C594" s="7" t="n">
        <f aca="false">HEX2DEC(B594)</f>
        <v>4454</v>
      </c>
      <c r="D594" s="9" t="str">
        <f aca="false">DEC2HEX(C594,8)</f>
        <v>00001166</v>
      </c>
      <c r="E594" s="10" t="str">
        <f aca="false">_xlfn.UNICHAR(C594)</f>
        <v>ᅦ</v>
      </c>
      <c r="F594" s="7" t="n">
        <f aca="false">C594-C593</f>
        <v>1</v>
      </c>
    </row>
    <row r="595" customFormat="false" ht="15" hidden="false" customHeight="false" outlineLevel="0" collapsed="false">
      <c r="A595" s="7" t="s">
        <v>666</v>
      </c>
      <c r="B595" s="8" t="n">
        <v>1167</v>
      </c>
      <c r="C595" s="7" t="n">
        <f aca="false">HEX2DEC(B595)</f>
        <v>4455</v>
      </c>
      <c r="D595" s="9" t="str">
        <f aca="false">DEC2HEX(C595,8)</f>
        <v>00001167</v>
      </c>
      <c r="E595" s="10" t="str">
        <f aca="false">_xlfn.UNICHAR(C595)</f>
        <v>ᅧ</v>
      </c>
      <c r="F595" s="7" t="n">
        <f aca="false">C595-C594</f>
        <v>1</v>
      </c>
    </row>
    <row r="596" customFormat="false" ht="15" hidden="false" customHeight="false" outlineLevel="0" collapsed="false">
      <c r="A596" s="7" t="s">
        <v>667</v>
      </c>
      <c r="B596" s="8" t="n">
        <v>1168</v>
      </c>
      <c r="C596" s="7" t="n">
        <f aca="false">HEX2DEC(B596)</f>
        <v>4456</v>
      </c>
      <c r="D596" s="9" t="str">
        <f aca="false">DEC2HEX(C596,8)</f>
        <v>00001168</v>
      </c>
      <c r="E596" s="10" t="str">
        <f aca="false">_xlfn.UNICHAR(C596)</f>
        <v>ᅨ</v>
      </c>
      <c r="F596" s="7" t="n">
        <f aca="false">C596-C595</f>
        <v>1</v>
      </c>
    </row>
    <row r="597" customFormat="false" ht="15" hidden="false" customHeight="false" outlineLevel="0" collapsed="false">
      <c r="A597" s="7" t="s">
        <v>668</v>
      </c>
      <c r="B597" s="8" t="n">
        <v>1169</v>
      </c>
      <c r="C597" s="7" t="n">
        <f aca="false">HEX2DEC(B597)</f>
        <v>4457</v>
      </c>
      <c r="D597" s="9" t="str">
        <f aca="false">DEC2HEX(C597,8)</f>
        <v>00001169</v>
      </c>
      <c r="E597" s="10" t="str">
        <f aca="false">_xlfn.UNICHAR(C597)</f>
        <v>ᅩ</v>
      </c>
      <c r="F597" s="7" t="n">
        <f aca="false">C597-C596</f>
        <v>1</v>
      </c>
    </row>
    <row r="598" customFormat="false" ht="15" hidden="false" customHeight="false" outlineLevel="0" collapsed="false">
      <c r="A598" s="7" t="s">
        <v>669</v>
      </c>
      <c r="B598" s="8" t="s">
        <v>670</v>
      </c>
      <c r="C598" s="7" t="n">
        <f aca="false">HEX2DEC(B598)</f>
        <v>4461</v>
      </c>
      <c r="D598" s="9" t="str">
        <f aca="false">DEC2HEX(C598,8)</f>
        <v>0000116D</v>
      </c>
      <c r="E598" s="10" t="str">
        <f aca="false">_xlfn.UNICHAR(C598)</f>
        <v>ᅭ</v>
      </c>
      <c r="F598" s="7" t="n">
        <f aca="false">C598-C597</f>
        <v>4</v>
      </c>
    </row>
    <row r="599" customFormat="false" ht="15" hidden="false" customHeight="false" outlineLevel="0" collapsed="false">
      <c r="A599" s="7" t="s">
        <v>671</v>
      </c>
      <c r="B599" s="8" t="s">
        <v>672</v>
      </c>
      <c r="C599" s="7" t="n">
        <f aca="false">HEX2DEC(B599)</f>
        <v>4462</v>
      </c>
      <c r="D599" s="9" t="str">
        <f aca="false">DEC2HEX(C599,8)</f>
        <v>0000116E</v>
      </c>
      <c r="E599" s="10" t="str">
        <f aca="false">_xlfn.UNICHAR(C599)</f>
        <v>ᅮ</v>
      </c>
      <c r="F599" s="7" t="n">
        <f aca="false">C599-C598</f>
        <v>1</v>
      </c>
    </row>
    <row r="600" customFormat="false" ht="15" hidden="false" customHeight="false" outlineLevel="0" collapsed="false">
      <c r="A600" s="7" t="s">
        <v>673</v>
      </c>
      <c r="B600" s="8" t="n">
        <v>1172</v>
      </c>
      <c r="C600" s="7" t="n">
        <f aca="false">HEX2DEC(B600)</f>
        <v>4466</v>
      </c>
      <c r="D600" s="9" t="str">
        <f aca="false">DEC2HEX(C600,8)</f>
        <v>00001172</v>
      </c>
      <c r="E600" s="10" t="str">
        <f aca="false">_xlfn.UNICHAR(C600)</f>
        <v>ᅲ</v>
      </c>
      <c r="F600" s="7" t="n">
        <f aca="false">C600-C599</f>
        <v>4</v>
      </c>
    </row>
    <row r="601" customFormat="false" ht="15" hidden="false" customHeight="false" outlineLevel="0" collapsed="false">
      <c r="A601" s="7" t="s">
        <v>674</v>
      </c>
      <c r="B601" s="8" t="n">
        <v>1173</v>
      </c>
      <c r="C601" s="7" t="n">
        <f aca="false">HEX2DEC(B601)</f>
        <v>4467</v>
      </c>
      <c r="D601" s="9" t="str">
        <f aca="false">DEC2HEX(C601,8)</f>
        <v>00001173</v>
      </c>
      <c r="E601" s="10" t="str">
        <f aca="false">_xlfn.UNICHAR(C601)</f>
        <v>ᅳ</v>
      </c>
      <c r="F601" s="7" t="n">
        <f aca="false">C601-C600</f>
        <v>1</v>
      </c>
    </row>
    <row r="602" customFormat="false" ht="15" hidden="false" customHeight="false" outlineLevel="0" collapsed="false">
      <c r="A602" s="7" t="s">
        <v>675</v>
      </c>
      <c r="B602" s="8" t="n">
        <v>1175</v>
      </c>
      <c r="C602" s="7" t="n">
        <f aca="false">HEX2DEC(B602)</f>
        <v>4469</v>
      </c>
      <c r="D602" s="9" t="str">
        <f aca="false">DEC2HEX(C602,8)</f>
        <v>00001175</v>
      </c>
      <c r="E602" s="10" t="str">
        <f aca="false">_xlfn.UNICHAR(C602)</f>
        <v>ᅵ</v>
      </c>
      <c r="F602" s="7" t="n">
        <f aca="false">C602-C601</f>
        <v>2</v>
      </c>
    </row>
    <row r="603" customFormat="false" ht="15" hidden="false" customHeight="false" outlineLevel="0" collapsed="false">
      <c r="A603" s="7" t="s">
        <v>676</v>
      </c>
      <c r="B603" s="8" t="s">
        <v>677</v>
      </c>
      <c r="C603" s="7" t="n">
        <f aca="false">HEX2DEC(B603)</f>
        <v>7838</v>
      </c>
      <c r="D603" s="9" t="str">
        <f aca="false">DEC2HEX(C603,8)</f>
        <v>00001E9E</v>
      </c>
      <c r="E603" s="10" t="str">
        <f aca="false">_xlfn.UNICHAR(C603)</f>
        <v>ẞ</v>
      </c>
      <c r="F603" s="7" t="n">
        <f aca="false">C603-C602</f>
        <v>3369</v>
      </c>
    </row>
    <row r="604" customFormat="false" ht="15" hidden="false" customHeight="false" outlineLevel="0" collapsed="false">
      <c r="A604" s="7" t="s">
        <v>678</v>
      </c>
      <c r="B604" s="8" t="s">
        <v>679</v>
      </c>
      <c r="C604" s="7" t="n">
        <f aca="false">HEX2DEC(B604)</f>
        <v>8362</v>
      </c>
      <c r="D604" s="9" t="str">
        <f aca="false">DEC2HEX(C604,8)</f>
        <v>000020AA</v>
      </c>
      <c r="E604" s="10" t="str">
        <f aca="false">_xlfn.UNICHAR(C604)</f>
        <v>₪</v>
      </c>
      <c r="F604" s="7" t="n">
        <f aca="false">C604-C603</f>
        <v>524</v>
      </c>
    </row>
    <row r="605" customFormat="false" ht="15" hidden="false" customHeight="false" outlineLevel="0" collapsed="false">
      <c r="A605" s="7" t="s">
        <v>680</v>
      </c>
      <c r="B605" s="8" t="s">
        <v>681</v>
      </c>
      <c r="C605" s="7" t="n">
        <f aca="false">HEX2DEC(B605)</f>
        <v>8363</v>
      </c>
      <c r="D605" s="9" t="str">
        <f aca="false">DEC2HEX(C605,8)</f>
        <v>000020AB</v>
      </c>
      <c r="E605" s="10" t="str">
        <f aca="false">_xlfn.UNICHAR(C605)</f>
        <v>₫</v>
      </c>
      <c r="F605" s="7" t="n">
        <f aca="false">C605-C604</f>
        <v>1</v>
      </c>
    </row>
    <row r="606" customFormat="false" ht="15" hidden="false" customHeight="false" outlineLevel="0" collapsed="false">
      <c r="A606" s="7" t="s">
        <v>682</v>
      </c>
      <c r="B606" s="8" t="s">
        <v>683</v>
      </c>
      <c r="C606" s="7" t="n">
        <f aca="false">HEX2DEC(B606)</f>
        <v>8364</v>
      </c>
      <c r="D606" s="9" t="str">
        <f aca="false">DEC2HEX(C606,8)</f>
        <v>000020AC</v>
      </c>
      <c r="E606" s="10" t="str">
        <f aca="false">_xlfn.UNICHAR(C606)</f>
        <v>€</v>
      </c>
      <c r="F606" s="7" t="n">
        <f aca="false">C606-C605</f>
        <v>1</v>
      </c>
    </row>
    <row r="607" customFormat="false" ht="15" hidden="false" customHeight="false" outlineLevel="0" collapsed="false">
      <c r="A607" s="7" t="s">
        <v>684</v>
      </c>
      <c r="B607" s="8" t="s">
        <v>685</v>
      </c>
      <c r="C607" s="7" t="n">
        <f aca="false">HEX2DEC(B607)</f>
        <v>8372</v>
      </c>
      <c r="D607" s="9" t="str">
        <f aca="false">DEC2HEX(C607,8)</f>
        <v>000020B4</v>
      </c>
      <c r="E607" s="10" t="str">
        <f aca="false">_xlfn.UNICHAR(C607)</f>
        <v>₴</v>
      </c>
      <c r="F607" s="7" t="n">
        <f aca="false">C607-C606</f>
        <v>8</v>
      </c>
    </row>
    <row r="608" customFormat="false" ht="15" hidden="false" customHeight="false" outlineLevel="0" collapsed="false">
      <c r="A608" s="7" t="s">
        <v>686</v>
      </c>
      <c r="B608" s="8" t="s">
        <v>687</v>
      </c>
      <c r="C608" s="7" t="n">
        <f aca="false">HEX2DEC(B608)</f>
        <v>8470</v>
      </c>
      <c r="D608" s="9" t="str">
        <f aca="false">DEC2HEX(C608,8)</f>
        <v>00002116</v>
      </c>
      <c r="E608" s="10" t="str">
        <f aca="false">_xlfn.UNICHAR(C608)</f>
        <v>№</v>
      </c>
      <c r="F608" s="7" t="n">
        <f aca="false">C608-C607</f>
        <v>98</v>
      </c>
    </row>
    <row r="609" customFormat="false" ht="15" hidden="false" customHeight="false" outlineLevel="0" collapsed="false">
      <c r="A609" s="7" t="s">
        <v>688</v>
      </c>
      <c r="B609" s="11" t="n">
        <v>2318</v>
      </c>
      <c r="C609" s="7" t="n">
        <f aca="false">HEX2DEC(B609)</f>
        <v>8984</v>
      </c>
      <c r="D609" s="9" t="str">
        <f aca="false">DEC2HEX(C609,8)</f>
        <v>00002318</v>
      </c>
      <c r="E609" s="10" t="str">
        <f aca="false">_xlfn.UNICHAR(C609)</f>
        <v>⌘</v>
      </c>
      <c r="F609" s="7" t="n">
        <f aca="false">C609-C608</f>
        <v>514</v>
      </c>
    </row>
    <row r="610" customFormat="false" ht="15" hidden="false" customHeight="false" outlineLevel="0" collapsed="false">
      <c r="A610" s="7" t="s">
        <v>689</v>
      </c>
      <c r="B610" s="11" t="n">
        <v>2325</v>
      </c>
      <c r="C610" s="7" t="n">
        <f aca="false">HEX2DEC(B610)</f>
        <v>8997</v>
      </c>
      <c r="D610" s="9" t="str">
        <f aca="false">DEC2HEX(C610,8)</f>
        <v>00002325</v>
      </c>
      <c r="E610" s="10" t="str">
        <f aca="false">_xlfn.UNICHAR(C610)</f>
        <v>⌥</v>
      </c>
      <c r="F610" s="7" t="n">
        <f aca="false">C610-C609</f>
        <v>13</v>
      </c>
    </row>
    <row r="611" customFormat="false" ht="15" hidden="false" customHeight="false" outlineLevel="0" collapsed="false">
      <c r="A611" s="7" t="s">
        <v>690</v>
      </c>
      <c r="B611" s="11" t="n">
        <v>2326</v>
      </c>
      <c r="C611" s="7" t="n">
        <f aca="false">HEX2DEC(B611)</f>
        <v>8998</v>
      </c>
      <c r="D611" s="9" t="str">
        <f aca="false">DEC2HEX(C611,8)</f>
        <v>00002326</v>
      </c>
      <c r="E611" s="10" t="str">
        <f aca="false">_xlfn.UNICHAR(C611)</f>
        <v>⌦</v>
      </c>
      <c r="F611" s="7" t="n">
        <f aca="false">C611-C610</f>
        <v>1</v>
      </c>
    </row>
    <row r="612" customFormat="false" ht="15" hidden="false" customHeight="false" outlineLevel="0" collapsed="false">
      <c r="A612" s="7" t="s">
        <v>691</v>
      </c>
      <c r="B612" s="11" t="s">
        <v>692</v>
      </c>
      <c r="C612" s="7" t="n">
        <f aca="false">HEX2DEC(B612)</f>
        <v>9003</v>
      </c>
      <c r="D612" s="9" t="str">
        <f aca="false">DEC2HEX(C612,8)</f>
        <v>0000232B</v>
      </c>
      <c r="E612" s="10" t="str">
        <f aca="false">_xlfn.UNICHAR(C612)</f>
        <v>⌫</v>
      </c>
      <c r="F612" s="7" t="n">
        <f aca="false">C612-C611</f>
        <v>5</v>
      </c>
    </row>
    <row r="613" customFormat="false" ht="15" hidden="false" customHeight="false" outlineLevel="0" collapsed="false">
      <c r="A613" s="7" t="s">
        <v>693</v>
      </c>
      <c r="B613" s="11" t="n">
        <v>2387</v>
      </c>
      <c r="C613" s="7" t="n">
        <f aca="false">HEX2DEC(B613)</f>
        <v>9095</v>
      </c>
      <c r="D613" s="9" t="str">
        <f aca="false">DEC2HEX(C613,8)</f>
        <v>00002387</v>
      </c>
      <c r="E613" s="10" t="str">
        <f aca="false">_xlfn.UNICHAR(C613)</f>
        <v>⎇</v>
      </c>
      <c r="F613" s="7" t="n">
        <f aca="false">C613-C612</f>
        <v>92</v>
      </c>
    </row>
    <row r="614" customFormat="false" ht="15" hidden="false" customHeight="false" outlineLevel="0" collapsed="false">
      <c r="A614" s="7" t="s">
        <v>694</v>
      </c>
      <c r="B614" s="11" t="n">
        <v>2388</v>
      </c>
      <c r="C614" s="7" t="n">
        <f aca="false">HEX2DEC(B614)</f>
        <v>9096</v>
      </c>
      <c r="D614" s="9" t="str">
        <f aca="false">DEC2HEX(C614,8)</f>
        <v>00002388</v>
      </c>
      <c r="E614" s="10" t="str">
        <f aca="false">_xlfn.UNICHAR(C614)</f>
        <v>⎈</v>
      </c>
      <c r="F614" s="7" t="n">
        <f aca="false">C614-C613</f>
        <v>1</v>
      </c>
    </row>
    <row r="615" customFormat="false" ht="15" hidden="false" customHeight="false" outlineLevel="0" collapsed="false">
      <c r="A615" s="7" t="s">
        <v>695</v>
      </c>
      <c r="B615" s="11" t="s">
        <v>696</v>
      </c>
      <c r="C615" s="7" t="n">
        <f aca="false">HEX2DEC(B615)</f>
        <v>9099</v>
      </c>
      <c r="D615" s="9" t="str">
        <f aca="false">DEC2HEX(C615,8)</f>
        <v>0000238B</v>
      </c>
      <c r="E615" s="10" t="str">
        <f aca="false">_xlfn.UNICHAR(C615)</f>
        <v>⎋</v>
      </c>
      <c r="F615" s="7" t="n">
        <f aca="false">C615-C614</f>
        <v>3</v>
      </c>
    </row>
    <row r="616" customFormat="false" ht="15" hidden="false" customHeight="false" outlineLevel="0" collapsed="false">
      <c r="A616" s="7" t="s">
        <v>697</v>
      </c>
      <c r="B616" s="11" t="n">
        <v>2399</v>
      </c>
      <c r="C616" s="7" t="n">
        <f aca="false">HEX2DEC(B616)</f>
        <v>9113</v>
      </c>
      <c r="D616" s="9" t="str">
        <f aca="false">DEC2HEX(C616,8)</f>
        <v>00002399</v>
      </c>
      <c r="E616" s="10" t="str">
        <f aca="false">_xlfn.UNICHAR(C616)</f>
        <v>⎙</v>
      </c>
      <c r="F616" s="7" t="n">
        <f aca="false">C616-C615</f>
        <v>14</v>
      </c>
    </row>
    <row r="617" customFormat="false" ht="15" hidden="false" customHeight="false" outlineLevel="0" collapsed="false">
      <c r="A617" s="7" t="s">
        <v>698</v>
      </c>
      <c r="B617" s="11" t="s">
        <v>699</v>
      </c>
      <c r="C617" s="7" t="n">
        <f aca="false">HEX2DEC(B617)</f>
        <v>9644</v>
      </c>
      <c r="D617" s="9" t="str">
        <f aca="false">DEC2HEX(C617,8)</f>
        <v>000025AC</v>
      </c>
      <c r="E617" s="10" t="str">
        <f aca="false">_xlfn.UNICHAR(C617)</f>
        <v>▬</v>
      </c>
      <c r="F617" s="7" t="n">
        <f aca="false">C617-C616</f>
        <v>531</v>
      </c>
    </row>
    <row r="618" customFormat="false" ht="15" hidden="false" customHeight="false" outlineLevel="0" collapsed="false">
      <c r="A618" s="7" t="s">
        <v>700</v>
      </c>
      <c r="B618" s="11" t="n">
        <v>2611</v>
      </c>
      <c r="C618" s="7" t="n">
        <f aca="false">HEX2DEC(B618)</f>
        <v>9745</v>
      </c>
      <c r="D618" s="9" t="str">
        <f aca="false">DEC2HEX(C618,8)</f>
        <v>00002611</v>
      </c>
      <c r="E618" s="10" t="str">
        <f aca="false">_xlfn.UNICHAR(C618)</f>
        <v>☑</v>
      </c>
      <c r="F618" s="7" t="n">
        <f aca="false">C618-C617</f>
        <v>101</v>
      </c>
    </row>
    <row r="619" customFormat="false" ht="15" hidden="false" customHeight="false" outlineLevel="0" collapsed="false">
      <c r="A619" s="7" t="s">
        <v>701</v>
      </c>
      <c r="B619" s="11" t="n">
        <v>2654</v>
      </c>
      <c r="C619" s="7" t="n">
        <f aca="false">HEX2DEC(B619)</f>
        <v>9812</v>
      </c>
      <c r="D619" s="9" t="str">
        <f aca="false">DEC2HEX(C619,8)</f>
        <v>00002654</v>
      </c>
      <c r="E619" s="10" t="str">
        <f aca="false">_xlfn.UNICHAR(C619)</f>
        <v>♔</v>
      </c>
      <c r="F619" s="7" t="n">
        <f aca="false">C619-C618</f>
        <v>67</v>
      </c>
    </row>
    <row r="620" customFormat="false" ht="15" hidden="false" customHeight="false" outlineLevel="0" collapsed="false">
      <c r="A620" s="7" t="s">
        <v>702</v>
      </c>
      <c r="B620" s="11" t="n">
        <v>2655</v>
      </c>
      <c r="C620" s="7" t="n">
        <f aca="false">HEX2DEC(B620)</f>
        <v>9813</v>
      </c>
      <c r="D620" s="9" t="str">
        <f aca="false">DEC2HEX(C620,8)</f>
        <v>00002655</v>
      </c>
      <c r="E620" s="10" t="str">
        <f aca="false">_xlfn.UNICHAR(C620)</f>
        <v>♕</v>
      </c>
      <c r="F620" s="7" t="n">
        <f aca="false">C620-C619</f>
        <v>1</v>
      </c>
    </row>
    <row r="621" customFormat="false" ht="15" hidden="false" customHeight="false" outlineLevel="0" collapsed="false">
      <c r="A621" s="7" t="s">
        <v>703</v>
      </c>
      <c r="B621" s="11" t="n">
        <v>2656</v>
      </c>
      <c r="C621" s="7" t="n">
        <f aca="false">HEX2DEC(B621)</f>
        <v>9814</v>
      </c>
      <c r="D621" s="9" t="str">
        <f aca="false">DEC2HEX(C621,8)</f>
        <v>00002656</v>
      </c>
      <c r="E621" s="10" t="str">
        <f aca="false">_xlfn.UNICHAR(C621)</f>
        <v>♖</v>
      </c>
      <c r="F621" s="7" t="n">
        <f aca="false">C621-C620</f>
        <v>1</v>
      </c>
    </row>
    <row r="622" customFormat="false" ht="15" hidden="false" customHeight="false" outlineLevel="0" collapsed="false">
      <c r="A622" s="7" t="s">
        <v>704</v>
      </c>
      <c r="B622" s="11" t="n">
        <v>2657</v>
      </c>
      <c r="C622" s="7" t="n">
        <f aca="false">HEX2DEC(B622)</f>
        <v>9815</v>
      </c>
      <c r="D622" s="9" t="str">
        <f aca="false">DEC2HEX(C622,8)</f>
        <v>00002657</v>
      </c>
      <c r="E622" s="10" t="str">
        <f aca="false">_xlfn.UNICHAR(C622)</f>
        <v>♗</v>
      </c>
      <c r="F622" s="7" t="n">
        <f aca="false">C622-C621</f>
        <v>1</v>
      </c>
    </row>
    <row r="623" customFormat="false" ht="15" hidden="false" customHeight="false" outlineLevel="0" collapsed="false">
      <c r="A623" s="7" t="s">
        <v>705</v>
      </c>
      <c r="B623" s="11" t="n">
        <v>2658</v>
      </c>
      <c r="C623" s="7" t="n">
        <f aca="false">HEX2DEC(B623)</f>
        <v>9816</v>
      </c>
      <c r="D623" s="9" t="str">
        <f aca="false">DEC2HEX(C623,8)</f>
        <v>00002658</v>
      </c>
      <c r="E623" s="10" t="str">
        <f aca="false">_xlfn.UNICHAR(C623)</f>
        <v>♘</v>
      </c>
      <c r="F623" s="7" t="n">
        <f aca="false">C623-C622</f>
        <v>1</v>
      </c>
    </row>
    <row r="624" customFormat="false" ht="15" hidden="false" customHeight="false" outlineLevel="0" collapsed="false">
      <c r="A624" s="7" t="s">
        <v>706</v>
      </c>
      <c r="B624" s="11" t="n">
        <v>2659</v>
      </c>
      <c r="C624" s="7" t="n">
        <f aca="false">HEX2DEC(B624)</f>
        <v>9817</v>
      </c>
      <c r="D624" s="9" t="str">
        <f aca="false">DEC2HEX(C624,8)</f>
        <v>00002659</v>
      </c>
      <c r="E624" s="10" t="str">
        <f aca="false">_xlfn.UNICHAR(C624)</f>
        <v>♙</v>
      </c>
      <c r="F624" s="7" t="n">
        <f aca="false">C624-C623</f>
        <v>1</v>
      </c>
    </row>
    <row r="625" customFormat="false" ht="15" hidden="false" customHeight="false" outlineLevel="0" collapsed="false">
      <c r="A625" s="7" t="s">
        <v>707</v>
      </c>
      <c r="B625" s="11" t="s">
        <v>708</v>
      </c>
      <c r="C625" s="7" t="n">
        <f aca="false">HEX2DEC(B625)</f>
        <v>9818</v>
      </c>
      <c r="D625" s="9" t="str">
        <f aca="false">DEC2HEX(C625,8)</f>
        <v>0000265A</v>
      </c>
      <c r="E625" s="10" t="str">
        <f aca="false">_xlfn.UNICHAR(C625)</f>
        <v>♚</v>
      </c>
      <c r="F625" s="7" t="n">
        <f aca="false">C625-C624</f>
        <v>1</v>
      </c>
    </row>
    <row r="626" customFormat="false" ht="15" hidden="false" customHeight="false" outlineLevel="0" collapsed="false">
      <c r="A626" s="7" t="s">
        <v>709</v>
      </c>
      <c r="B626" s="11" t="s">
        <v>710</v>
      </c>
      <c r="C626" s="7" t="n">
        <f aca="false">HEX2DEC(B626)</f>
        <v>9819</v>
      </c>
      <c r="D626" s="9" t="str">
        <f aca="false">DEC2HEX(C626,8)</f>
        <v>0000265B</v>
      </c>
      <c r="E626" s="10" t="str">
        <f aca="false">_xlfn.UNICHAR(C626)</f>
        <v>♛</v>
      </c>
      <c r="F626" s="7" t="n">
        <f aca="false">C626-C625</f>
        <v>1</v>
      </c>
    </row>
    <row r="627" customFormat="false" ht="15" hidden="false" customHeight="false" outlineLevel="0" collapsed="false">
      <c r="A627" s="7" t="s">
        <v>711</v>
      </c>
      <c r="B627" s="11" t="s">
        <v>712</v>
      </c>
      <c r="C627" s="7" t="n">
        <f aca="false">HEX2DEC(B627)</f>
        <v>9820</v>
      </c>
      <c r="D627" s="9" t="str">
        <f aca="false">DEC2HEX(C627,8)</f>
        <v>0000265C</v>
      </c>
      <c r="E627" s="10" t="str">
        <f aca="false">_xlfn.UNICHAR(C627)</f>
        <v>♜</v>
      </c>
      <c r="F627" s="7" t="n">
        <f aca="false">C627-C626</f>
        <v>1</v>
      </c>
    </row>
    <row r="628" customFormat="false" ht="15" hidden="false" customHeight="false" outlineLevel="0" collapsed="false">
      <c r="A628" s="7" t="s">
        <v>713</v>
      </c>
      <c r="B628" s="11" t="s">
        <v>714</v>
      </c>
      <c r="C628" s="7" t="n">
        <f aca="false">HEX2DEC(B628)</f>
        <v>9821</v>
      </c>
      <c r="D628" s="9" t="str">
        <f aca="false">DEC2HEX(C628,8)</f>
        <v>0000265D</v>
      </c>
      <c r="E628" s="10" t="str">
        <f aca="false">_xlfn.UNICHAR(C628)</f>
        <v>♝</v>
      </c>
      <c r="F628" s="7" t="n">
        <f aca="false">C628-C627</f>
        <v>1</v>
      </c>
    </row>
    <row r="629" customFormat="false" ht="15" hidden="false" customHeight="false" outlineLevel="0" collapsed="false">
      <c r="A629" s="7" t="s">
        <v>715</v>
      </c>
      <c r="B629" s="11" t="s">
        <v>716</v>
      </c>
      <c r="C629" s="7" t="n">
        <f aca="false">HEX2DEC(B629)</f>
        <v>9822</v>
      </c>
      <c r="D629" s="9" t="str">
        <f aca="false">DEC2HEX(C629,8)</f>
        <v>0000265E</v>
      </c>
      <c r="E629" s="10" t="str">
        <f aca="false">_xlfn.UNICHAR(C629)</f>
        <v>♞</v>
      </c>
      <c r="F629" s="7" t="n">
        <f aca="false">C629-C628</f>
        <v>1</v>
      </c>
    </row>
    <row r="630" customFormat="false" ht="15" hidden="false" customHeight="false" outlineLevel="0" collapsed="false">
      <c r="A630" s="7" t="s">
        <v>717</v>
      </c>
      <c r="B630" s="11" t="s">
        <v>718</v>
      </c>
      <c r="C630" s="7" t="n">
        <f aca="false">HEX2DEC(B630)</f>
        <v>9823</v>
      </c>
      <c r="D630" s="9" t="str">
        <f aca="false">DEC2HEX(C630,8)</f>
        <v>0000265F</v>
      </c>
      <c r="E630" s="10" t="str">
        <f aca="false">_xlfn.UNICHAR(C630)</f>
        <v>♟</v>
      </c>
      <c r="F630" s="7" t="n">
        <f aca="false">C630-C629</f>
        <v>1</v>
      </c>
    </row>
    <row r="631" customFormat="false" ht="15" hidden="false" customHeight="false" outlineLevel="0" collapsed="false">
      <c r="A631" s="7" t="s">
        <v>719</v>
      </c>
      <c r="B631" s="11" t="n">
        <v>2702</v>
      </c>
      <c r="C631" s="7" t="n">
        <f aca="false">HEX2DEC(B631)</f>
        <v>9986</v>
      </c>
      <c r="D631" s="9" t="str">
        <f aca="false">DEC2HEX(C631,8)</f>
        <v>00002702</v>
      </c>
      <c r="E631" s="10" t="str">
        <f aca="false">_xlfn.UNICHAR(C631)</f>
        <v>✂</v>
      </c>
      <c r="F631" s="7" t="n">
        <f aca="false">C631-C630</f>
        <v>163</v>
      </c>
    </row>
    <row r="632" customFormat="false" ht="15" hidden="false" customHeight="false" outlineLevel="0" collapsed="false">
      <c r="A632" s="7" t="s">
        <v>720</v>
      </c>
      <c r="B632" s="8" t="n">
        <v>2756</v>
      </c>
      <c r="C632" s="7" t="n">
        <f aca="false">HEX2DEC(B632)</f>
        <v>10070</v>
      </c>
      <c r="D632" s="9" t="str">
        <f aca="false">DEC2HEX(C632,8)</f>
        <v>00002756</v>
      </c>
      <c r="E632" s="10" t="str">
        <f aca="false">_xlfn.UNICHAR(C632)</f>
        <v>❖</v>
      </c>
      <c r="F632" s="7" t="n">
        <f aca="false">C632-C631</f>
        <v>84</v>
      </c>
    </row>
    <row r="633" customFormat="false" ht="15" hidden="false" customHeight="false" outlineLevel="0" collapsed="false">
      <c r="A633" s="7" t="s">
        <v>721</v>
      </c>
      <c r="B633" s="8" t="s">
        <v>722</v>
      </c>
      <c r="C633" s="7" t="n">
        <f aca="false">HEX2DEC(B633)</f>
        <v>11119</v>
      </c>
      <c r="D633" s="9" t="str">
        <f aca="false">DEC2HEX(C633,8)</f>
        <v>00002B6F</v>
      </c>
      <c r="E633" s="10" t="str">
        <f aca="false">_xlfn.UNICHAR(C633)</f>
        <v>⭯</v>
      </c>
      <c r="F633" s="7" t="n">
        <f aca="false">C633-C632</f>
        <v>1049</v>
      </c>
    </row>
    <row r="634" customFormat="false" ht="15" hidden="false" customHeight="false" outlineLevel="0" collapsed="false">
      <c r="A634" s="7" t="s">
        <v>723</v>
      </c>
      <c r="B634" s="8" t="s">
        <v>724</v>
      </c>
      <c r="C634" s="7" t="n">
        <f aca="false">HEX2DEC(B634)</f>
        <v>11120</v>
      </c>
      <c r="D634" s="9" t="str">
        <f aca="false">DEC2HEX(C634,8)</f>
        <v>00002B70</v>
      </c>
      <c r="E634" s="10" t="str">
        <f aca="false">_xlfn.UNICHAR(C634)</f>
        <v>⭰</v>
      </c>
      <c r="F634" s="7" t="n">
        <f aca="false">C634-C633</f>
        <v>1</v>
      </c>
    </row>
    <row r="635" customFormat="false" ht="15" hidden="false" customHeight="false" outlineLevel="0" collapsed="false">
      <c r="A635" s="7" t="s">
        <v>725</v>
      </c>
      <c r="B635" s="8" t="s">
        <v>726</v>
      </c>
      <c r="C635" s="7" t="n">
        <f aca="false">HEX2DEC(B635)</f>
        <v>11121</v>
      </c>
      <c r="D635" s="9" t="str">
        <f aca="false">DEC2HEX(C635,8)</f>
        <v>00002B71</v>
      </c>
      <c r="E635" s="10" t="str">
        <f aca="false">_xlfn.UNICHAR(C635)</f>
        <v>⭱</v>
      </c>
      <c r="F635" s="7" t="n">
        <f aca="false">C635-C634</f>
        <v>1</v>
      </c>
    </row>
    <row r="636" customFormat="false" ht="15" hidden="false" customHeight="false" outlineLevel="0" collapsed="false">
      <c r="A636" s="7" t="s">
        <v>727</v>
      </c>
      <c r="B636" s="8" t="s">
        <v>728</v>
      </c>
      <c r="C636" s="7" t="n">
        <f aca="false">HEX2DEC(B636)</f>
        <v>11122</v>
      </c>
      <c r="D636" s="9" t="str">
        <f aca="false">DEC2HEX(C636,8)</f>
        <v>00002B72</v>
      </c>
      <c r="E636" s="10" t="str">
        <f aca="false">_xlfn.UNICHAR(C636)</f>
        <v>⭲</v>
      </c>
      <c r="F636" s="7" t="n">
        <f aca="false">C636-C635</f>
        <v>1</v>
      </c>
    </row>
    <row r="637" customFormat="false" ht="15" hidden="false" customHeight="false" outlineLevel="0" collapsed="false">
      <c r="A637" s="7" t="s">
        <v>729</v>
      </c>
      <c r="B637" s="8" t="s">
        <v>730</v>
      </c>
      <c r="C637" s="7" t="n">
        <f aca="false">HEX2DEC(B637)</f>
        <v>11123</v>
      </c>
      <c r="D637" s="9" t="str">
        <f aca="false">DEC2HEX(C637,8)</f>
        <v>00002B73</v>
      </c>
      <c r="E637" s="10" t="str">
        <f aca="false">_xlfn.UNICHAR(C637)</f>
        <v>⭳</v>
      </c>
      <c r="F637" s="7" t="n">
        <f aca="false">C637-C636</f>
        <v>1</v>
      </c>
    </row>
    <row r="638" customFormat="false" ht="15" hidden="false" customHeight="false" outlineLevel="0" collapsed="false">
      <c r="A638" s="7" t="s">
        <v>731</v>
      </c>
      <c r="B638" s="11" t="s">
        <v>732</v>
      </c>
      <c r="C638" s="7" t="n">
        <f aca="false">HEX2DEC(B638)</f>
        <v>11134</v>
      </c>
      <c r="D638" s="9" t="str">
        <f aca="false">DEC2HEX(C638,8)</f>
        <v>00002B7E</v>
      </c>
      <c r="E638" s="10" t="str">
        <f aca="false">_xlfn.UNICHAR(C638)</f>
        <v>⭾</v>
      </c>
      <c r="F638" s="7" t="n">
        <f aca="false">C638-C637</f>
        <v>11</v>
      </c>
    </row>
    <row r="639" customFormat="false" ht="15" hidden="false" customHeight="false" outlineLevel="0" collapsed="false">
      <c r="A639" s="7" t="s">
        <v>733</v>
      </c>
      <c r="B639" s="8" t="s">
        <v>734</v>
      </c>
      <c r="C639" s="7" t="n">
        <f aca="false">HEX2DEC(B639)</f>
        <v>11148</v>
      </c>
      <c r="D639" s="9" t="str">
        <f aca="false">DEC2HEX(C639,8)</f>
        <v>00002B8C</v>
      </c>
      <c r="E639" s="10" t="str">
        <f aca="false">_xlfn.UNICHAR(C639)</f>
        <v>⮌</v>
      </c>
      <c r="F639" s="7" t="n">
        <f aca="false">C639-C638</f>
        <v>14</v>
      </c>
    </row>
    <row r="640" customFormat="false" ht="15" hidden="false" customHeight="false" outlineLevel="0" collapsed="false">
      <c r="A640" s="7" t="s">
        <v>735</v>
      </c>
      <c r="B640" s="8" t="s">
        <v>736</v>
      </c>
      <c r="C640" s="7" t="n">
        <f aca="false">HEX2DEC(B640)</f>
        <v>11150</v>
      </c>
      <c r="D640" s="9" t="str">
        <f aca="false">DEC2HEX(C640,8)</f>
        <v>00002B8E</v>
      </c>
      <c r="E640" s="10" t="str">
        <f aca="false">_xlfn.UNICHAR(C640)</f>
        <v>⮎</v>
      </c>
      <c r="F640" s="7" t="n">
        <f aca="false">C640-C639</f>
        <v>2</v>
      </c>
    </row>
    <row r="641" customFormat="false" ht="15" hidden="false" customHeight="false" outlineLevel="0" collapsed="false">
      <c r="A641" s="7" t="s">
        <v>737</v>
      </c>
      <c r="B641" s="11" t="s">
        <v>738</v>
      </c>
      <c r="C641" s="7" t="n">
        <f aca="false">HEX2DEC(B641)</f>
        <v>11168</v>
      </c>
      <c r="D641" s="9" t="str">
        <f aca="false">DEC2HEX(C641,8)</f>
        <v>00002BA0</v>
      </c>
      <c r="E641" s="10" t="str">
        <f aca="false">_xlfn.UNICHAR(C641)</f>
        <v>⮠</v>
      </c>
      <c r="F641" s="7" t="n">
        <f aca="false">C641-C640</f>
        <v>18</v>
      </c>
    </row>
    <row r="642" customFormat="false" ht="15" hidden="false" customHeight="false" outlineLevel="0" collapsed="false">
      <c r="A642" s="12" t="s">
        <v>739</v>
      </c>
      <c r="B642" s="16" t="s">
        <v>740</v>
      </c>
      <c r="C642" s="1" t="n">
        <f aca="false">HEX2DEC(B642)</f>
        <v>12032</v>
      </c>
      <c r="D642" s="9" t="str">
        <f aca="false">DEC2HEX(C642,8)</f>
        <v>00002F00</v>
      </c>
      <c r="E642" s="10" t="str">
        <f aca="false">_xlfn.UNICHAR(C642)</f>
        <v>⼀</v>
      </c>
      <c r="F642" s="1" t="n">
        <f aca="false">C642-C641</f>
        <v>864</v>
      </c>
    </row>
    <row r="643" customFormat="false" ht="15" hidden="false" customHeight="false" outlineLevel="0" collapsed="false">
      <c r="A643" s="12" t="s">
        <v>741</v>
      </c>
      <c r="B643" s="16" t="s">
        <v>742</v>
      </c>
      <c r="C643" s="1" t="n">
        <f aca="false">HEX2DEC(B643)</f>
        <v>12040</v>
      </c>
      <c r="D643" s="9" t="str">
        <f aca="false">DEC2HEX(C643,8)</f>
        <v>00002F08</v>
      </c>
      <c r="E643" s="10" t="str">
        <f aca="false">_xlfn.UNICHAR(C643)</f>
        <v>⼈</v>
      </c>
      <c r="F643" s="1" t="n">
        <f aca="false">C643-C642</f>
        <v>8</v>
      </c>
    </row>
    <row r="644" customFormat="false" ht="15" hidden="false" customHeight="false" outlineLevel="0" collapsed="false">
      <c r="A644" s="12" t="s">
        <v>743</v>
      </c>
      <c r="B644" s="16" t="s">
        <v>744</v>
      </c>
      <c r="C644" s="1" t="n">
        <f aca="false">HEX2DEC(B644)</f>
        <v>12055</v>
      </c>
      <c r="D644" s="9" t="str">
        <f aca="false">DEC2HEX(C644,8)</f>
        <v>00002F17</v>
      </c>
      <c r="E644" s="10" t="str">
        <f aca="false">_xlfn.UNICHAR(C644)</f>
        <v>⼗</v>
      </c>
      <c r="F644" s="1" t="n">
        <f aca="false">C644-C643</f>
        <v>15</v>
      </c>
    </row>
    <row r="645" customFormat="false" ht="15" hidden="false" customHeight="false" outlineLevel="0" collapsed="false">
      <c r="A645" s="12" t="s">
        <v>745</v>
      </c>
      <c r="B645" s="16" t="s">
        <v>746</v>
      </c>
      <c r="C645" s="1" t="n">
        <f aca="false">HEX2DEC(B645)</f>
        <v>12056</v>
      </c>
      <c r="D645" s="9" t="str">
        <f aca="false">DEC2HEX(C645,8)</f>
        <v>00002F18</v>
      </c>
      <c r="E645" s="10" t="str">
        <f aca="false">_xlfn.UNICHAR(C645)</f>
        <v>⼘</v>
      </c>
      <c r="F645" s="1" t="n">
        <f aca="false">C645-C644</f>
        <v>1</v>
      </c>
    </row>
    <row r="646" customFormat="false" ht="15" hidden="false" customHeight="false" outlineLevel="0" collapsed="false">
      <c r="A646" s="12" t="s">
        <v>747</v>
      </c>
      <c r="B646" s="16" t="s">
        <v>748</v>
      </c>
      <c r="C646" s="1" t="n">
        <f aca="false">HEX2DEC(B646)</f>
        <v>12061</v>
      </c>
      <c r="D646" s="9" t="str">
        <f aca="false">DEC2HEX(C646,8)</f>
        <v>00002F1D</v>
      </c>
      <c r="E646" s="10" t="str">
        <f aca="false">_xlfn.UNICHAR(C646)</f>
        <v>⼝</v>
      </c>
      <c r="F646" s="1" t="n">
        <f aca="false">C646-C645</f>
        <v>5</v>
      </c>
    </row>
    <row r="647" customFormat="false" ht="15" hidden="false" customHeight="false" outlineLevel="0" collapsed="false">
      <c r="A647" s="12" t="s">
        <v>749</v>
      </c>
      <c r="B647" s="16" t="s">
        <v>750</v>
      </c>
      <c r="C647" s="1" t="n">
        <f aca="false">HEX2DEC(B647)</f>
        <v>12064</v>
      </c>
      <c r="D647" s="9" t="str">
        <f aca="false">DEC2HEX(C647,8)</f>
        <v>00002F20</v>
      </c>
      <c r="E647" s="10" t="str">
        <f aca="false">_xlfn.UNICHAR(C647)</f>
        <v>⼠</v>
      </c>
      <c r="F647" s="1" t="n">
        <f aca="false">C647-C646</f>
        <v>3</v>
      </c>
    </row>
    <row r="648" customFormat="false" ht="15" hidden="false" customHeight="false" outlineLevel="0" collapsed="false">
      <c r="A648" s="12" t="s">
        <v>751</v>
      </c>
      <c r="B648" s="16" t="s">
        <v>752</v>
      </c>
      <c r="C648" s="1" t="n">
        <f aca="false">HEX2DEC(B648)</f>
        <v>12068</v>
      </c>
      <c r="D648" s="9" t="str">
        <f aca="false">DEC2HEX(C648,8)</f>
        <v>00002F24</v>
      </c>
      <c r="E648" s="10" t="str">
        <f aca="false">_xlfn.UNICHAR(C648)</f>
        <v>⼤</v>
      </c>
      <c r="F648" s="1" t="n">
        <f aca="false">C648-C647</f>
        <v>4</v>
      </c>
    </row>
    <row r="649" customFormat="false" ht="15" hidden="false" customHeight="false" outlineLevel="0" collapsed="false">
      <c r="A649" s="12" t="s">
        <v>753</v>
      </c>
      <c r="B649" s="16" t="s">
        <v>754</v>
      </c>
      <c r="C649" s="1" t="n">
        <f aca="false">HEX2DEC(B649)</f>
        <v>12069</v>
      </c>
      <c r="D649" s="9" t="str">
        <f aca="false">DEC2HEX(C649,8)</f>
        <v>00002F25</v>
      </c>
      <c r="E649" s="10" t="str">
        <f aca="false">_xlfn.UNICHAR(C649)</f>
        <v>⼥</v>
      </c>
      <c r="F649" s="1" t="n">
        <f aca="false">C649-C648</f>
        <v>1</v>
      </c>
    </row>
    <row r="650" customFormat="false" ht="15" hidden="false" customHeight="false" outlineLevel="0" collapsed="false">
      <c r="A650" s="12" t="s">
        <v>755</v>
      </c>
      <c r="B650" s="16" t="s">
        <v>756</v>
      </c>
      <c r="C650" s="1" t="n">
        <f aca="false">HEX2DEC(B650)</f>
        <v>12075</v>
      </c>
      <c r="D650" s="9" t="str">
        <f aca="false">DEC2HEX(C650,8)</f>
        <v>00002F2B</v>
      </c>
      <c r="E650" s="10" t="str">
        <f aca="false">_xlfn.UNICHAR(C650)</f>
        <v>⼫</v>
      </c>
      <c r="F650" s="1" t="n">
        <f aca="false">C650-C649</f>
        <v>6</v>
      </c>
    </row>
    <row r="651" customFormat="false" ht="15" hidden="false" customHeight="false" outlineLevel="0" collapsed="false">
      <c r="A651" s="12" t="s">
        <v>757</v>
      </c>
      <c r="B651" s="16" t="s">
        <v>758</v>
      </c>
      <c r="C651" s="1" t="n">
        <f aca="false">HEX2DEC(B651)</f>
        <v>12077</v>
      </c>
      <c r="D651" s="9" t="str">
        <f aca="false">DEC2HEX(C651,8)</f>
        <v>00002F2D</v>
      </c>
      <c r="E651" s="10" t="str">
        <f aca="false">_xlfn.UNICHAR(C651)</f>
        <v>⼭</v>
      </c>
      <c r="F651" s="1" t="n">
        <f aca="false">C651-C650</f>
        <v>2</v>
      </c>
    </row>
    <row r="652" customFormat="false" ht="15" hidden="false" customHeight="false" outlineLevel="0" collapsed="false">
      <c r="A652" s="12" t="s">
        <v>759</v>
      </c>
      <c r="B652" s="16" t="s">
        <v>760</v>
      </c>
      <c r="C652" s="1" t="n">
        <f aca="false">HEX2DEC(B652)</f>
        <v>12088</v>
      </c>
      <c r="D652" s="9" t="str">
        <f aca="false">DEC2HEX(C652,8)</f>
        <v>00002F38</v>
      </c>
      <c r="E652" s="10" t="str">
        <f aca="false">_xlfn.UNICHAR(C652)</f>
        <v>⼸</v>
      </c>
      <c r="F652" s="1" t="n">
        <f aca="false">C652-C651</f>
        <v>11</v>
      </c>
    </row>
    <row r="653" customFormat="false" ht="15" hidden="false" customHeight="false" outlineLevel="0" collapsed="false">
      <c r="A653" s="12" t="s">
        <v>761</v>
      </c>
      <c r="B653" s="16" t="s">
        <v>762</v>
      </c>
      <c r="C653" s="1" t="n">
        <f aca="false">HEX2DEC(B653)</f>
        <v>12092</v>
      </c>
      <c r="D653" s="9" t="str">
        <f aca="false">DEC2HEX(C653,8)</f>
        <v>00002F3C</v>
      </c>
      <c r="E653" s="10" t="str">
        <f aca="false">_xlfn.UNICHAR(C653)</f>
        <v>⼼</v>
      </c>
      <c r="F653" s="1" t="n">
        <f aca="false">C653-C652</f>
        <v>4</v>
      </c>
    </row>
    <row r="654" customFormat="false" ht="15" hidden="false" customHeight="false" outlineLevel="0" collapsed="false">
      <c r="A654" s="12" t="s">
        <v>763</v>
      </c>
      <c r="B654" s="16" t="s">
        <v>764</v>
      </c>
      <c r="C654" s="1" t="n">
        <f aca="false">HEX2DEC(B654)</f>
        <v>12093</v>
      </c>
      <c r="D654" s="9" t="str">
        <f aca="false">DEC2HEX(C654,8)</f>
        <v>00002F3D</v>
      </c>
      <c r="E654" s="10" t="str">
        <f aca="false">_xlfn.UNICHAR(C654)</f>
        <v>⼽</v>
      </c>
      <c r="F654" s="1" t="n">
        <f aca="false">C654-C653</f>
        <v>1</v>
      </c>
    </row>
    <row r="655" customFormat="false" ht="15" hidden="false" customHeight="false" outlineLevel="0" collapsed="false">
      <c r="A655" s="12" t="s">
        <v>765</v>
      </c>
      <c r="B655" s="16" t="s">
        <v>766</v>
      </c>
      <c r="C655" s="1" t="n">
        <f aca="false">HEX2DEC(B655)</f>
        <v>12095</v>
      </c>
      <c r="D655" s="9" t="str">
        <f aca="false">DEC2HEX(C655,8)</f>
        <v>00002F3F</v>
      </c>
      <c r="E655" s="10" t="str">
        <f aca="false">_xlfn.UNICHAR(C655)</f>
        <v>⼿</v>
      </c>
      <c r="F655" s="1" t="n">
        <f aca="false">C655-C654</f>
        <v>2</v>
      </c>
    </row>
    <row r="656" customFormat="false" ht="15" hidden="false" customHeight="false" outlineLevel="0" collapsed="false">
      <c r="A656" s="12" t="s">
        <v>767</v>
      </c>
      <c r="B656" s="16" t="s">
        <v>768</v>
      </c>
      <c r="C656" s="1" t="n">
        <f aca="false">HEX2DEC(B656)</f>
        <v>12103</v>
      </c>
      <c r="D656" s="9" t="str">
        <f aca="false">DEC2HEX(C656,8)</f>
        <v>00002F47</v>
      </c>
      <c r="E656" s="10" t="str">
        <f aca="false">_xlfn.UNICHAR(C656)</f>
        <v>⽇</v>
      </c>
      <c r="F656" s="1" t="n">
        <f aca="false">C656-C655</f>
        <v>8</v>
      </c>
    </row>
    <row r="657" customFormat="false" ht="15" hidden="false" customHeight="false" outlineLevel="0" collapsed="false">
      <c r="A657" s="12" t="s">
        <v>769</v>
      </c>
      <c r="B657" s="16" t="s">
        <v>770</v>
      </c>
      <c r="C657" s="1" t="n">
        <f aca="false">HEX2DEC(B657)</f>
        <v>12105</v>
      </c>
      <c r="D657" s="9" t="str">
        <f aca="false">DEC2HEX(C657,8)</f>
        <v>00002F49</v>
      </c>
      <c r="E657" s="10" t="str">
        <f aca="false">_xlfn.UNICHAR(C657)</f>
        <v>⽉</v>
      </c>
      <c r="F657" s="1" t="n">
        <f aca="false">C657-C656</f>
        <v>2</v>
      </c>
    </row>
    <row r="658" customFormat="false" ht="15" hidden="false" customHeight="false" outlineLevel="0" collapsed="false">
      <c r="A658" s="12" t="s">
        <v>771</v>
      </c>
      <c r="B658" s="16" t="s">
        <v>772</v>
      </c>
      <c r="C658" s="1" t="n">
        <f aca="false">HEX2DEC(B658)</f>
        <v>12106</v>
      </c>
      <c r="D658" s="9" t="str">
        <f aca="false">DEC2HEX(C658,8)</f>
        <v>00002F4A</v>
      </c>
      <c r="E658" s="10" t="str">
        <f aca="false">_xlfn.UNICHAR(C658)</f>
        <v>⽊</v>
      </c>
      <c r="F658" s="1" t="n">
        <f aca="false">C658-C657</f>
        <v>1</v>
      </c>
    </row>
    <row r="659" customFormat="false" ht="15" hidden="false" customHeight="false" outlineLevel="0" collapsed="false">
      <c r="A659" s="12" t="s">
        <v>773</v>
      </c>
      <c r="B659" s="16" t="s">
        <v>774</v>
      </c>
      <c r="C659" s="1" t="n">
        <f aca="false">HEX2DEC(B659)</f>
        <v>12116</v>
      </c>
      <c r="D659" s="9" t="str">
        <f aca="false">DEC2HEX(C659,8)</f>
        <v>00002F54</v>
      </c>
      <c r="E659" s="10" t="str">
        <f aca="false">_xlfn.UNICHAR(C659)</f>
        <v>⽔</v>
      </c>
      <c r="F659" s="1" t="n">
        <f aca="false">C659-C658</f>
        <v>10</v>
      </c>
    </row>
    <row r="660" customFormat="false" ht="15" hidden="false" customHeight="false" outlineLevel="0" collapsed="false">
      <c r="A660" s="12" t="s">
        <v>775</v>
      </c>
      <c r="B660" s="16" t="s">
        <v>776</v>
      </c>
      <c r="C660" s="1" t="n">
        <f aca="false">HEX2DEC(B660)</f>
        <v>12117</v>
      </c>
      <c r="D660" s="9" t="str">
        <f aca="false">DEC2HEX(C660,8)</f>
        <v>00002F55</v>
      </c>
      <c r="E660" s="10" t="str">
        <f aca="false">_xlfn.UNICHAR(C660)</f>
        <v>⽕</v>
      </c>
      <c r="F660" s="1" t="n">
        <f aca="false">C660-C659</f>
        <v>1</v>
      </c>
    </row>
    <row r="661" customFormat="false" ht="15" hidden="false" customHeight="false" outlineLevel="0" collapsed="false">
      <c r="A661" s="12" t="s">
        <v>777</v>
      </c>
      <c r="B661" s="16" t="s">
        <v>778</v>
      </c>
      <c r="C661" s="1" t="n">
        <f aca="false">HEX2DEC(B661)</f>
        <v>12133</v>
      </c>
      <c r="D661" s="9" t="str">
        <f aca="false">DEC2HEX(C661,8)</f>
        <v>00002F65</v>
      </c>
      <c r="E661" s="10" t="str">
        <f aca="false">_xlfn.UNICHAR(C661)</f>
        <v>⽥</v>
      </c>
      <c r="F661" s="1" t="n">
        <f aca="false">C661-C660</f>
        <v>16</v>
      </c>
    </row>
    <row r="662" customFormat="false" ht="15" hidden="false" customHeight="false" outlineLevel="0" collapsed="false">
      <c r="A662" s="12" t="s">
        <v>779</v>
      </c>
      <c r="B662" s="16" t="s">
        <v>780</v>
      </c>
      <c r="C662" s="1" t="n">
        <f aca="false">HEX2DEC(B662)</f>
        <v>12149</v>
      </c>
      <c r="D662" s="9" t="str">
        <f aca="false">DEC2HEX(C662,8)</f>
        <v>00002F75</v>
      </c>
      <c r="E662" s="10" t="str">
        <f aca="false">_xlfn.UNICHAR(C662)</f>
        <v>⽵</v>
      </c>
      <c r="F662" s="1" t="n">
        <f aca="false">C662-C661</f>
        <v>16</v>
      </c>
    </row>
    <row r="663" customFormat="false" ht="15" hidden="false" customHeight="false" outlineLevel="0" collapsed="false">
      <c r="A663" s="12" t="s">
        <v>781</v>
      </c>
      <c r="B663" s="16" t="s">
        <v>782</v>
      </c>
      <c r="C663" s="1" t="n">
        <f aca="false">HEX2DEC(B663)</f>
        <v>12198</v>
      </c>
      <c r="D663" s="9" t="str">
        <f aca="false">DEC2HEX(C663,8)</f>
        <v>00002FA6</v>
      </c>
      <c r="E663" s="10" t="str">
        <f aca="false">_xlfn.UNICHAR(C663)</f>
        <v>⾦</v>
      </c>
      <c r="F663" s="1" t="n">
        <f aca="false">C663-C662</f>
        <v>49</v>
      </c>
    </row>
    <row r="664" customFormat="false" ht="15" hidden="false" customHeight="false" outlineLevel="0" collapsed="false">
      <c r="A664" s="7" t="s">
        <v>783</v>
      </c>
      <c r="B664" s="8" t="n">
        <v>3001</v>
      </c>
      <c r="C664" s="7" t="n">
        <f aca="false">HEX2DEC(B664)</f>
        <v>12289</v>
      </c>
      <c r="D664" s="9" t="str">
        <f aca="false">DEC2HEX(C664,8)</f>
        <v>00003001</v>
      </c>
      <c r="E664" s="10" t="str">
        <f aca="false">_xlfn.UNICHAR(C664)</f>
        <v>、</v>
      </c>
      <c r="F664" s="7" t="n">
        <f aca="false">C664-C663</f>
        <v>91</v>
      </c>
    </row>
    <row r="665" customFormat="false" ht="15" hidden="false" customHeight="false" outlineLevel="0" collapsed="false">
      <c r="A665" s="7" t="s">
        <v>784</v>
      </c>
      <c r="B665" s="8" t="n">
        <v>3002</v>
      </c>
      <c r="C665" s="7" t="n">
        <f aca="false">HEX2DEC(B665)</f>
        <v>12290</v>
      </c>
      <c r="D665" s="9" t="str">
        <f aca="false">DEC2HEX(C665,8)</f>
        <v>00003002</v>
      </c>
      <c r="E665" s="10" t="str">
        <f aca="false">_xlfn.UNICHAR(C665)</f>
        <v>。</v>
      </c>
      <c r="F665" s="7" t="n">
        <f aca="false">C665-C664</f>
        <v>1</v>
      </c>
    </row>
    <row r="666" customFormat="false" ht="15" hidden="false" customHeight="false" outlineLevel="0" collapsed="false">
      <c r="A666" s="7" t="s">
        <v>785</v>
      </c>
      <c r="B666" s="8" t="s">
        <v>786</v>
      </c>
      <c r="C666" s="7" t="n">
        <f aca="false">HEX2DEC(B666)</f>
        <v>12296</v>
      </c>
      <c r="D666" s="9" t="str">
        <f aca="false">DEC2HEX(C666,8)</f>
        <v>00003008</v>
      </c>
      <c r="E666" s="10" t="str">
        <f aca="false">_xlfn.UNICHAR(C666)</f>
        <v>〈</v>
      </c>
      <c r="F666" s="7" t="n">
        <f aca="false">C666-C665</f>
        <v>6</v>
      </c>
    </row>
    <row r="667" customFormat="false" ht="15" hidden="false" customHeight="false" outlineLevel="0" collapsed="false">
      <c r="A667" s="7" t="s">
        <v>787</v>
      </c>
      <c r="B667" s="8" t="s">
        <v>788</v>
      </c>
      <c r="C667" s="7" t="n">
        <f aca="false">HEX2DEC(B667)</f>
        <v>12297</v>
      </c>
      <c r="D667" s="9" t="str">
        <f aca="false">DEC2HEX(C667,8)</f>
        <v>00003009</v>
      </c>
      <c r="E667" s="10" t="str">
        <f aca="false">_xlfn.UNICHAR(C667)</f>
        <v>〉</v>
      </c>
      <c r="F667" s="7" t="n">
        <f aca="false">C667-C666</f>
        <v>1</v>
      </c>
    </row>
    <row r="668" customFormat="false" ht="15" hidden="false" customHeight="false" outlineLevel="0" collapsed="false">
      <c r="A668" s="7" t="s">
        <v>789</v>
      </c>
      <c r="B668" s="8" t="s">
        <v>790</v>
      </c>
      <c r="C668" s="7" t="n">
        <f aca="false">HEX2DEC(B668)</f>
        <v>12298</v>
      </c>
      <c r="D668" s="9" t="str">
        <f aca="false">DEC2HEX(C668,8)</f>
        <v>0000300A</v>
      </c>
      <c r="E668" s="10" t="str">
        <f aca="false">_xlfn.UNICHAR(C668)</f>
        <v>《</v>
      </c>
      <c r="F668" s="7" t="n">
        <f aca="false">C668-C667</f>
        <v>1</v>
      </c>
    </row>
    <row r="669" customFormat="false" ht="15" hidden="false" customHeight="false" outlineLevel="0" collapsed="false">
      <c r="A669" s="7" t="s">
        <v>791</v>
      </c>
      <c r="B669" s="8" t="s">
        <v>792</v>
      </c>
      <c r="C669" s="7" t="n">
        <f aca="false">HEX2DEC(B669)</f>
        <v>12299</v>
      </c>
      <c r="D669" s="9" t="str">
        <f aca="false">DEC2HEX(C669,8)</f>
        <v>0000300B</v>
      </c>
      <c r="E669" s="10" t="str">
        <f aca="false">_xlfn.UNICHAR(C669)</f>
        <v>》</v>
      </c>
      <c r="F669" s="7" t="n">
        <f aca="false">C669-C668</f>
        <v>1</v>
      </c>
    </row>
    <row r="670" customFormat="false" ht="15" hidden="false" customHeight="false" outlineLevel="0" collapsed="false">
      <c r="A670" s="7" t="s">
        <v>793</v>
      </c>
      <c r="B670" s="8" t="s">
        <v>794</v>
      </c>
      <c r="C670" s="7" t="n">
        <f aca="false">HEX2DEC(B670)</f>
        <v>12300</v>
      </c>
      <c r="D670" s="9" t="str">
        <f aca="false">DEC2HEX(C670,8)</f>
        <v>0000300C</v>
      </c>
      <c r="E670" s="10" t="str">
        <f aca="false">_xlfn.UNICHAR(C670)</f>
        <v>「</v>
      </c>
      <c r="F670" s="7" t="n">
        <f aca="false">C670-C669</f>
        <v>1</v>
      </c>
    </row>
    <row r="671" customFormat="false" ht="15" hidden="false" customHeight="false" outlineLevel="0" collapsed="false">
      <c r="A671" s="7" t="s">
        <v>795</v>
      </c>
      <c r="B671" s="8" t="s">
        <v>796</v>
      </c>
      <c r="C671" s="7" t="n">
        <f aca="false">HEX2DEC(B671)</f>
        <v>12301</v>
      </c>
      <c r="D671" s="9" t="str">
        <f aca="false">DEC2HEX(C671,8)</f>
        <v>0000300D</v>
      </c>
      <c r="E671" s="10" t="str">
        <f aca="false">_xlfn.UNICHAR(C671)</f>
        <v>」</v>
      </c>
      <c r="F671" s="7" t="n">
        <f aca="false">C671-C670</f>
        <v>1</v>
      </c>
    </row>
    <row r="672" customFormat="false" ht="15" hidden="false" customHeight="false" outlineLevel="0" collapsed="false">
      <c r="A672" s="7" t="s">
        <v>797</v>
      </c>
      <c r="B672" s="8" t="s">
        <v>798</v>
      </c>
      <c r="C672" s="7" t="n">
        <f aca="false">HEX2DEC(B672)</f>
        <v>12302</v>
      </c>
      <c r="D672" s="9" t="str">
        <f aca="false">DEC2HEX(C672,8)</f>
        <v>0000300E</v>
      </c>
      <c r="E672" s="10" t="str">
        <f aca="false">_xlfn.UNICHAR(C672)</f>
        <v>『</v>
      </c>
      <c r="F672" s="7" t="n">
        <f aca="false">C672-C671</f>
        <v>1</v>
      </c>
    </row>
    <row r="673" customFormat="false" ht="15" hidden="false" customHeight="false" outlineLevel="0" collapsed="false">
      <c r="A673" s="7" t="s">
        <v>799</v>
      </c>
      <c r="B673" s="8" t="s">
        <v>800</v>
      </c>
      <c r="C673" s="7" t="n">
        <f aca="false">HEX2DEC(B673)</f>
        <v>12303</v>
      </c>
      <c r="D673" s="9" t="str">
        <f aca="false">DEC2HEX(C673,8)</f>
        <v>0000300F</v>
      </c>
      <c r="E673" s="10" t="str">
        <f aca="false">_xlfn.UNICHAR(C673)</f>
        <v>』</v>
      </c>
      <c r="F673" s="7" t="n">
        <f aca="false">C673-C672</f>
        <v>1</v>
      </c>
    </row>
    <row r="674" customFormat="false" ht="15" hidden="false" customHeight="false" outlineLevel="0" collapsed="false">
      <c r="A674" s="7" t="s">
        <v>801</v>
      </c>
      <c r="B674" s="8" t="s">
        <v>802</v>
      </c>
      <c r="C674" s="7" t="n">
        <f aca="false">HEX2DEC(B674)</f>
        <v>12304</v>
      </c>
      <c r="D674" s="9" t="str">
        <f aca="false">DEC2HEX(C674,8)</f>
        <v>00003010</v>
      </c>
      <c r="E674" s="10" t="str">
        <f aca="false">_xlfn.UNICHAR(C674)</f>
        <v>【</v>
      </c>
      <c r="F674" s="7" t="n">
        <f aca="false">C674-C673</f>
        <v>1</v>
      </c>
    </row>
    <row r="675" customFormat="false" ht="15" hidden="false" customHeight="false" outlineLevel="0" collapsed="false">
      <c r="A675" s="7" t="s">
        <v>803</v>
      </c>
      <c r="B675" s="8" t="s">
        <v>804</v>
      </c>
      <c r="C675" s="7" t="n">
        <f aca="false">HEX2DEC(B675)</f>
        <v>12305</v>
      </c>
      <c r="D675" s="9" t="str">
        <f aca="false">DEC2HEX(C675,8)</f>
        <v>00003011</v>
      </c>
      <c r="E675" s="10" t="str">
        <f aca="false">_xlfn.UNICHAR(C675)</f>
        <v>】</v>
      </c>
      <c r="F675" s="7" t="n">
        <f aca="false">C675-C674</f>
        <v>1</v>
      </c>
    </row>
    <row r="676" customFormat="false" ht="15" hidden="false" customHeight="false" outlineLevel="0" collapsed="false">
      <c r="A676" s="7" t="s">
        <v>805</v>
      </c>
      <c r="B676" s="8" t="n">
        <v>3041</v>
      </c>
      <c r="C676" s="7" t="n">
        <f aca="false">HEX2DEC(B676)</f>
        <v>12353</v>
      </c>
      <c r="D676" s="9" t="str">
        <f aca="false">DEC2HEX(C676,8)</f>
        <v>00003041</v>
      </c>
      <c r="E676" s="10" t="str">
        <f aca="false">_xlfn.UNICHAR(C676)</f>
        <v>ぁ</v>
      </c>
      <c r="F676" s="7" t="n">
        <f aca="false">C676-C675</f>
        <v>48</v>
      </c>
    </row>
    <row r="677" customFormat="false" ht="15" hidden="false" customHeight="false" outlineLevel="0" collapsed="false">
      <c r="A677" s="7" t="s">
        <v>806</v>
      </c>
      <c r="B677" s="8" t="n">
        <v>3042</v>
      </c>
      <c r="C677" s="7" t="n">
        <f aca="false">HEX2DEC(B677)</f>
        <v>12354</v>
      </c>
      <c r="D677" s="9" t="str">
        <f aca="false">DEC2HEX(C677,8)</f>
        <v>00003042</v>
      </c>
      <c r="E677" s="10" t="str">
        <f aca="false">_xlfn.UNICHAR(C677)</f>
        <v>あ</v>
      </c>
      <c r="F677" s="7" t="n">
        <f aca="false">C677-C676</f>
        <v>1</v>
      </c>
    </row>
    <row r="678" customFormat="false" ht="15" hidden="false" customHeight="false" outlineLevel="0" collapsed="false">
      <c r="A678" s="7" t="s">
        <v>807</v>
      </c>
      <c r="B678" s="8" t="n">
        <v>3043</v>
      </c>
      <c r="C678" s="7" t="n">
        <f aca="false">HEX2DEC(B678)</f>
        <v>12355</v>
      </c>
      <c r="D678" s="9" t="str">
        <f aca="false">DEC2HEX(C678,8)</f>
        <v>00003043</v>
      </c>
      <c r="E678" s="10" t="str">
        <f aca="false">_xlfn.UNICHAR(C678)</f>
        <v>ぃ</v>
      </c>
      <c r="F678" s="7" t="n">
        <f aca="false">C678-C677</f>
        <v>1</v>
      </c>
    </row>
    <row r="679" customFormat="false" ht="15" hidden="false" customHeight="false" outlineLevel="0" collapsed="false">
      <c r="A679" s="7" t="s">
        <v>808</v>
      </c>
      <c r="B679" s="8" t="n">
        <v>3044</v>
      </c>
      <c r="C679" s="7" t="n">
        <f aca="false">HEX2DEC(B679)</f>
        <v>12356</v>
      </c>
      <c r="D679" s="9" t="str">
        <f aca="false">DEC2HEX(C679,8)</f>
        <v>00003044</v>
      </c>
      <c r="E679" s="10" t="str">
        <f aca="false">_xlfn.UNICHAR(C679)</f>
        <v>い</v>
      </c>
      <c r="F679" s="7" t="n">
        <f aca="false">C679-C678</f>
        <v>1</v>
      </c>
    </row>
    <row r="680" customFormat="false" ht="15" hidden="false" customHeight="false" outlineLevel="0" collapsed="false">
      <c r="A680" s="7" t="s">
        <v>809</v>
      </c>
      <c r="B680" s="8" t="n">
        <v>3045</v>
      </c>
      <c r="C680" s="7" t="n">
        <f aca="false">HEX2DEC(B680)</f>
        <v>12357</v>
      </c>
      <c r="D680" s="9" t="str">
        <f aca="false">DEC2HEX(C680,8)</f>
        <v>00003045</v>
      </c>
      <c r="E680" s="10" t="str">
        <f aca="false">_xlfn.UNICHAR(C680)</f>
        <v>ぅ</v>
      </c>
      <c r="F680" s="7" t="n">
        <f aca="false">C680-C679</f>
        <v>1</v>
      </c>
    </row>
    <row r="681" customFormat="false" ht="15" hidden="false" customHeight="false" outlineLevel="0" collapsed="false">
      <c r="A681" s="7" t="s">
        <v>810</v>
      </c>
      <c r="B681" s="8" t="n">
        <v>3046</v>
      </c>
      <c r="C681" s="7" t="n">
        <f aca="false">HEX2DEC(B681)</f>
        <v>12358</v>
      </c>
      <c r="D681" s="9" t="str">
        <f aca="false">DEC2HEX(C681,8)</f>
        <v>00003046</v>
      </c>
      <c r="E681" s="10" t="str">
        <f aca="false">_xlfn.UNICHAR(C681)</f>
        <v>う</v>
      </c>
      <c r="F681" s="7" t="n">
        <f aca="false">C681-C680</f>
        <v>1</v>
      </c>
    </row>
    <row r="682" customFormat="false" ht="15" hidden="false" customHeight="false" outlineLevel="0" collapsed="false">
      <c r="A682" s="7" t="s">
        <v>811</v>
      </c>
      <c r="B682" s="8" t="n">
        <v>3047</v>
      </c>
      <c r="C682" s="7" t="n">
        <f aca="false">HEX2DEC(B682)</f>
        <v>12359</v>
      </c>
      <c r="D682" s="9" t="str">
        <f aca="false">DEC2HEX(C682,8)</f>
        <v>00003047</v>
      </c>
      <c r="E682" s="10" t="str">
        <f aca="false">_xlfn.UNICHAR(C682)</f>
        <v>ぇ</v>
      </c>
      <c r="F682" s="7" t="n">
        <f aca="false">C682-C681</f>
        <v>1</v>
      </c>
    </row>
    <row r="683" customFormat="false" ht="15" hidden="false" customHeight="false" outlineLevel="0" collapsed="false">
      <c r="A683" s="7" t="s">
        <v>812</v>
      </c>
      <c r="B683" s="8" t="n">
        <v>3048</v>
      </c>
      <c r="C683" s="7" t="n">
        <f aca="false">HEX2DEC(B683)</f>
        <v>12360</v>
      </c>
      <c r="D683" s="9" t="str">
        <f aca="false">DEC2HEX(C683,8)</f>
        <v>00003048</v>
      </c>
      <c r="E683" s="10" t="str">
        <f aca="false">_xlfn.UNICHAR(C683)</f>
        <v>え</v>
      </c>
      <c r="F683" s="7" t="n">
        <f aca="false">C683-C682</f>
        <v>1</v>
      </c>
    </row>
    <row r="684" customFormat="false" ht="15" hidden="false" customHeight="false" outlineLevel="0" collapsed="false">
      <c r="A684" s="7" t="s">
        <v>813</v>
      </c>
      <c r="B684" s="8" t="n">
        <v>3049</v>
      </c>
      <c r="C684" s="7" t="n">
        <f aca="false">HEX2DEC(B684)</f>
        <v>12361</v>
      </c>
      <c r="D684" s="9" t="str">
        <f aca="false">DEC2HEX(C684,8)</f>
        <v>00003049</v>
      </c>
      <c r="E684" s="10" t="str">
        <f aca="false">_xlfn.UNICHAR(C684)</f>
        <v>ぉ</v>
      </c>
      <c r="F684" s="7" t="n">
        <f aca="false">C684-C683</f>
        <v>1</v>
      </c>
    </row>
    <row r="685" customFormat="false" ht="15" hidden="false" customHeight="false" outlineLevel="0" collapsed="false">
      <c r="A685" s="7" t="s">
        <v>814</v>
      </c>
      <c r="B685" s="8" t="s">
        <v>815</v>
      </c>
      <c r="C685" s="7" t="n">
        <f aca="false">HEX2DEC(B685)</f>
        <v>12362</v>
      </c>
      <c r="D685" s="9" t="str">
        <f aca="false">DEC2HEX(C685,8)</f>
        <v>0000304A</v>
      </c>
      <c r="E685" s="10" t="str">
        <f aca="false">_xlfn.UNICHAR(C685)</f>
        <v>お</v>
      </c>
      <c r="F685" s="7" t="n">
        <f aca="false">C685-C684</f>
        <v>1</v>
      </c>
    </row>
    <row r="686" customFormat="false" ht="15" hidden="false" customHeight="false" outlineLevel="0" collapsed="false">
      <c r="A686" s="7" t="s">
        <v>816</v>
      </c>
      <c r="B686" s="8" t="s">
        <v>817</v>
      </c>
      <c r="C686" s="7" t="n">
        <f aca="false">HEX2DEC(B686)</f>
        <v>12363</v>
      </c>
      <c r="D686" s="9" t="str">
        <f aca="false">DEC2HEX(C686,8)</f>
        <v>0000304B</v>
      </c>
      <c r="E686" s="10" t="str">
        <f aca="false">_xlfn.UNICHAR(C686)</f>
        <v>か</v>
      </c>
      <c r="F686" s="7" t="n">
        <f aca="false">C686-C685</f>
        <v>1</v>
      </c>
    </row>
    <row r="687" customFormat="false" ht="15" hidden="false" customHeight="false" outlineLevel="0" collapsed="false">
      <c r="A687" s="7" t="s">
        <v>818</v>
      </c>
      <c r="B687" s="8" t="s">
        <v>819</v>
      </c>
      <c r="C687" s="7" t="n">
        <f aca="false">HEX2DEC(B687)</f>
        <v>12364</v>
      </c>
      <c r="D687" s="9" t="str">
        <f aca="false">DEC2HEX(C687,8)</f>
        <v>0000304C</v>
      </c>
      <c r="E687" s="10" t="str">
        <f aca="false">_xlfn.UNICHAR(C687)</f>
        <v>が</v>
      </c>
      <c r="F687" s="7" t="n">
        <f aca="false">C687-C686</f>
        <v>1</v>
      </c>
    </row>
    <row r="688" customFormat="false" ht="15" hidden="false" customHeight="false" outlineLevel="0" collapsed="false">
      <c r="A688" s="7" t="s">
        <v>820</v>
      </c>
      <c r="B688" s="8" t="s">
        <v>821</v>
      </c>
      <c r="C688" s="7" t="n">
        <f aca="false">HEX2DEC(B688)</f>
        <v>12365</v>
      </c>
      <c r="D688" s="9" t="str">
        <f aca="false">DEC2HEX(C688,8)</f>
        <v>0000304D</v>
      </c>
      <c r="E688" s="10" t="str">
        <f aca="false">_xlfn.UNICHAR(C688)</f>
        <v>き</v>
      </c>
      <c r="F688" s="7" t="n">
        <f aca="false">C688-C687</f>
        <v>1</v>
      </c>
    </row>
    <row r="689" customFormat="false" ht="15" hidden="false" customHeight="false" outlineLevel="0" collapsed="false">
      <c r="A689" s="7" t="s">
        <v>822</v>
      </c>
      <c r="B689" s="8" t="s">
        <v>823</v>
      </c>
      <c r="C689" s="7" t="n">
        <f aca="false">HEX2DEC(B689)</f>
        <v>12366</v>
      </c>
      <c r="D689" s="9" t="str">
        <f aca="false">DEC2HEX(C689,8)</f>
        <v>0000304E</v>
      </c>
      <c r="E689" s="10" t="str">
        <f aca="false">_xlfn.UNICHAR(C689)</f>
        <v>ぎ</v>
      </c>
      <c r="F689" s="7" t="n">
        <f aca="false">C689-C688</f>
        <v>1</v>
      </c>
    </row>
    <row r="690" customFormat="false" ht="15" hidden="false" customHeight="false" outlineLevel="0" collapsed="false">
      <c r="A690" s="7" t="s">
        <v>824</v>
      </c>
      <c r="B690" s="8" t="s">
        <v>825</v>
      </c>
      <c r="C690" s="7" t="n">
        <f aca="false">HEX2DEC(B690)</f>
        <v>12367</v>
      </c>
      <c r="D690" s="9" t="str">
        <f aca="false">DEC2HEX(C690,8)</f>
        <v>0000304F</v>
      </c>
      <c r="E690" s="10" t="str">
        <f aca="false">_xlfn.UNICHAR(C690)</f>
        <v>く</v>
      </c>
      <c r="F690" s="7" t="n">
        <f aca="false">C690-C689</f>
        <v>1</v>
      </c>
    </row>
    <row r="691" customFormat="false" ht="15" hidden="false" customHeight="false" outlineLevel="0" collapsed="false">
      <c r="A691" s="7" t="s">
        <v>826</v>
      </c>
      <c r="B691" s="8" t="n">
        <v>3050</v>
      </c>
      <c r="C691" s="7" t="n">
        <f aca="false">HEX2DEC(B691)</f>
        <v>12368</v>
      </c>
      <c r="D691" s="9" t="str">
        <f aca="false">DEC2HEX(C691,8)</f>
        <v>00003050</v>
      </c>
      <c r="E691" s="10" t="str">
        <f aca="false">_xlfn.UNICHAR(C691)</f>
        <v>ぐ</v>
      </c>
      <c r="F691" s="7" t="n">
        <f aca="false">C691-C690</f>
        <v>1</v>
      </c>
    </row>
    <row r="692" customFormat="false" ht="15" hidden="false" customHeight="false" outlineLevel="0" collapsed="false">
      <c r="A692" s="7" t="s">
        <v>827</v>
      </c>
      <c r="B692" s="8" t="n">
        <v>3051</v>
      </c>
      <c r="C692" s="7" t="n">
        <f aca="false">HEX2DEC(B692)</f>
        <v>12369</v>
      </c>
      <c r="D692" s="9" t="str">
        <f aca="false">DEC2HEX(C692,8)</f>
        <v>00003051</v>
      </c>
      <c r="E692" s="10" t="str">
        <f aca="false">_xlfn.UNICHAR(C692)</f>
        <v>け</v>
      </c>
      <c r="F692" s="7" t="n">
        <f aca="false">C692-C691</f>
        <v>1</v>
      </c>
    </row>
    <row r="693" customFormat="false" ht="15" hidden="false" customHeight="false" outlineLevel="0" collapsed="false">
      <c r="A693" s="7" t="s">
        <v>828</v>
      </c>
      <c r="B693" s="8" t="n">
        <v>3052</v>
      </c>
      <c r="C693" s="7" t="n">
        <f aca="false">HEX2DEC(B693)</f>
        <v>12370</v>
      </c>
      <c r="D693" s="9" t="str">
        <f aca="false">DEC2HEX(C693,8)</f>
        <v>00003052</v>
      </c>
      <c r="E693" s="10" t="str">
        <f aca="false">_xlfn.UNICHAR(C693)</f>
        <v>げ</v>
      </c>
      <c r="F693" s="7" t="n">
        <f aca="false">C693-C692</f>
        <v>1</v>
      </c>
    </row>
    <row r="694" customFormat="false" ht="15" hidden="false" customHeight="false" outlineLevel="0" collapsed="false">
      <c r="A694" s="7" t="s">
        <v>829</v>
      </c>
      <c r="B694" s="8" t="n">
        <v>3053</v>
      </c>
      <c r="C694" s="7" t="n">
        <f aca="false">HEX2DEC(B694)</f>
        <v>12371</v>
      </c>
      <c r="D694" s="9" t="str">
        <f aca="false">DEC2HEX(C694,8)</f>
        <v>00003053</v>
      </c>
      <c r="E694" s="10" t="str">
        <f aca="false">_xlfn.UNICHAR(C694)</f>
        <v>こ</v>
      </c>
      <c r="F694" s="7" t="n">
        <f aca="false">C694-C693</f>
        <v>1</v>
      </c>
    </row>
    <row r="695" customFormat="false" ht="15" hidden="false" customHeight="false" outlineLevel="0" collapsed="false">
      <c r="A695" s="7" t="s">
        <v>830</v>
      </c>
      <c r="B695" s="8" t="n">
        <v>3054</v>
      </c>
      <c r="C695" s="7" t="n">
        <f aca="false">HEX2DEC(B695)</f>
        <v>12372</v>
      </c>
      <c r="D695" s="9" t="str">
        <f aca="false">DEC2HEX(C695,8)</f>
        <v>00003054</v>
      </c>
      <c r="E695" s="10" t="str">
        <f aca="false">_xlfn.UNICHAR(C695)</f>
        <v>ご</v>
      </c>
      <c r="F695" s="7" t="n">
        <f aca="false">C695-C694</f>
        <v>1</v>
      </c>
    </row>
    <row r="696" customFormat="false" ht="15" hidden="false" customHeight="false" outlineLevel="0" collapsed="false">
      <c r="A696" s="7" t="s">
        <v>831</v>
      </c>
      <c r="B696" s="8" t="n">
        <v>3055</v>
      </c>
      <c r="C696" s="7" t="n">
        <f aca="false">HEX2DEC(B696)</f>
        <v>12373</v>
      </c>
      <c r="D696" s="9" t="str">
        <f aca="false">DEC2HEX(C696,8)</f>
        <v>00003055</v>
      </c>
      <c r="E696" s="10" t="str">
        <f aca="false">_xlfn.UNICHAR(C696)</f>
        <v>さ</v>
      </c>
      <c r="F696" s="7" t="n">
        <f aca="false">C696-C695</f>
        <v>1</v>
      </c>
    </row>
    <row r="697" customFormat="false" ht="15" hidden="false" customHeight="false" outlineLevel="0" collapsed="false">
      <c r="A697" s="7" t="s">
        <v>832</v>
      </c>
      <c r="B697" s="8" t="n">
        <v>3056</v>
      </c>
      <c r="C697" s="7" t="n">
        <f aca="false">HEX2DEC(B697)</f>
        <v>12374</v>
      </c>
      <c r="D697" s="9" t="str">
        <f aca="false">DEC2HEX(C697,8)</f>
        <v>00003056</v>
      </c>
      <c r="E697" s="10" t="str">
        <f aca="false">_xlfn.UNICHAR(C697)</f>
        <v>ざ</v>
      </c>
      <c r="F697" s="7" t="n">
        <f aca="false">C697-C696</f>
        <v>1</v>
      </c>
    </row>
    <row r="698" customFormat="false" ht="15" hidden="false" customHeight="false" outlineLevel="0" collapsed="false">
      <c r="A698" s="7" t="s">
        <v>833</v>
      </c>
      <c r="B698" s="8" t="n">
        <v>3057</v>
      </c>
      <c r="C698" s="7" t="n">
        <f aca="false">HEX2DEC(B698)</f>
        <v>12375</v>
      </c>
      <c r="D698" s="9" t="str">
        <f aca="false">DEC2HEX(C698,8)</f>
        <v>00003057</v>
      </c>
      <c r="E698" s="10" t="str">
        <f aca="false">_xlfn.UNICHAR(C698)</f>
        <v>し</v>
      </c>
      <c r="F698" s="7" t="n">
        <f aca="false">C698-C697</f>
        <v>1</v>
      </c>
    </row>
    <row r="699" customFormat="false" ht="15" hidden="false" customHeight="false" outlineLevel="0" collapsed="false">
      <c r="A699" s="7" t="s">
        <v>834</v>
      </c>
      <c r="B699" s="8" t="n">
        <v>3058</v>
      </c>
      <c r="C699" s="7" t="n">
        <f aca="false">HEX2DEC(B699)</f>
        <v>12376</v>
      </c>
      <c r="D699" s="9" t="str">
        <f aca="false">DEC2HEX(C699,8)</f>
        <v>00003058</v>
      </c>
      <c r="E699" s="10" t="str">
        <f aca="false">_xlfn.UNICHAR(C699)</f>
        <v>じ</v>
      </c>
      <c r="F699" s="7" t="n">
        <f aca="false">C699-C698</f>
        <v>1</v>
      </c>
    </row>
    <row r="700" customFormat="false" ht="15" hidden="false" customHeight="false" outlineLevel="0" collapsed="false">
      <c r="A700" s="7" t="s">
        <v>835</v>
      </c>
      <c r="B700" s="8" t="n">
        <v>3059</v>
      </c>
      <c r="C700" s="7" t="n">
        <f aca="false">HEX2DEC(B700)</f>
        <v>12377</v>
      </c>
      <c r="D700" s="9" t="str">
        <f aca="false">DEC2HEX(C700,8)</f>
        <v>00003059</v>
      </c>
      <c r="E700" s="10" t="str">
        <f aca="false">_xlfn.UNICHAR(C700)</f>
        <v>す</v>
      </c>
      <c r="F700" s="7" t="n">
        <f aca="false">C700-C699</f>
        <v>1</v>
      </c>
    </row>
    <row r="701" customFormat="false" ht="15" hidden="false" customHeight="false" outlineLevel="0" collapsed="false">
      <c r="A701" s="7" t="s">
        <v>836</v>
      </c>
      <c r="B701" s="8" t="s">
        <v>837</v>
      </c>
      <c r="C701" s="7" t="n">
        <f aca="false">HEX2DEC(B701)</f>
        <v>12378</v>
      </c>
      <c r="D701" s="9" t="str">
        <f aca="false">DEC2HEX(C701,8)</f>
        <v>0000305A</v>
      </c>
      <c r="E701" s="10" t="str">
        <f aca="false">_xlfn.UNICHAR(C701)</f>
        <v>ず</v>
      </c>
      <c r="F701" s="7" t="n">
        <f aca="false">C701-C700</f>
        <v>1</v>
      </c>
    </row>
    <row r="702" customFormat="false" ht="15" hidden="false" customHeight="false" outlineLevel="0" collapsed="false">
      <c r="A702" s="7" t="s">
        <v>838</v>
      </c>
      <c r="B702" s="8" t="s">
        <v>839</v>
      </c>
      <c r="C702" s="7" t="n">
        <f aca="false">HEX2DEC(B702)</f>
        <v>12379</v>
      </c>
      <c r="D702" s="9" t="str">
        <f aca="false">DEC2HEX(C702,8)</f>
        <v>0000305B</v>
      </c>
      <c r="E702" s="10" t="str">
        <f aca="false">_xlfn.UNICHAR(C702)</f>
        <v>せ</v>
      </c>
      <c r="F702" s="7" t="n">
        <f aca="false">C702-C701</f>
        <v>1</v>
      </c>
    </row>
    <row r="703" customFormat="false" ht="15" hidden="false" customHeight="false" outlineLevel="0" collapsed="false">
      <c r="A703" s="7" t="s">
        <v>840</v>
      </c>
      <c r="B703" s="8" t="s">
        <v>841</v>
      </c>
      <c r="C703" s="7" t="n">
        <f aca="false">HEX2DEC(B703)</f>
        <v>12380</v>
      </c>
      <c r="D703" s="9" t="str">
        <f aca="false">DEC2HEX(C703,8)</f>
        <v>0000305C</v>
      </c>
      <c r="E703" s="10" t="str">
        <f aca="false">_xlfn.UNICHAR(C703)</f>
        <v>ぜ</v>
      </c>
      <c r="F703" s="7" t="n">
        <f aca="false">C703-C702</f>
        <v>1</v>
      </c>
    </row>
    <row r="704" customFormat="false" ht="15" hidden="false" customHeight="false" outlineLevel="0" collapsed="false">
      <c r="A704" s="7" t="s">
        <v>842</v>
      </c>
      <c r="B704" s="8" t="s">
        <v>843</v>
      </c>
      <c r="C704" s="7" t="n">
        <f aca="false">HEX2DEC(B704)</f>
        <v>12381</v>
      </c>
      <c r="D704" s="9" t="str">
        <f aca="false">DEC2HEX(C704,8)</f>
        <v>0000305D</v>
      </c>
      <c r="E704" s="10" t="str">
        <f aca="false">_xlfn.UNICHAR(C704)</f>
        <v>そ</v>
      </c>
      <c r="F704" s="7" t="n">
        <f aca="false">C704-C703</f>
        <v>1</v>
      </c>
    </row>
    <row r="705" customFormat="false" ht="15" hidden="false" customHeight="false" outlineLevel="0" collapsed="false">
      <c r="A705" s="7" t="s">
        <v>844</v>
      </c>
      <c r="B705" s="8" t="s">
        <v>845</v>
      </c>
      <c r="C705" s="7" t="n">
        <f aca="false">HEX2DEC(B705)</f>
        <v>12382</v>
      </c>
      <c r="D705" s="9" t="str">
        <f aca="false">DEC2HEX(C705,8)</f>
        <v>0000305E</v>
      </c>
      <c r="E705" s="10" t="str">
        <f aca="false">_xlfn.UNICHAR(C705)</f>
        <v>ぞ</v>
      </c>
      <c r="F705" s="7" t="n">
        <f aca="false">C705-C704</f>
        <v>1</v>
      </c>
    </row>
    <row r="706" customFormat="false" ht="15" hidden="false" customHeight="false" outlineLevel="0" collapsed="false">
      <c r="A706" s="7" t="s">
        <v>846</v>
      </c>
      <c r="B706" s="8" t="s">
        <v>847</v>
      </c>
      <c r="C706" s="7" t="n">
        <f aca="false">HEX2DEC(B706)</f>
        <v>12383</v>
      </c>
      <c r="D706" s="9" t="str">
        <f aca="false">DEC2HEX(C706,8)</f>
        <v>0000305F</v>
      </c>
      <c r="E706" s="10" t="str">
        <f aca="false">_xlfn.UNICHAR(C706)</f>
        <v>た</v>
      </c>
      <c r="F706" s="7" t="n">
        <f aca="false">C706-C705</f>
        <v>1</v>
      </c>
    </row>
    <row r="707" customFormat="false" ht="15" hidden="false" customHeight="false" outlineLevel="0" collapsed="false">
      <c r="A707" s="7" t="s">
        <v>848</v>
      </c>
      <c r="B707" s="8" t="n">
        <v>3060</v>
      </c>
      <c r="C707" s="7" t="n">
        <f aca="false">HEX2DEC(B707)</f>
        <v>12384</v>
      </c>
      <c r="D707" s="9" t="str">
        <f aca="false">DEC2HEX(C707,8)</f>
        <v>00003060</v>
      </c>
      <c r="E707" s="10" t="str">
        <f aca="false">_xlfn.UNICHAR(C707)</f>
        <v>だ</v>
      </c>
      <c r="F707" s="7" t="n">
        <f aca="false">C707-C706</f>
        <v>1</v>
      </c>
    </row>
    <row r="708" customFormat="false" ht="15" hidden="false" customHeight="false" outlineLevel="0" collapsed="false">
      <c r="A708" s="7" t="s">
        <v>849</v>
      </c>
      <c r="B708" s="8" t="n">
        <v>3061</v>
      </c>
      <c r="C708" s="7" t="n">
        <f aca="false">HEX2DEC(B708)</f>
        <v>12385</v>
      </c>
      <c r="D708" s="9" t="str">
        <f aca="false">DEC2HEX(C708,8)</f>
        <v>00003061</v>
      </c>
      <c r="E708" s="10" t="str">
        <f aca="false">_xlfn.UNICHAR(C708)</f>
        <v>ち</v>
      </c>
      <c r="F708" s="7" t="n">
        <f aca="false">C708-C707</f>
        <v>1</v>
      </c>
    </row>
    <row r="709" customFormat="false" ht="15" hidden="false" customHeight="false" outlineLevel="0" collapsed="false">
      <c r="A709" s="7" t="s">
        <v>850</v>
      </c>
      <c r="B709" s="8" t="n">
        <v>3062</v>
      </c>
      <c r="C709" s="7" t="n">
        <f aca="false">HEX2DEC(B709)</f>
        <v>12386</v>
      </c>
      <c r="D709" s="9" t="str">
        <f aca="false">DEC2HEX(C709,8)</f>
        <v>00003062</v>
      </c>
      <c r="E709" s="10" t="str">
        <f aca="false">_xlfn.UNICHAR(C709)</f>
        <v>ぢ</v>
      </c>
      <c r="F709" s="7" t="n">
        <f aca="false">C709-C708</f>
        <v>1</v>
      </c>
    </row>
    <row r="710" customFormat="false" ht="15" hidden="false" customHeight="false" outlineLevel="0" collapsed="false">
      <c r="A710" s="7" t="s">
        <v>851</v>
      </c>
      <c r="B710" s="8" t="n">
        <v>3063</v>
      </c>
      <c r="C710" s="7" t="n">
        <f aca="false">HEX2DEC(B710)</f>
        <v>12387</v>
      </c>
      <c r="D710" s="9" t="str">
        <f aca="false">DEC2HEX(C710,8)</f>
        <v>00003063</v>
      </c>
      <c r="E710" s="10" t="str">
        <f aca="false">_xlfn.UNICHAR(C710)</f>
        <v>っ</v>
      </c>
      <c r="F710" s="7" t="n">
        <f aca="false">C710-C709</f>
        <v>1</v>
      </c>
    </row>
    <row r="711" customFormat="false" ht="15" hidden="false" customHeight="false" outlineLevel="0" collapsed="false">
      <c r="A711" s="7" t="s">
        <v>852</v>
      </c>
      <c r="B711" s="8" t="n">
        <v>3064</v>
      </c>
      <c r="C711" s="7" t="n">
        <f aca="false">HEX2DEC(B711)</f>
        <v>12388</v>
      </c>
      <c r="D711" s="9" t="str">
        <f aca="false">DEC2HEX(C711,8)</f>
        <v>00003064</v>
      </c>
      <c r="E711" s="10" t="str">
        <f aca="false">_xlfn.UNICHAR(C711)</f>
        <v>つ</v>
      </c>
      <c r="F711" s="7" t="n">
        <f aca="false">C711-C710</f>
        <v>1</v>
      </c>
    </row>
    <row r="712" customFormat="false" ht="15" hidden="false" customHeight="false" outlineLevel="0" collapsed="false">
      <c r="A712" s="7" t="s">
        <v>853</v>
      </c>
      <c r="B712" s="8" t="n">
        <v>3065</v>
      </c>
      <c r="C712" s="7" t="n">
        <f aca="false">HEX2DEC(B712)</f>
        <v>12389</v>
      </c>
      <c r="D712" s="9" t="str">
        <f aca="false">DEC2HEX(C712,8)</f>
        <v>00003065</v>
      </c>
      <c r="E712" s="10" t="str">
        <f aca="false">_xlfn.UNICHAR(C712)</f>
        <v>づ</v>
      </c>
      <c r="F712" s="7" t="n">
        <f aca="false">C712-C711</f>
        <v>1</v>
      </c>
    </row>
    <row r="713" customFormat="false" ht="15" hidden="false" customHeight="false" outlineLevel="0" collapsed="false">
      <c r="A713" s="7" t="s">
        <v>854</v>
      </c>
      <c r="B713" s="8" t="n">
        <v>3066</v>
      </c>
      <c r="C713" s="7" t="n">
        <f aca="false">HEX2DEC(B713)</f>
        <v>12390</v>
      </c>
      <c r="D713" s="9" t="str">
        <f aca="false">DEC2HEX(C713,8)</f>
        <v>00003066</v>
      </c>
      <c r="E713" s="10" t="str">
        <f aca="false">_xlfn.UNICHAR(C713)</f>
        <v>て</v>
      </c>
      <c r="F713" s="7" t="n">
        <f aca="false">C713-C712</f>
        <v>1</v>
      </c>
    </row>
    <row r="714" customFormat="false" ht="15" hidden="false" customHeight="false" outlineLevel="0" collapsed="false">
      <c r="A714" s="7" t="s">
        <v>855</v>
      </c>
      <c r="B714" s="8" t="n">
        <v>3067</v>
      </c>
      <c r="C714" s="7" t="n">
        <f aca="false">HEX2DEC(B714)</f>
        <v>12391</v>
      </c>
      <c r="D714" s="9" t="str">
        <f aca="false">DEC2HEX(C714,8)</f>
        <v>00003067</v>
      </c>
      <c r="E714" s="10" t="str">
        <f aca="false">_xlfn.UNICHAR(C714)</f>
        <v>で</v>
      </c>
      <c r="F714" s="7" t="n">
        <f aca="false">C714-C713</f>
        <v>1</v>
      </c>
    </row>
    <row r="715" customFormat="false" ht="15" hidden="false" customHeight="false" outlineLevel="0" collapsed="false">
      <c r="A715" s="7" t="s">
        <v>856</v>
      </c>
      <c r="B715" s="8" t="n">
        <v>3068</v>
      </c>
      <c r="C715" s="7" t="n">
        <f aca="false">HEX2DEC(B715)</f>
        <v>12392</v>
      </c>
      <c r="D715" s="9" t="str">
        <f aca="false">DEC2HEX(C715,8)</f>
        <v>00003068</v>
      </c>
      <c r="E715" s="10" t="str">
        <f aca="false">_xlfn.UNICHAR(C715)</f>
        <v>と</v>
      </c>
      <c r="F715" s="7" t="n">
        <f aca="false">C715-C714</f>
        <v>1</v>
      </c>
    </row>
    <row r="716" customFormat="false" ht="15" hidden="false" customHeight="false" outlineLevel="0" collapsed="false">
      <c r="A716" s="7" t="s">
        <v>857</v>
      </c>
      <c r="B716" s="8" t="n">
        <v>3069</v>
      </c>
      <c r="C716" s="7" t="n">
        <f aca="false">HEX2DEC(B716)</f>
        <v>12393</v>
      </c>
      <c r="D716" s="9" t="str">
        <f aca="false">DEC2HEX(C716,8)</f>
        <v>00003069</v>
      </c>
      <c r="E716" s="10" t="str">
        <f aca="false">_xlfn.UNICHAR(C716)</f>
        <v>ど</v>
      </c>
      <c r="F716" s="7" t="n">
        <f aca="false">C716-C715</f>
        <v>1</v>
      </c>
    </row>
    <row r="717" customFormat="false" ht="15" hidden="false" customHeight="false" outlineLevel="0" collapsed="false">
      <c r="A717" s="7" t="s">
        <v>858</v>
      </c>
      <c r="B717" s="8" t="s">
        <v>859</v>
      </c>
      <c r="C717" s="7" t="n">
        <f aca="false">HEX2DEC(B717)</f>
        <v>12394</v>
      </c>
      <c r="D717" s="9" t="str">
        <f aca="false">DEC2HEX(C717,8)</f>
        <v>0000306A</v>
      </c>
      <c r="E717" s="10" t="str">
        <f aca="false">_xlfn.UNICHAR(C717)</f>
        <v>な</v>
      </c>
      <c r="F717" s="7" t="n">
        <f aca="false">C717-C716</f>
        <v>1</v>
      </c>
    </row>
    <row r="718" customFormat="false" ht="15" hidden="false" customHeight="false" outlineLevel="0" collapsed="false">
      <c r="A718" s="7" t="s">
        <v>860</v>
      </c>
      <c r="B718" s="8" t="s">
        <v>861</v>
      </c>
      <c r="C718" s="7" t="n">
        <f aca="false">HEX2DEC(B718)</f>
        <v>12395</v>
      </c>
      <c r="D718" s="9" t="str">
        <f aca="false">DEC2HEX(C718,8)</f>
        <v>0000306B</v>
      </c>
      <c r="E718" s="10" t="str">
        <f aca="false">_xlfn.UNICHAR(C718)</f>
        <v>に</v>
      </c>
      <c r="F718" s="7" t="n">
        <f aca="false">C718-C717</f>
        <v>1</v>
      </c>
    </row>
    <row r="719" customFormat="false" ht="15" hidden="false" customHeight="false" outlineLevel="0" collapsed="false">
      <c r="A719" s="7" t="s">
        <v>862</v>
      </c>
      <c r="B719" s="8" t="s">
        <v>863</v>
      </c>
      <c r="C719" s="7" t="n">
        <f aca="false">HEX2DEC(B719)</f>
        <v>12396</v>
      </c>
      <c r="D719" s="9" t="str">
        <f aca="false">DEC2HEX(C719,8)</f>
        <v>0000306C</v>
      </c>
      <c r="E719" s="10" t="str">
        <f aca="false">_xlfn.UNICHAR(C719)</f>
        <v>ぬ</v>
      </c>
      <c r="F719" s="7" t="n">
        <f aca="false">C719-C718</f>
        <v>1</v>
      </c>
    </row>
    <row r="720" customFormat="false" ht="15" hidden="false" customHeight="false" outlineLevel="0" collapsed="false">
      <c r="A720" s="7" t="s">
        <v>864</v>
      </c>
      <c r="B720" s="8" t="s">
        <v>865</v>
      </c>
      <c r="C720" s="7" t="n">
        <f aca="false">HEX2DEC(B720)</f>
        <v>12397</v>
      </c>
      <c r="D720" s="9" t="str">
        <f aca="false">DEC2HEX(C720,8)</f>
        <v>0000306D</v>
      </c>
      <c r="E720" s="10" t="str">
        <f aca="false">_xlfn.UNICHAR(C720)</f>
        <v>ね</v>
      </c>
      <c r="F720" s="7" t="n">
        <f aca="false">C720-C719</f>
        <v>1</v>
      </c>
    </row>
    <row r="721" customFormat="false" ht="15" hidden="false" customHeight="false" outlineLevel="0" collapsed="false">
      <c r="A721" s="7" t="s">
        <v>866</v>
      </c>
      <c r="B721" s="8" t="s">
        <v>867</v>
      </c>
      <c r="C721" s="7" t="n">
        <f aca="false">HEX2DEC(B721)</f>
        <v>12398</v>
      </c>
      <c r="D721" s="9" t="str">
        <f aca="false">DEC2HEX(C721,8)</f>
        <v>0000306E</v>
      </c>
      <c r="E721" s="10" t="str">
        <f aca="false">_xlfn.UNICHAR(C721)</f>
        <v>の</v>
      </c>
      <c r="F721" s="7" t="n">
        <f aca="false">C721-C720</f>
        <v>1</v>
      </c>
    </row>
    <row r="722" customFormat="false" ht="15" hidden="false" customHeight="false" outlineLevel="0" collapsed="false">
      <c r="A722" s="7" t="s">
        <v>868</v>
      </c>
      <c r="B722" s="8" t="s">
        <v>869</v>
      </c>
      <c r="C722" s="7" t="n">
        <f aca="false">HEX2DEC(B722)</f>
        <v>12399</v>
      </c>
      <c r="D722" s="9" t="str">
        <f aca="false">DEC2HEX(C722,8)</f>
        <v>0000306F</v>
      </c>
      <c r="E722" s="10" t="str">
        <f aca="false">_xlfn.UNICHAR(C722)</f>
        <v>は</v>
      </c>
      <c r="F722" s="7" t="n">
        <f aca="false">C722-C721</f>
        <v>1</v>
      </c>
    </row>
    <row r="723" customFormat="false" ht="15" hidden="false" customHeight="false" outlineLevel="0" collapsed="false">
      <c r="A723" s="7" t="s">
        <v>870</v>
      </c>
      <c r="B723" s="8" t="n">
        <v>3070</v>
      </c>
      <c r="C723" s="7" t="n">
        <f aca="false">HEX2DEC(B723)</f>
        <v>12400</v>
      </c>
      <c r="D723" s="9" t="str">
        <f aca="false">DEC2HEX(C723,8)</f>
        <v>00003070</v>
      </c>
      <c r="E723" s="10" t="str">
        <f aca="false">_xlfn.UNICHAR(C723)</f>
        <v>ば</v>
      </c>
      <c r="F723" s="7" t="n">
        <f aca="false">C723-C722</f>
        <v>1</v>
      </c>
    </row>
    <row r="724" customFormat="false" ht="15" hidden="false" customHeight="false" outlineLevel="0" collapsed="false">
      <c r="A724" s="7" t="s">
        <v>871</v>
      </c>
      <c r="B724" s="8" t="n">
        <v>3071</v>
      </c>
      <c r="C724" s="7" t="n">
        <f aca="false">HEX2DEC(B724)</f>
        <v>12401</v>
      </c>
      <c r="D724" s="9" t="str">
        <f aca="false">DEC2HEX(C724,8)</f>
        <v>00003071</v>
      </c>
      <c r="E724" s="10" t="str">
        <f aca="false">_xlfn.UNICHAR(C724)</f>
        <v>ぱ</v>
      </c>
      <c r="F724" s="7" t="n">
        <f aca="false">C724-C723</f>
        <v>1</v>
      </c>
    </row>
    <row r="725" customFormat="false" ht="15" hidden="false" customHeight="false" outlineLevel="0" collapsed="false">
      <c r="A725" s="7" t="s">
        <v>872</v>
      </c>
      <c r="B725" s="8" t="n">
        <v>3072</v>
      </c>
      <c r="C725" s="7" t="n">
        <f aca="false">HEX2DEC(B725)</f>
        <v>12402</v>
      </c>
      <c r="D725" s="9" t="str">
        <f aca="false">DEC2HEX(C725,8)</f>
        <v>00003072</v>
      </c>
      <c r="E725" s="10" t="str">
        <f aca="false">_xlfn.UNICHAR(C725)</f>
        <v>ひ</v>
      </c>
      <c r="F725" s="7" t="n">
        <f aca="false">C725-C724</f>
        <v>1</v>
      </c>
    </row>
    <row r="726" customFormat="false" ht="15" hidden="false" customHeight="false" outlineLevel="0" collapsed="false">
      <c r="A726" s="7" t="s">
        <v>873</v>
      </c>
      <c r="B726" s="8" t="n">
        <v>3073</v>
      </c>
      <c r="C726" s="7" t="n">
        <f aca="false">HEX2DEC(B726)</f>
        <v>12403</v>
      </c>
      <c r="D726" s="9" t="str">
        <f aca="false">DEC2HEX(C726,8)</f>
        <v>00003073</v>
      </c>
      <c r="E726" s="10" t="str">
        <f aca="false">_xlfn.UNICHAR(C726)</f>
        <v>び</v>
      </c>
      <c r="F726" s="7" t="n">
        <f aca="false">C726-C725</f>
        <v>1</v>
      </c>
    </row>
    <row r="727" customFormat="false" ht="15" hidden="false" customHeight="false" outlineLevel="0" collapsed="false">
      <c r="A727" s="7" t="s">
        <v>874</v>
      </c>
      <c r="B727" s="8" t="n">
        <v>3074</v>
      </c>
      <c r="C727" s="7" t="n">
        <f aca="false">HEX2DEC(B727)</f>
        <v>12404</v>
      </c>
      <c r="D727" s="9" t="str">
        <f aca="false">DEC2HEX(C727,8)</f>
        <v>00003074</v>
      </c>
      <c r="E727" s="10" t="str">
        <f aca="false">_xlfn.UNICHAR(C727)</f>
        <v>ぴ</v>
      </c>
      <c r="F727" s="7" t="n">
        <f aca="false">C727-C726</f>
        <v>1</v>
      </c>
    </row>
    <row r="728" customFormat="false" ht="15" hidden="false" customHeight="false" outlineLevel="0" collapsed="false">
      <c r="A728" s="7" t="s">
        <v>875</v>
      </c>
      <c r="B728" s="8" t="n">
        <v>3075</v>
      </c>
      <c r="C728" s="7" t="n">
        <f aca="false">HEX2DEC(B728)</f>
        <v>12405</v>
      </c>
      <c r="D728" s="9" t="str">
        <f aca="false">DEC2HEX(C728,8)</f>
        <v>00003075</v>
      </c>
      <c r="E728" s="10" t="str">
        <f aca="false">_xlfn.UNICHAR(C728)</f>
        <v>ふ</v>
      </c>
      <c r="F728" s="7" t="n">
        <f aca="false">C728-C727</f>
        <v>1</v>
      </c>
    </row>
    <row r="729" customFormat="false" ht="15" hidden="false" customHeight="false" outlineLevel="0" collapsed="false">
      <c r="A729" s="7" t="s">
        <v>876</v>
      </c>
      <c r="B729" s="8" t="n">
        <v>3076</v>
      </c>
      <c r="C729" s="7" t="n">
        <f aca="false">HEX2DEC(B729)</f>
        <v>12406</v>
      </c>
      <c r="D729" s="9" t="str">
        <f aca="false">DEC2HEX(C729,8)</f>
        <v>00003076</v>
      </c>
      <c r="E729" s="10" t="str">
        <f aca="false">_xlfn.UNICHAR(C729)</f>
        <v>ぶ</v>
      </c>
      <c r="F729" s="7" t="n">
        <f aca="false">C729-C728</f>
        <v>1</v>
      </c>
    </row>
    <row r="730" customFormat="false" ht="15" hidden="false" customHeight="false" outlineLevel="0" collapsed="false">
      <c r="A730" s="7" t="s">
        <v>877</v>
      </c>
      <c r="B730" s="8" t="n">
        <v>3077</v>
      </c>
      <c r="C730" s="7" t="n">
        <f aca="false">HEX2DEC(B730)</f>
        <v>12407</v>
      </c>
      <c r="D730" s="9" t="str">
        <f aca="false">DEC2HEX(C730,8)</f>
        <v>00003077</v>
      </c>
      <c r="E730" s="10" t="str">
        <f aca="false">_xlfn.UNICHAR(C730)</f>
        <v>ぷ</v>
      </c>
      <c r="F730" s="7" t="n">
        <f aca="false">C730-C729</f>
        <v>1</v>
      </c>
    </row>
    <row r="731" customFormat="false" ht="15" hidden="false" customHeight="false" outlineLevel="0" collapsed="false">
      <c r="A731" s="7" t="s">
        <v>878</v>
      </c>
      <c r="B731" s="8" t="n">
        <v>3078</v>
      </c>
      <c r="C731" s="7" t="n">
        <f aca="false">HEX2DEC(B731)</f>
        <v>12408</v>
      </c>
      <c r="D731" s="9" t="str">
        <f aca="false">DEC2HEX(C731,8)</f>
        <v>00003078</v>
      </c>
      <c r="E731" s="10" t="str">
        <f aca="false">_xlfn.UNICHAR(C731)</f>
        <v>へ</v>
      </c>
      <c r="F731" s="7" t="n">
        <f aca="false">C731-C730</f>
        <v>1</v>
      </c>
    </row>
    <row r="732" customFormat="false" ht="15" hidden="false" customHeight="false" outlineLevel="0" collapsed="false">
      <c r="A732" s="7" t="s">
        <v>879</v>
      </c>
      <c r="B732" s="8" t="n">
        <v>3079</v>
      </c>
      <c r="C732" s="7" t="n">
        <f aca="false">HEX2DEC(B732)</f>
        <v>12409</v>
      </c>
      <c r="D732" s="9" t="str">
        <f aca="false">DEC2HEX(C732,8)</f>
        <v>00003079</v>
      </c>
      <c r="E732" s="10" t="str">
        <f aca="false">_xlfn.UNICHAR(C732)</f>
        <v>べ</v>
      </c>
      <c r="F732" s="7" t="n">
        <f aca="false">C732-C731</f>
        <v>1</v>
      </c>
    </row>
    <row r="733" customFormat="false" ht="15" hidden="false" customHeight="false" outlineLevel="0" collapsed="false">
      <c r="A733" s="7" t="s">
        <v>880</v>
      </c>
      <c r="B733" s="8" t="s">
        <v>881</v>
      </c>
      <c r="C733" s="7" t="n">
        <f aca="false">HEX2DEC(B733)</f>
        <v>12410</v>
      </c>
      <c r="D733" s="9" t="str">
        <f aca="false">DEC2HEX(C733,8)</f>
        <v>0000307A</v>
      </c>
      <c r="E733" s="10" t="str">
        <f aca="false">_xlfn.UNICHAR(C733)</f>
        <v>ぺ</v>
      </c>
      <c r="F733" s="7" t="n">
        <f aca="false">C733-C732</f>
        <v>1</v>
      </c>
    </row>
    <row r="734" customFormat="false" ht="15" hidden="false" customHeight="false" outlineLevel="0" collapsed="false">
      <c r="A734" s="7" t="s">
        <v>882</v>
      </c>
      <c r="B734" s="8" t="s">
        <v>883</v>
      </c>
      <c r="C734" s="7" t="n">
        <f aca="false">HEX2DEC(B734)</f>
        <v>12411</v>
      </c>
      <c r="D734" s="9" t="str">
        <f aca="false">DEC2HEX(C734,8)</f>
        <v>0000307B</v>
      </c>
      <c r="E734" s="10" t="str">
        <f aca="false">_xlfn.UNICHAR(C734)</f>
        <v>ほ</v>
      </c>
      <c r="F734" s="7" t="n">
        <f aca="false">C734-C733</f>
        <v>1</v>
      </c>
    </row>
    <row r="735" customFormat="false" ht="15" hidden="false" customHeight="false" outlineLevel="0" collapsed="false">
      <c r="A735" s="7" t="s">
        <v>884</v>
      </c>
      <c r="B735" s="8" t="s">
        <v>885</v>
      </c>
      <c r="C735" s="7" t="n">
        <f aca="false">HEX2DEC(B735)</f>
        <v>12412</v>
      </c>
      <c r="D735" s="9" t="str">
        <f aca="false">DEC2HEX(C735,8)</f>
        <v>0000307C</v>
      </c>
      <c r="E735" s="10" t="str">
        <f aca="false">_xlfn.UNICHAR(C735)</f>
        <v>ぼ</v>
      </c>
      <c r="F735" s="7" t="n">
        <f aca="false">C735-C734</f>
        <v>1</v>
      </c>
    </row>
    <row r="736" customFormat="false" ht="15" hidden="false" customHeight="false" outlineLevel="0" collapsed="false">
      <c r="A736" s="7" t="s">
        <v>886</v>
      </c>
      <c r="B736" s="8" t="s">
        <v>887</v>
      </c>
      <c r="C736" s="7" t="n">
        <f aca="false">HEX2DEC(B736)</f>
        <v>12413</v>
      </c>
      <c r="D736" s="9" t="str">
        <f aca="false">DEC2HEX(C736,8)</f>
        <v>0000307D</v>
      </c>
      <c r="E736" s="10" t="str">
        <f aca="false">_xlfn.UNICHAR(C736)</f>
        <v>ぽ</v>
      </c>
      <c r="F736" s="7" t="n">
        <f aca="false">C736-C735</f>
        <v>1</v>
      </c>
    </row>
    <row r="737" customFormat="false" ht="15" hidden="false" customHeight="false" outlineLevel="0" collapsed="false">
      <c r="A737" s="7" t="s">
        <v>888</v>
      </c>
      <c r="B737" s="8" t="s">
        <v>889</v>
      </c>
      <c r="C737" s="7" t="n">
        <f aca="false">HEX2DEC(B737)</f>
        <v>12414</v>
      </c>
      <c r="D737" s="9" t="str">
        <f aca="false">DEC2HEX(C737,8)</f>
        <v>0000307E</v>
      </c>
      <c r="E737" s="10" t="str">
        <f aca="false">_xlfn.UNICHAR(C737)</f>
        <v>ま</v>
      </c>
      <c r="F737" s="7" t="n">
        <f aca="false">C737-C736</f>
        <v>1</v>
      </c>
    </row>
    <row r="738" customFormat="false" ht="15" hidden="false" customHeight="false" outlineLevel="0" collapsed="false">
      <c r="A738" s="7" t="s">
        <v>890</v>
      </c>
      <c r="B738" s="8" t="s">
        <v>891</v>
      </c>
      <c r="C738" s="7" t="n">
        <f aca="false">HEX2DEC(B738)</f>
        <v>12415</v>
      </c>
      <c r="D738" s="9" t="str">
        <f aca="false">DEC2HEX(C738,8)</f>
        <v>0000307F</v>
      </c>
      <c r="E738" s="10" t="str">
        <f aca="false">_xlfn.UNICHAR(C738)</f>
        <v>み</v>
      </c>
      <c r="F738" s="7" t="n">
        <f aca="false">C738-C737</f>
        <v>1</v>
      </c>
    </row>
    <row r="739" customFormat="false" ht="15" hidden="false" customHeight="false" outlineLevel="0" collapsed="false">
      <c r="A739" s="7" t="s">
        <v>892</v>
      </c>
      <c r="B739" s="8" t="n">
        <v>3080</v>
      </c>
      <c r="C739" s="7" t="n">
        <f aca="false">HEX2DEC(B739)</f>
        <v>12416</v>
      </c>
      <c r="D739" s="9" t="str">
        <f aca="false">DEC2HEX(C739,8)</f>
        <v>00003080</v>
      </c>
      <c r="E739" s="10" t="str">
        <f aca="false">_xlfn.UNICHAR(C739)</f>
        <v>む</v>
      </c>
      <c r="F739" s="7" t="n">
        <f aca="false">C739-C738</f>
        <v>1</v>
      </c>
    </row>
    <row r="740" customFormat="false" ht="15" hidden="false" customHeight="false" outlineLevel="0" collapsed="false">
      <c r="A740" s="7" t="s">
        <v>893</v>
      </c>
      <c r="B740" s="8" t="n">
        <v>3081</v>
      </c>
      <c r="C740" s="7" t="n">
        <f aca="false">HEX2DEC(B740)</f>
        <v>12417</v>
      </c>
      <c r="D740" s="9" t="str">
        <f aca="false">DEC2HEX(C740,8)</f>
        <v>00003081</v>
      </c>
      <c r="E740" s="10" t="str">
        <f aca="false">_xlfn.UNICHAR(C740)</f>
        <v>め</v>
      </c>
      <c r="F740" s="7" t="n">
        <f aca="false">C740-C739</f>
        <v>1</v>
      </c>
    </row>
    <row r="741" customFormat="false" ht="15" hidden="false" customHeight="false" outlineLevel="0" collapsed="false">
      <c r="A741" s="7" t="s">
        <v>894</v>
      </c>
      <c r="B741" s="8" t="n">
        <v>3082</v>
      </c>
      <c r="C741" s="7" t="n">
        <f aca="false">HEX2DEC(B741)</f>
        <v>12418</v>
      </c>
      <c r="D741" s="9" t="str">
        <f aca="false">DEC2HEX(C741,8)</f>
        <v>00003082</v>
      </c>
      <c r="E741" s="10" t="str">
        <f aca="false">_xlfn.UNICHAR(C741)</f>
        <v>も</v>
      </c>
      <c r="F741" s="7" t="n">
        <f aca="false">C741-C740</f>
        <v>1</v>
      </c>
    </row>
    <row r="742" customFormat="false" ht="15" hidden="false" customHeight="false" outlineLevel="0" collapsed="false">
      <c r="A742" s="7" t="s">
        <v>895</v>
      </c>
      <c r="B742" s="8" t="n">
        <v>3083</v>
      </c>
      <c r="C742" s="7" t="n">
        <f aca="false">HEX2DEC(B742)</f>
        <v>12419</v>
      </c>
      <c r="D742" s="9" t="str">
        <f aca="false">DEC2HEX(C742,8)</f>
        <v>00003083</v>
      </c>
      <c r="E742" s="10" t="str">
        <f aca="false">_xlfn.UNICHAR(C742)</f>
        <v>ゃ</v>
      </c>
      <c r="F742" s="7" t="n">
        <f aca="false">C742-C741</f>
        <v>1</v>
      </c>
    </row>
    <row r="743" customFormat="false" ht="15" hidden="false" customHeight="false" outlineLevel="0" collapsed="false">
      <c r="A743" s="7" t="s">
        <v>896</v>
      </c>
      <c r="B743" s="8" t="n">
        <v>3084</v>
      </c>
      <c r="C743" s="7" t="n">
        <f aca="false">HEX2DEC(B743)</f>
        <v>12420</v>
      </c>
      <c r="D743" s="9" t="str">
        <f aca="false">DEC2HEX(C743,8)</f>
        <v>00003084</v>
      </c>
      <c r="E743" s="10" t="str">
        <f aca="false">_xlfn.UNICHAR(C743)</f>
        <v>や</v>
      </c>
      <c r="F743" s="7" t="n">
        <f aca="false">C743-C742</f>
        <v>1</v>
      </c>
    </row>
    <row r="744" customFormat="false" ht="15" hidden="false" customHeight="false" outlineLevel="0" collapsed="false">
      <c r="A744" s="7" t="s">
        <v>897</v>
      </c>
      <c r="B744" s="8" t="n">
        <v>3085</v>
      </c>
      <c r="C744" s="7" t="n">
        <f aca="false">HEX2DEC(B744)</f>
        <v>12421</v>
      </c>
      <c r="D744" s="9" t="str">
        <f aca="false">DEC2HEX(C744,8)</f>
        <v>00003085</v>
      </c>
      <c r="E744" s="10" t="str">
        <f aca="false">_xlfn.UNICHAR(C744)</f>
        <v>ゅ</v>
      </c>
      <c r="F744" s="7" t="n">
        <f aca="false">C744-C743</f>
        <v>1</v>
      </c>
    </row>
    <row r="745" customFormat="false" ht="15" hidden="false" customHeight="false" outlineLevel="0" collapsed="false">
      <c r="A745" s="7" t="s">
        <v>898</v>
      </c>
      <c r="B745" s="8" t="n">
        <v>3086</v>
      </c>
      <c r="C745" s="7" t="n">
        <f aca="false">HEX2DEC(B745)</f>
        <v>12422</v>
      </c>
      <c r="D745" s="9" t="str">
        <f aca="false">DEC2HEX(C745,8)</f>
        <v>00003086</v>
      </c>
      <c r="E745" s="10" t="str">
        <f aca="false">_xlfn.UNICHAR(C745)</f>
        <v>ゆ</v>
      </c>
      <c r="F745" s="7" t="n">
        <f aca="false">C745-C744</f>
        <v>1</v>
      </c>
    </row>
    <row r="746" customFormat="false" ht="15" hidden="false" customHeight="false" outlineLevel="0" collapsed="false">
      <c r="A746" s="7" t="s">
        <v>899</v>
      </c>
      <c r="B746" s="8" t="n">
        <v>3087</v>
      </c>
      <c r="C746" s="7" t="n">
        <f aca="false">HEX2DEC(B746)</f>
        <v>12423</v>
      </c>
      <c r="D746" s="9" t="str">
        <f aca="false">DEC2HEX(C746,8)</f>
        <v>00003087</v>
      </c>
      <c r="E746" s="10" t="str">
        <f aca="false">_xlfn.UNICHAR(C746)</f>
        <v>ょ</v>
      </c>
      <c r="F746" s="7" t="n">
        <f aca="false">C746-C745</f>
        <v>1</v>
      </c>
    </row>
    <row r="747" customFormat="false" ht="15" hidden="false" customHeight="false" outlineLevel="0" collapsed="false">
      <c r="A747" s="7" t="s">
        <v>900</v>
      </c>
      <c r="B747" s="8" t="n">
        <v>3088</v>
      </c>
      <c r="C747" s="7" t="n">
        <f aca="false">HEX2DEC(B747)</f>
        <v>12424</v>
      </c>
      <c r="D747" s="9" t="str">
        <f aca="false">DEC2HEX(C747,8)</f>
        <v>00003088</v>
      </c>
      <c r="E747" s="10" t="str">
        <f aca="false">_xlfn.UNICHAR(C747)</f>
        <v>よ</v>
      </c>
      <c r="F747" s="7" t="n">
        <f aca="false">C747-C746</f>
        <v>1</v>
      </c>
    </row>
    <row r="748" customFormat="false" ht="15" hidden="false" customHeight="false" outlineLevel="0" collapsed="false">
      <c r="A748" s="7" t="s">
        <v>901</v>
      </c>
      <c r="B748" s="8" t="n">
        <v>3089</v>
      </c>
      <c r="C748" s="7" t="n">
        <f aca="false">HEX2DEC(B748)</f>
        <v>12425</v>
      </c>
      <c r="D748" s="9" t="str">
        <f aca="false">DEC2HEX(C748,8)</f>
        <v>00003089</v>
      </c>
      <c r="E748" s="10" t="str">
        <f aca="false">_xlfn.UNICHAR(C748)</f>
        <v>ら</v>
      </c>
      <c r="F748" s="7" t="n">
        <f aca="false">C748-C747</f>
        <v>1</v>
      </c>
    </row>
    <row r="749" customFormat="false" ht="15" hidden="false" customHeight="false" outlineLevel="0" collapsed="false">
      <c r="A749" s="7" t="s">
        <v>902</v>
      </c>
      <c r="B749" s="8" t="s">
        <v>903</v>
      </c>
      <c r="C749" s="7" t="n">
        <f aca="false">HEX2DEC(B749)</f>
        <v>12426</v>
      </c>
      <c r="D749" s="9" t="str">
        <f aca="false">DEC2HEX(C749,8)</f>
        <v>0000308A</v>
      </c>
      <c r="E749" s="10" t="str">
        <f aca="false">_xlfn.UNICHAR(C749)</f>
        <v>り</v>
      </c>
      <c r="F749" s="7" t="n">
        <f aca="false">C749-C748</f>
        <v>1</v>
      </c>
    </row>
    <row r="750" customFormat="false" ht="15" hidden="false" customHeight="false" outlineLevel="0" collapsed="false">
      <c r="A750" s="7" t="s">
        <v>904</v>
      </c>
      <c r="B750" s="8" t="s">
        <v>905</v>
      </c>
      <c r="C750" s="7" t="n">
        <f aca="false">HEX2DEC(B750)</f>
        <v>12427</v>
      </c>
      <c r="D750" s="9" t="str">
        <f aca="false">DEC2HEX(C750,8)</f>
        <v>0000308B</v>
      </c>
      <c r="E750" s="10" t="str">
        <f aca="false">_xlfn.UNICHAR(C750)</f>
        <v>る</v>
      </c>
      <c r="F750" s="7" t="n">
        <f aca="false">C750-C749</f>
        <v>1</v>
      </c>
    </row>
    <row r="751" customFormat="false" ht="15" hidden="false" customHeight="false" outlineLevel="0" collapsed="false">
      <c r="A751" s="7" t="s">
        <v>906</v>
      </c>
      <c r="B751" s="8" t="s">
        <v>907</v>
      </c>
      <c r="C751" s="7" t="n">
        <f aca="false">HEX2DEC(B751)</f>
        <v>12428</v>
      </c>
      <c r="D751" s="9" t="str">
        <f aca="false">DEC2HEX(C751,8)</f>
        <v>0000308C</v>
      </c>
      <c r="E751" s="10" t="str">
        <f aca="false">_xlfn.UNICHAR(C751)</f>
        <v>れ</v>
      </c>
      <c r="F751" s="7" t="n">
        <f aca="false">C751-C750</f>
        <v>1</v>
      </c>
    </row>
    <row r="752" customFormat="false" ht="15" hidden="false" customHeight="false" outlineLevel="0" collapsed="false">
      <c r="A752" s="7" t="s">
        <v>908</v>
      </c>
      <c r="B752" s="8" t="s">
        <v>909</v>
      </c>
      <c r="C752" s="7" t="n">
        <f aca="false">HEX2DEC(B752)</f>
        <v>12429</v>
      </c>
      <c r="D752" s="9" t="str">
        <f aca="false">DEC2HEX(C752,8)</f>
        <v>0000308D</v>
      </c>
      <c r="E752" s="10" t="str">
        <f aca="false">_xlfn.UNICHAR(C752)</f>
        <v>ろ</v>
      </c>
      <c r="F752" s="7" t="n">
        <f aca="false">C752-C751</f>
        <v>1</v>
      </c>
    </row>
    <row r="753" customFormat="false" ht="15" hidden="false" customHeight="false" outlineLevel="0" collapsed="false">
      <c r="A753" s="7" t="s">
        <v>910</v>
      </c>
      <c r="B753" s="8" t="s">
        <v>911</v>
      </c>
      <c r="C753" s="7" t="n">
        <f aca="false">HEX2DEC(B753)</f>
        <v>12430</v>
      </c>
      <c r="D753" s="9" t="str">
        <f aca="false">DEC2HEX(C753,8)</f>
        <v>0000308E</v>
      </c>
      <c r="E753" s="10" t="str">
        <f aca="false">_xlfn.UNICHAR(C753)</f>
        <v>ゎ</v>
      </c>
      <c r="F753" s="7" t="n">
        <f aca="false">C753-C752</f>
        <v>1</v>
      </c>
    </row>
    <row r="754" customFormat="false" ht="15" hidden="false" customHeight="false" outlineLevel="0" collapsed="false">
      <c r="A754" s="7" t="s">
        <v>912</v>
      </c>
      <c r="B754" s="8" t="s">
        <v>913</v>
      </c>
      <c r="C754" s="7" t="n">
        <f aca="false">HEX2DEC(B754)</f>
        <v>12431</v>
      </c>
      <c r="D754" s="9" t="str">
        <f aca="false">DEC2HEX(C754,8)</f>
        <v>0000308F</v>
      </c>
      <c r="E754" s="10" t="str">
        <f aca="false">_xlfn.UNICHAR(C754)</f>
        <v>わ</v>
      </c>
      <c r="F754" s="7" t="n">
        <f aca="false">C754-C753</f>
        <v>1</v>
      </c>
    </row>
    <row r="755" customFormat="false" ht="15" hidden="false" customHeight="false" outlineLevel="0" collapsed="false">
      <c r="A755" s="7" t="s">
        <v>914</v>
      </c>
      <c r="B755" s="8" t="n">
        <v>3090</v>
      </c>
      <c r="C755" s="7" t="n">
        <f aca="false">HEX2DEC(B755)</f>
        <v>12432</v>
      </c>
      <c r="D755" s="9" t="str">
        <f aca="false">DEC2HEX(C755,8)</f>
        <v>00003090</v>
      </c>
      <c r="E755" s="10" t="str">
        <f aca="false">_xlfn.UNICHAR(C755)</f>
        <v>ゐ</v>
      </c>
      <c r="F755" s="7" t="n">
        <f aca="false">C755-C754</f>
        <v>1</v>
      </c>
    </row>
    <row r="756" customFormat="false" ht="15" hidden="false" customHeight="false" outlineLevel="0" collapsed="false">
      <c r="A756" s="7" t="s">
        <v>915</v>
      </c>
      <c r="B756" s="8" t="n">
        <v>3091</v>
      </c>
      <c r="C756" s="7" t="n">
        <f aca="false">HEX2DEC(B756)</f>
        <v>12433</v>
      </c>
      <c r="D756" s="9" t="str">
        <f aca="false">DEC2HEX(C756,8)</f>
        <v>00003091</v>
      </c>
      <c r="E756" s="10" t="str">
        <f aca="false">_xlfn.UNICHAR(C756)</f>
        <v>ゑ</v>
      </c>
      <c r="F756" s="7" t="n">
        <f aca="false">C756-C755</f>
        <v>1</v>
      </c>
    </row>
    <row r="757" customFormat="false" ht="15" hidden="false" customHeight="false" outlineLevel="0" collapsed="false">
      <c r="A757" s="7" t="s">
        <v>916</v>
      </c>
      <c r="B757" s="8" t="n">
        <v>3092</v>
      </c>
      <c r="C757" s="7" t="n">
        <f aca="false">HEX2DEC(B757)</f>
        <v>12434</v>
      </c>
      <c r="D757" s="9" t="str">
        <f aca="false">DEC2HEX(C757,8)</f>
        <v>00003092</v>
      </c>
      <c r="E757" s="10" t="str">
        <f aca="false">_xlfn.UNICHAR(C757)</f>
        <v>を</v>
      </c>
      <c r="F757" s="7" t="n">
        <f aca="false">C757-C756</f>
        <v>1</v>
      </c>
    </row>
    <row r="758" customFormat="false" ht="15" hidden="false" customHeight="false" outlineLevel="0" collapsed="false">
      <c r="A758" s="7" t="s">
        <v>917</v>
      </c>
      <c r="B758" s="8" t="n">
        <v>3093</v>
      </c>
      <c r="C758" s="7" t="n">
        <f aca="false">HEX2DEC(B758)</f>
        <v>12435</v>
      </c>
      <c r="D758" s="9" t="str">
        <f aca="false">DEC2HEX(C758,8)</f>
        <v>00003093</v>
      </c>
      <c r="E758" s="10" t="str">
        <f aca="false">_xlfn.UNICHAR(C758)</f>
        <v>ん</v>
      </c>
      <c r="F758" s="7" t="n">
        <f aca="false">C758-C757</f>
        <v>1</v>
      </c>
    </row>
    <row r="759" customFormat="false" ht="15" hidden="false" customHeight="false" outlineLevel="0" collapsed="false">
      <c r="A759" s="7" t="s">
        <v>918</v>
      </c>
      <c r="B759" s="8" t="n">
        <v>3094</v>
      </c>
      <c r="C759" s="7" t="n">
        <f aca="false">HEX2DEC(B759)</f>
        <v>12436</v>
      </c>
      <c r="D759" s="9" t="str">
        <f aca="false">DEC2HEX(C759,8)</f>
        <v>00003094</v>
      </c>
      <c r="E759" s="10" t="str">
        <f aca="false">_xlfn.UNICHAR(C759)</f>
        <v>ゔ</v>
      </c>
      <c r="F759" s="7" t="n">
        <f aca="false">C759-C758</f>
        <v>1</v>
      </c>
    </row>
    <row r="760" customFormat="false" ht="15" hidden="false" customHeight="false" outlineLevel="0" collapsed="false">
      <c r="A760" s="7" t="s">
        <v>919</v>
      </c>
      <c r="B760" s="8" t="n">
        <v>3095</v>
      </c>
      <c r="C760" s="7" t="n">
        <f aca="false">HEX2DEC(B760)</f>
        <v>12437</v>
      </c>
      <c r="D760" s="9" t="str">
        <f aca="false">DEC2HEX(C760,8)</f>
        <v>00003095</v>
      </c>
      <c r="E760" s="10" t="str">
        <f aca="false">_xlfn.UNICHAR(C760)</f>
        <v>ゕ</v>
      </c>
      <c r="F760" s="7" t="n">
        <f aca="false">C760-C759</f>
        <v>1</v>
      </c>
    </row>
    <row r="761" customFormat="false" ht="15" hidden="false" customHeight="false" outlineLevel="0" collapsed="false">
      <c r="A761" s="7" t="s">
        <v>920</v>
      </c>
      <c r="B761" s="8" t="n">
        <v>3096</v>
      </c>
      <c r="C761" s="7" t="n">
        <f aca="false">HEX2DEC(B761)</f>
        <v>12438</v>
      </c>
      <c r="D761" s="9" t="str">
        <f aca="false">DEC2HEX(C761,8)</f>
        <v>00003096</v>
      </c>
      <c r="E761" s="10" t="str">
        <f aca="false">_xlfn.UNICHAR(C761)</f>
        <v>ゖ</v>
      </c>
      <c r="F761" s="7" t="n">
        <f aca="false">C761-C760</f>
        <v>1</v>
      </c>
    </row>
    <row r="762" customFormat="false" ht="15" hidden="false" customHeight="false" outlineLevel="0" collapsed="false">
      <c r="A762" s="7" t="s">
        <v>921</v>
      </c>
      <c r="B762" s="8" t="n">
        <v>3099</v>
      </c>
      <c r="C762" s="7" t="n">
        <f aca="false">HEX2DEC(B762)</f>
        <v>12441</v>
      </c>
      <c r="D762" s="9" t="str">
        <f aca="false">DEC2HEX(C762,8)</f>
        <v>00003099</v>
      </c>
      <c r="E762" s="10" t="str">
        <f aca="false">_xlfn.UNICHAR(C762)</f>
        <v>゙</v>
      </c>
      <c r="F762" s="7" t="n">
        <f aca="false">C762-C761</f>
        <v>3</v>
      </c>
    </row>
    <row r="763" customFormat="false" ht="15" hidden="false" customHeight="false" outlineLevel="0" collapsed="false">
      <c r="A763" s="7" t="s">
        <v>922</v>
      </c>
      <c r="B763" s="8" t="s">
        <v>923</v>
      </c>
      <c r="C763" s="7" t="n">
        <f aca="false">HEX2DEC(B763)</f>
        <v>12442</v>
      </c>
      <c r="D763" s="9" t="str">
        <f aca="false">DEC2HEX(C763,8)</f>
        <v>0000309A</v>
      </c>
      <c r="E763" s="10" t="str">
        <f aca="false">_xlfn.UNICHAR(C763)</f>
        <v>゚</v>
      </c>
      <c r="F763" s="7" t="n">
        <f aca="false">C763-C762</f>
        <v>1</v>
      </c>
    </row>
    <row r="764" customFormat="false" ht="15" hidden="false" customHeight="false" outlineLevel="0" collapsed="false">
      <c r="A764" s="7" t="s">
        <v>924</v>
      </c>
      <c r="B764" s="8" t="s">
        <v>925</v>
      </c>
      <c r="C764" s="7" t="n">
        <f aca="false">HEX2DEC(B764)</f>
        <v>12443</v>
      </c>
      <c r="D764" s="9" t="str">
        <f aca="false">DEC2HEX(C764,8)</f>
        <v>0000309B</v>
      </c>
      <c r="E764" s="10" t="str">
        <f aca="false">_xlfn.UNICHAR(C764)</f>
        <v>゛</v>
      </c>
      <c r="F764" s="7" t="n">
        <f aca="false">C764-C763</f>
        <v>1</v>
      </c>
    </row>
    <row r="765" customFormat="false" ht="15" hidden="false" customHeight="false" outlineLevel="0" collapsed="false">
      <c r="A765" s="7" t="s">
        <v>926</v>
      </c>
      <c r="B765" s="8" t="s">
        <v>927</v>
      </c>
      <c r="C765" s="7" t="n">
        <f aca="false">HEX2DEC(B765)</f>
        <v>12444</v>
      </c>
      <c r="D765" s="9" t="str">
        <f aca="false">DEC2HEX(C765,8)</f>
        <v>0000309C</v>
      </c>
      <c r="E765" s="10" t="str">
        <f aca="false">_xlfn.UNICHAR(C765)</f>
        <v>゜</v>
      </c>
      <c r="F765" s="7" t="n">
        <f aca="false">C765-C764</f>
        <v>1</v>
      </c>
    </row>
    <row r="766" customFormat="false" ht="15" hidden="false" customHeight="false" outlineLevel="0" collapsed="false">
      <c r="A766" s="7" t="s">
        <v>928</v>
      </c>
      <c r="B766" s="8" t="s">
        <v>929</v>
      </c>
      <c r="C766" s="7" t="n">
        <f aca="false">HEX2DEC(B766)</f>
        <v>12445</v>
      </c>
      <c r="D766" s="9" t="str">
        <f aca="false">DEC2HEX(C766,8)</f>
        <v>0000309D</v>
      </c>
      <c r="E766" s="10" t="str">
        <f aca="false">_xlfn.UNICHAR(C766)</f>
        <v>ゝ</v>
      </c>
      <c r="F766" s="7" t="n">
        <f aca="false">C766-C765</f>
        <v>1</v>
      </c>
    </row>
    <row r="767" customFormat="false" ht="15" hidden="false" customHeight="false" outlineLevel="0" collapsed="false">
      <c r="A767" s="7" t="s">
        <v>930</v>
      </c>
      <c r="B767" s="8" t="s">
        <v>931</v>
      </c>
      <c r="C767" s="7" t="n">
        <f aca="false">HEX2DEC(B767)</f>
        <v>12446</v>
      </c>
      <c r="D767" s="9" t="str">
        <f aca="false">DEC2HEX(C767,8)</f>
        <v>0000309E</v>
      </c>
      <c r="E767" s="10" t="str">
        <f aca="false">_xlfn.UNICHAR(C767)</f>
        <v>ゞ</v>
      </c>
      <c r="F767" s="7" t="n">
        <f aca="false">C767-C766</f>
        <v>1</v>
      </c>
    </row>
    <row r="768" customFormat="false" ht="15" hidden="false" customHeight="false" outlineLevel="0" collapsed="false">
      <c r="A768" s="7" t="s">
        <v>932</v>
      </c>
      <c r="B768" s="8" t="s">
        <v>933</v>
      </c>
      <c r="C768" s="7" t="n">
        <f aca="false">HEX2DEC(B768)</f>
        <v>12447</v>
      </c>
      <c r="D768" s="9" t="str">
        <f aca="false">DEC2HEX(C768,8)</f>
        <v>0000309F</v>
      </c>
      <c r="E768" s="10" t="str">
        <f aca="false">_xlfn.UNICHAR(C768)</f>
        <v>ゟ</v>
      </c>
      <c r="F768" s="7" t="n">
        <f aca="false">C768-C767</f>
        <v>1</v>
      </c>
    </row>
    <row r="769" customFormat="false" ht="15" hidden="false" customHeight="false" outlineLevel="0" collapsed="false">
      <c r="A769" s="7" t="s">
        <v>934</v>
      </c>
      <c r="B769" s="8" t="s">
        <v>935</v>
      </c>
      <c r="C769" s="7" t="n">
        <f aca="false">HEX2DEC(B769)</f>
        <v>12539</v>
      </c>
      <c r="D769" s="9" t="str">
        <f aca="false">DEC2HEX(C769,8)</f>
        <v>000030FB</v>
      </c>
      <c r="E769" s="10" t="str">
        <f aca="false">_xlfn.UNICHAR(C769)</f>
        <v>・</v>
      </c>
      <c r="F769" s="7" t="n">
        <f aca="false">C769-C768</f>
        <v>92</v>
      </c>
    </row>
    <row r="770" customFormat="false" ht="15" hidden="false" customHeight="false" outlineLevel="0" collapsed="false">
      <c r="A770" s="7" t="s">
        <v>936</v>
      </c>
      <c r="B770" s="8" t="s">
        <v>937</v>
      </c>
      <c r="C770" s="7" t="n">
        <f aca="false">HEX2DEC(B770)</f>
        <v>12540</v>
      </c>
      <c r="D770" s="9" t="str">
        <f aca="false">DEC2HEX(C770,8)</f>
        <v>000030FC</v>
      </c>
      <c r="E770" s="10" t="str">
        <f aca="false">_xlfn.UNICHAR(C770)</f>
        <v>ー</v>
      </c>
      <c r="F770" s="7" t="n">
        <f aca="false">C770-C769</f>
        <v>1</v>
      </c>
    </row>
    <row r="771" customFormat="false" ht="15" hidden="false" customHeight="false" outlineLevel="0" collapsed="false">
      <c r="A771" s="12" t="s">
        <v>938</v>
      </c>
      <c r="B771" s="15" t="s">
        <v>939</v>
      </c>
      <c r="C771" s="1" t="n">
        <f aca="false">HEX2DEC(B771)</f>
        <v>20013</v>
      </c>
      <c r="D771" s="9" t="str">
        <f aca="false">DEC2HEX(C771,8)</f>
        <v>00004E2D</v>
      </c>
      <c r="E771" s="10" t="str">
        <f aca="false">_xlfn.UNICHAR(C771)</f>
        <v>中</v>
      </c>
      <c r="F771" s="1" t="n">
        <f aca="false">C771-C770</f>
        <v>7473</v>
      </c>
      <c r="G771" s="7" t="s">
        <v>940</v>
      </c>
    </row>
    <row r="772" customFormat="false" ht="15" hidden="false" customHeight="false" outlineLevel="0" collapsed="false">
      <c r="A772" s="12" t="s">
        <v>941</v>
      </c>
      <c r="B772" s="15" t="s">
        <v>942</v>
      </c>
      <c r="C772" s="1" t="n">
        <f aca="false">HEX2DEC(B772)</f>
        <v>24319</v>
      </c>
      <c r="D772" s="9" t="str">
        <f aca="false">DEC2HEX(C772,8)</f>
        <v>00005EFF</v>
      </c>
      <c r="E772" s="10" t="str">
        <f aca="false">_xlfn.UNICHAR(C772)</f>
        <v>廿</v>
      </c>
      <c r="F772" s="1" t="n">
        <f aca="false">C772-C771</f>
        <v>4306</v>
      </c>
      <c r="G772" s="7" t="s">
        <v>943</v>
      </c>
    </row>
    <row r="773" customFormat="false" ht="15" hidden="false" customHeight="false" outlineLevel="0" collapsed="false">
      <c r="A773" s="12" t="s">
        <v>944</v>
      </c>
      <c r="B773" s="15" t="s">
        <v>945</v>
      </c>
      <c r="C773" s="1" t="n">
        <f aca="false">HEX2DEC(B773)</f>
        <v>38627</v>
      </c>
      <c r="D773" s="9" t="str">
        <f aca="false">DEC2HEX(C773,8)</f>
        <v>000096E3</v>
      </c>
      <c r="E773" s="10" t="str">
        <f aca="false">_xlfn.UNICHAR(C773)</f>
        <v>難</v>
      </c>
      <c r="F773" s="1" t="n">
        <f aca="false">C773-C772</f>
        <v>14308</v>
      </c>
      <c r="G773" s="7" t="s">
        <v>946</v>
      </c>
    </row>
    <row r="774" customFormat="false" ht="15" hidden="false" customHeight="false" outlineLevel="0" collapsed="false">
      <c r="A774" s="1" t="s">
        <v>947</v>
      </c>
      <c r="B774" s="11" t="str">
        <f aca="false">DEC2HEX(C773+HEX2DEC(10000))</f>
        <v>1F600</v>
      </c>
      <c r="C774" s="1" t="n">
        <v>62976</v>
      </c>
      <c r="D774" s="9" t="str">
        <f aca="false">DEC2HEX(C774,8)</f>
        <v>0000F600</v>
      </c>
      <c r="E774" s="10" t="str">
        <f aca="false">_xlfn.UNICHAR(HEX2DEC(B774))</f>
        <v>😀</v>
      </c>
      <c r="F774" s="1" t="n">
        <f aca="false">C774-C773</f>
        <v/>
      </c>
    </row>
    <row r="775" customFormat="false" ht="15" hidden="false" customHeight="false" outlineLevel="0" collapsed="false">
      <c r="A775" s="1" t="s">
        <v>948</v>
      </c>
      <c r="B775" s="11" t="str">
        <f aca="false">DEC2HEX(C774+HEX2DEC(10000))</f>
        <v>1F601</v>
      </c>
      <c r="C775" s="1" t="n">
        <v>62977</v>
      </c>
      <c r="D775" s="9" t="str">
        <f aca="false">DEC2HEX(C775,8)</f>
        <v>0000F601</v>
      </c>
      <c r="E775" s="10" t="str">
        <f aca="false">_xlfn.UNICHAR(HEX2DEC(B775))</f>
        <v>😁</v>
      </c>
      <c r="F775" s="1" t="n">
        <f aca="false">C775-C774</f>
        <v/>
      </c>
    </row>
    <row r="776" customFormat="false" ht="15" hidden="false" customHeight="false" outlineLevel="0" collapsed="false">
      <c r="A776" s="1" t="s">
        <v>949</v>
      </c>
      <c r="B776" s="11" t="str">
        <f aca="false">DEC2HEX(C775+HEX2DEC(10000))</f>
        <v>1F602</v>
      </c>
      <c r="C776" s="1" t="n">
        <v>62978</v>
      </c>
      <c r="D776" s="9" t="str">
        <f aca="false">DEC2HEX(C776,8)</f>
        <v>0000F602</v>
      </c>
      <c r="E776" s="10" t="str">
        <f aca="false">_xlfn.UNICHAR(HEX2DEC(B776))</f>
        <v>😂</v>
      </c>
      <c r="F776" s="1" t="n">
        <f aca="false">C776-C775</f>
        <v/>
      </c>
    </row>
    <row r="777" customFormat="false" ht="15" hidden="false" customHeight="false" outlineLevel="0" collapsed="false">
      <c r="A777" s="1" t="s">
        <v>950</v>
      </c>
      <c r="B777" s="11" t="str">
        <f aca="false">DEC2HEX(C776+HEX2DEC(10000))</f>
        <v>1F603</v>
      </c>
      <c r="C777" s="1" t="n">
        <v>62979</v>
      </c>
      <c r="D777" s="9" t="str">
        <f aca="false">DEC2HEX(C777,8)</f>
        <v>0000F603</v>
      </c>
      <c r="E777" s="10" t="str">
        <f aca="false">_xlfn.UNICHAR(HEX2DEC(B777))</f>
        <v>😃</v>
      </c>
      <c r="F777" s="1" t="n">
        <f aca="false">C777-C776</f>
        <v/>
      </c>
    </row>
    <row r="778" customFormat="false" ht="15" hidden="false" customHeight="false" outlineLevel="0" collapsed="false">
      <c r="A778" s="1" t="s">
        <v>951</v>
      </c>
      <c r="B778" s="11" t="str">
        <f aca="false">DEC2HEX(C777+HEX2DEC(10000))</f>
        <v>1F604</v>
      </c>
      <c r="C778" s="1" t="n">
        <v>62980</v>
      </c>
      <c r="D778" s="9" t="str">
        <f aca="false">DEC2HEX(C778,8)</f>
        <v>0000F604</v>
      </c>
      <c r="E778" s="10" t="str">
        <f aca="false">_xlfn.UNICHAR(HEX2DEC(B778))</f>
        <v>😄</v>
      </c>
      <c r="F778" s="1" t="n">
        <f aca="false">C778-C777</f>
        <v/>
      </c>
    </row>
    <row r="779" customFormat="false" ht="15" hidden="false" customHeight="false" outlineLevel="0" collapsed="false">
      <c r="A779" s="1" t="s">
        <v>952</v>
      </c>
      <c r="B779" s="11" t="str">
        <f aca="false">DEC2HEX(C778+HEX2DEC(10000))</f>
        <v>1F605</v>
      </c>
      <c r="C779" s="1" t="n">
        <v>62981</v>
      </c>
      <c r="D779" s="9" t="str">
        <f aca="false">DEC2HEX(C779,8)</f>
        <v>0000F605</v>
      </c>
      <c r="E779" s="10" t="str">
        <f aca="false">_xlfn.UNICHAR(HEX2DEC(B779))</f>
        <v>😅</v>
      </c>
      <c r="F779" s="1" t="n">
        <f aca="false">C779-C778</f>
        <v/>
      </c>
    </row>
    <row r="780" customFormat="false" ht="15" hidden="false" customHeight="false" outlineLevel="0" collapsed="false">
      <c r="A780" s="1" t="s">
        <v>953</v>
      </c>
      <c r="B780" s="11" t="str">
        <f aca="false">DEC2HEX(C779+HEX2DEC(10000))</f>
        <v>1F606</v>
      </c>
      <c r="C780" s="1" t="n">
        <v>62982</v>
      </c>
      <c r="D780" s="9" t="str">
        <f aca="false">DEC2HEX(C780,8)</f>
        <v>0000F606</v>
      </c>
      <c r="E780" s="10" t="str">
        <f aca="false">_xlfn.UNICHAR(HEX2DEC(B780))</f>
        <v>😆</v>
      </c>
      <c r="F780" s="1" t="n">
        <f aca="false">C780-C779</f>
        <v/>
      </c>
    </row>
    <row r="781" customFormat="false" ht="15" hidden="false" customHeight="false" outlineLevel="0" collapsed="false">
      <c r="A781" s="1" t="s">
        <v>954</v>
      </c>
      <c r="B781" s="11" t="str">
        <f aca="false">DEC2HEX(C780+HEX2DEC(10000))</f>
        <v>1F607</v>
      </c>
      <c r="C781" s="1" t="n">
        <v>62983</v>
      </c>
      <c r="D781" s="9" t="str">
        <f aca="false">DEC2HEX(C781,8)</f>
        <v>0000F607</v>
      </c>
      <c r="E781" s="10" t="str">
        <f aca="false">_xlfn.UNICHAR(HEX2DEC(B781))</f>
        <v>😇</v>
      </c>
      <c r="F781" s="1" t="n">
        <f aca="false">C781-C780</f>
        <v/>
      </c>
    </row>
    <row r="782" customFormat="false" ht="15" hidden="false" customHeight="false" outlineLevel="0" collapsed="false">
      <c r="A782" s="1" t="s">
        <v>955</v>
      </c>
      <c r="B782" s="11" t="str">
        <f aca="false">DEC2HEX(C781+HEX2DEC(10000))</f>
        <v>1F608</v>
      </c>
      <c r="C782" s="1" t="n">
        <v>62984</v>
      </c>
      <c r="D782" s="9" t="str">
        <f aca="false">DEC2HEX(C782,8)</f>
        <v>0000F608</v>
      </c>
      <c r="E782" s="10" t="str">
        <f aca="false">_xlfn.UNICHAR(HEX2DEC(B782))</f>
        <v>😈</v>
      </c>
      <c r="F782" s="1" t="n">
        <f aca="false">C782-C781</f>
        <v/>
      </c>
    </row>
    <row r="783" customFormat="false" ht="15" hidden="false" customHeight="false" outlineLevel="0" collapsed="false">
      <c r="A783" s="1" t="s">
        <v>956</v>
      </c>
      <c r="B783" s="11" t="str">
        <f aca="false">DEC2HEX(C782+HEX2DEC(10000))</f>
        <v>1F609</v>
      </c>
      <c r="C783" s="1" t="n">
        <v>62985</v>
      </c>
      <c r="D783" s="9" t="str">
        <f aca="false">DEC2HEX(C783,8)</f>
        <v>0000F609</v>
      </c>
      <c r="E783" s="10" t="str">
        <f aca="false">_xlfn.UNICHAR(HEX2DEC(B783))</f>
        <v>😉</v>
      </c>
      <c r="F783" s="1" t="n">
        <f aca="false">C783-C782</f>
        <v/>
      </c>
    </row>
    <row r="784" customFormat="false" ht="15" hidden="false" customHeight="false" outlineLevel="0" collapsed="false">
      <c r="A784" s="1" t="s">
        <v>957</v>
      </c>
      <c r="B784" s="11" t="str">
        <f aca="false">DEC2HEX(C783+HEX2DEC(10000))</f>
        <v>1F60A</v>
      </c>
      <c r="C784" s="1" t="n">
        <v>62986</v>
      </c>
      <c r="D784" s="9" t="str">
        <f aca="false">DEC2HEX(C784,8)</f>
        <v>0000F60A</v>
      </c>
      <c r="E784" s="10" t="str">
        <f aca="false">_xlfn.UNICHAR(HEX2DEC(B784))</f>
        <v>😊</v>
      </c>
      <c r="F784" s="1" t="n">
        <f aca="false">C784-C783</f>
        <v/>
      </c>
    </row>
    <row r="785" customFormat="false" ht="15" hidden="false" customHeight="false" outlineLevel="0" collapsed="false">
      <c r="A785" s="1" t="s">
        <v>958</v>
      </c>
      <c r="B785" s="11" t="str">
        <f aca="false">DEC2HEX(C784+HEX2DEC(10000))</f>
        <v>1F60B</v>
      </c>
      <c r="C785" s="1" t="n">
        <v>62987</v>
      </c>
      <c r="D785" s="9" t="str">
        <f aca="false">DEC2HEX(C785,8)</f>
        <v>0000F60B</v>
      </c>
      <c r="E785" s="10" t="str">
        <f aca="false">_xlfn.UNICHAR(HEX2DEC(B785))</f>
        <v>😋</v>
      </c>
      <c r="F785" s="1" t="n">
        <f aca="false">C785-C784</f>
        <v/>
      </c>
    </row>
    <row r="786" customFormat="false" ht="15" hidden="false" customHeight="false" outlineLevel="0" collapsed="false">
      <c r="A786" s="1" t="s">
        <v>959</v>
      </c>
      <c r="B786" s="11" t="str">
        <f aca="false">DEC2HEX(C785+HEX2DEC(10000))</f>
        <v>1F60C</v>
      </c>
      <c r="C786" s="1" t="n">
        <v>62988</v>
      </c>
      <c r="D786" s="9" t="str">
        <f aca="false">DEC2HEX(C786,8)</f>
        <v>0000F60C</v>
      </c>
      <c r="E786" s="10" t="str">
        <f aca="false">_xlfn.UNICHAR(HEX2DEC(B786))</f>
        <v>😌</v>
      </c>
      <c r="F786" s="1" t="n">
        <f aca="false">C786-C785</f>
        <v/>
      </c>
    </row>
    <row r="787" customFormat="false" ht="15" hidden="false" customHeight="false" outlineLevel="0" collapsed="false">
      <c r="A787" s="1" t="s">
        <v>960</v>
      </c>
      <c r="B787" s="11" t="str">
        <f aca="false">DEC2HEX(C786+HEX2DEC(10000))</f>
        <v>1F60D</v>
      </c>
      <c r="C787" s="1" t="n">
        <v>62989</v>
      </c>
      <c r="D787" s="9" t="str">
        <f aca="false">DEC2HEX(C787,8)</f>
        <v>0000F60D</v>
      </c>
      <c r="E787" s="10" t="str">
        <f aca="false">_xlfn.UNICHAR(HEX2DEC(B787))</f>
        <v>😍</v>
      </c>
      <c r="F787" s="1" t="n">
        <f aca="false">C787-C786</f>
        <v/>
      </c>
    </row>
    <row r="788" customFormat="false" ht="15" hidden="false" customHeight="false" outlineLevel="0" collapsed="false">
      <c r="A788" s="1" t="s">
        <v>961</v>
      </c>
      <c r="B788" s="11" t="str">
        <f aca="false">DEC2HEX(C787+HEX2DEC(10000))</f>
        <v>1F60E</v>
      </c>
      <c r="C788" s="1" t="n">
        <v>62990</v>
      </c>
      <c r="D788" s="9" t="str">
        <f aca="false">DEC2HEX(C788,8)</f>
        <v>0000F60E</v>
      </c>
      <c r="E788" s="10" t="str">
        <f aca="false">_xlfn.UNICHAR(HEX2DEC(B788))</f>
        <v>😎</v>
      </c>
      <c r="F788" s="1" t="n">
        <f aca="false">C788-C787</f>
        <v/>
      </c>
    </row>
    <row r="789" customFormat="false" ht="15" hidden="false" customHeight="false" outlineLevel="0" collapsed="false">
      <c r="A789" s="1" t="s">
        <v>962</v>
      </c>
      <c r="B789" s="11" t="str">
        <f aca="false">DEC2HEX(C788+HEX2DEC(10000))</f>
        <v>1F60F</v>
      </c>
      <c r="C789" s="1" t="n">
        <v>62991</v>
      </c>
      <c r="D789" s="9" t="str">
        <f aca="false">DEC2HEX(C789,8)</f>
        <v>0000F60F</v>
      </c>
      <c r="E789" s="10" t="str">
        <f aca="false">_xlfn.UNICHAR(HEX2DEC(B789))</f>
        <v>😏</v>
      </c>
      <c r="F789" s="1" t="n">
        <f aca="false">C789-C788</f>
        <v/>
      </c>
    </row>
    <row r="790" customFormat="false" ht="15" hidden="false" customHeight="false" outlineLevel="0" collapsed="false">
      <c r="A790" s="1" t="s">
        <v>963</v>
      </c>
      <c r="B790" s="11" t="str">
        <f aca="false">DEC2HEX(C789+HEX2DEC(10000))</f>
        <v>1F610</v>
      </c>
      <c r="C790" s="1" t="n">
        <v>62992</v>
      </c>
      <c r="D790" s="9" t="str">
        <f aca="false">DEC2HEX(C790,8)</f>
        <v>0000F610</v>
      </c>
      <c r="E790" s="10" t="str">
        <f aca="false">_xlfn.UNICHAR(HEX2DEC(B790))</f>
        <v>😐</v>
      </c>
      <c r="F790" s="1" t="n">
        <f aca="false">C790-C789</f>
        <v/>
      </c>
    </row>
    <row r="791" customFormat="false" ht="15" hidden="false" customHeight="false" outlineLevel="0" collapsed="false">
      <c r="A791" s="1" t="s">
        <v>964</v>
      </c>
      <c r="B791" s="11" t="str">
        <f aca="false">DEC2HEX(C790+HEX2DEC(10000))</f>
        <v>1F611</v>
      </c>
      <c r="C791" s="1" t="n">
        <v>62993</v>
      </c>
      <c r="D791" s="9" t="str">
        <f aca="false">DEC2HEX(C791,8)</f>
        <v>0000F611</v>
      </c>
      <c r="E791" s="10" t="str">
        <f aca="false">_xlfn.UNICHAR(HEX2DEC(B791))</f>
        <v>😑</v>
      </c>
      <c r="F791" s="1" t="n">
        <f aca="false">C791-C790</f>
        <v/>
      </c>
    </row>
    <row r="792" customFormat="false" ht="15" hidden="false" customHeight="false" outlineLevel="0" collapsed="false">
      <c r="A792" s="1" t="s">
        <v>965</v>
      </c>
      <c r="B792" s="11" t="str">
        <f aca="false">DEC2HEX(C791+HEX2DEC(10000))</f>
        <v>1F612</v>
      </c>
      <c r="C792" s="1" t="n">
        <v>62994</v>
      </c>
      <c r="D792" s="9" t="str">
        <f aca="false">DEC2HEX(C792,8)</f>
        <v>0000F612</v>
      </c>
      <c r="E792" s="10" t="str">
        <f aca="false">_xlfn.UNICHAR(HEX2DEC(B792))</f>
        <v>😒</v>
      </c>
      <c r="F792" s="1" t="n">
        <f aca="false">C792-C791</f>
        <v/>
      </c>
    </row>
    <row r="793" customFormat="false" ht="15" hidden="false" customHeight="false" outlineLevel="0" collapsed="false">
      <c r="A793" s="1" t="s">
        <v>966</v>
      </c>
      <c r="B793" s="11" t="str">
        <f aca="false">DEC2HEX(C792+HEX2DEC(10000))</f>
        <v>1F613</v>
      </c>
      <c r="C793" s="1" t="n">
        <v>62995</v>
      </c>
      <c r="D793" s="9" t="str">
        <f aca="false">DEC2HEX(C793,8)</f>
        <v>0000F613</v>
      </c>
      <c r="E793" s="10" t="str">
        <f aca="false">_xlfn.UNICHAR(HEX2DEC(B793))</f>
        <v>😓</v>
      </c>
      <c r="F793" s="1" t="n">
        <f aca="false">C793-C792</f>
        <v/>
      </c>
    </row>
    <row r="794" customFormat="false" ht="15" hidden="false" customHeight="false" outlineLevel="0" collapsed="false">
      <c r="A794" s="1" t="s">
        <v>967</v>
      </c>
      <c r="B794" s="11" t="str">
        <f aca="false">DEC2HEX(C793+HEX2DEC(10000))</f>
        <v>1F614</v>
      </c>
      <c r="C794" s="1" t="n">
        <v>62996</v>
      </c>
      <c r="D794" s="9" t="str">
        <f aca="false">DEC2HEX(C794,8)</f>
        <v>0000F614</v>
      </c>
      <c r="E794" s="10" t="str">
        <f aca="false">_xlfn.UNICHAR(HEX2DEC(B794))</f>
        <v>😔</v>
      </c>
      <c r="F794" s="1" t="n">
        <f aca="false">C794-C793</f>
        <v/>
      </c>
    </row>
    <row r="795" customFormat="false" ht="15" hidden="false" customHeight="false" outlineLevel="0" collapsed="false">
      <c r="A795" s="1" t="s">
        <v>968</v>
      </c>
      <c r="B795" s="11" t="str">
        <f aca="false">DEC2HEX(C794+HEX2DEC(10000))</f>
        <v>1F615</v>
      </c>
      <c r="C795" s="1" t="n">
        <v>62997</v>
      </c>
      <c r="D795" s="9" t="str">
        <f aca="false">DEC2HEX(C795,8)</f>
        <v>0000F615</v>
      </c>
      <c r="E795" s="10" t="str">
        <f aca="false">_xlfn.UNICHAR(HEX2DEC(B795))</f>
        <v>😕</v>
      </c>
      <c r="F795" s="1" t="n">
        <f aca="false">C795-C794</f>
        <v/>
      </c>
    </row>
    <row r="796" customFormat="false" ht="15" hidden="false" customHeight="false" outlineLevel="0" collapsed="false">
      <c r="A796" s="1" t="s">
        <v>969</v>
      </c>
      <c r="B796" s="11" t="str">
        <f aca="false">DEC2HEX(C795+HEX2DEC(10000))</f>
        <v>1F616</v>
      </c>
      <c r="C796" s="1" t="n">
        <v>62998</v>
      </c>
      <c r="D796" s="9" t="str">
        <f aca="false">DEC2HEX(C796,8)</f>
        <v>0000F616</v>
      </c>
      <c r="E796" s="10" t="str">
        <f aca="false">_xlfn.UNICHAR(HEX2DEC(B796))</f>
        <v>😖</v>
      </c>
      <c r="F796" s="1" t="n">
        <f aca="false">C796-C795</f>
        <v/>
      </c>
    </row>
    <row r="797" customFormat="false" ht="15" hidden="false" customHeight="false" outlineLevel="0" collapsed="false">
      <c r="A797" s="1" t="s">
        <v>970</v>
      </c>
      <c r="B797" s="11" t="str">
        <f aca="false">DEC2HEX(C796+HEX2DEC(10000))</f>
        <v>1F617</v>
      </c>
      <c r="C797" s="1" t="n">
        <v>62999</v>
      </c>
      <c r="D797" s="9" t="str">
        <f aca="false">DEC2HEX(C797,8)</f>
        <v>0000F617</v>
      </c>
      <c r="E797" s="10" t="str">
        <f aca="false">_xlfn.UNICHAR(HEX2DEC(B797))</f>
        <v>😗</v>
      </c>
      <c r="F797" s="1" t="n">
        <f aca="false">C797-C796</f>
        <v/>
      </c>
    </row>
    <row r="798" customFormat="false" ht="15" hidden="false" customHeight="false" outlineLevel="0" collapsed="false">
      <c r="A798" s="1" t="s">
        <v>971</v>
      </c>
      <c r="B798" s="11" t="str">
        <f aca="false">DEC2HEX(C797+HEX2DEC(10000))</f>
        <v>1F618</v>
      </c>
      <c r="C798" s="1" t="n">
        <v>63000</v>
      </c>
      <c r="D798" s="9" t="str">
        <f aca="false">DEC2HEX(C798,8)</f>
        <v>0000F618</v>
      </c>
      <c r="E798" s="10" t="str">
        <f aca="false">_xlfn.UNICHAR(HEX2DEC(B798))</f>
        <v>😘</v>
      </c>
      <c r="F798" s="1" t="n">
        <f aca="false">C798-C797</f>
        <v/>
      </c>
    </row>
    <row r="799" customFormat="false" ht="15" hidden="false" customHeight="false" outlineLevel="0" collapsed="false">
      <c r="A799" s="1" t="s">
        <v>972</v>
      </c>
      <c r="B799" s="11" t="str">
        <f aca="false">DEC2HEX(C798+HEX2DEC(10000))</f>
        <v>1F619</v>
      </c>
      <c r="C799" s="1" t="n">
        <v>63001</v>
      </c>
      <c r="D799" s="9" t="str">
        <f aca="false">DEC2HEX(C799,8)</f>
        <v>0000F619</v>
      </c>
      <c r="E799" s="10" t="str">
        <f aca="false">_xlfn.UNICHAR(HEX2DEC(B799))</f>
        <v>😙</v>
      </c>
      <c r="F799" s="1" t="n">
        <f aca="false">C799-C798</f>
        <v/>
      </c>
    </row>
    <row r="800" customFormat="false" ht="15" hidden="false" customHeight="false" outlineLevel="0" collapsed="false">
      <c r="A800" s="1" t="s">
        <v>973</v>
      </c>
      <c r="B800" s="11" t="str">
        <f aca="false">DEC2HEX(C799+HEX2DEC(10000))</f>
        <v>1F61A</v>
      </c>
      <c r="C800" s="1" t="n">
        <v>63002</v>
      </c>
      <c r="D800" s="9" t="str">
        <f aca="false">DEC2HEX(C800,8)</f>
        <v>0000F61A</v>
      </c>
      <c r="E800" s="10" t="str">
        <f aca="false">_xlfn.UNICHAR(HEX2DEC(B800))</f>
        <v>😚</v>
      </c>
      <c r="F800" s="1" t="n">
        <f aca="false">C800-C799</f>
        <v/>
      </c>
    </row>
    <row r="801" customFormat="false" ht="15" hidden="false" customHeight="false" outlineLevel="0" collapsed="false">
      <c r="A801" s="1" t="s">
        <v>974</v>
      </c>
      <c r="B801" s="11" t="str">
        <f aca="false">DEC2HEX(C800+HEX2DEC(10000))</f>
        <v>1F61B</v>
      </c>
      <c r="C801" s="1" t="n">
        <v>63003</v>
      </c>
      <c r="D801" s="9" t="str">
        <f aca="false">DEC2HEX(C801,8)</f>
        <v>0000F61B</v>
      </c>
      <c r="E801" s="10" t="str">
        <f aca="false">_xlfn.UNICHAR(HEX2DEC(B801))</f>
        <v>😛</v>
      </c>
      <c r="F801" s="1" t="n">
        <f aca="false">C801-C800</f>
        <v/>
      </c>
    </row>
    <row r="802" customFormat="false" ht="15" hidden="false" customHeight="false" outlineLevel="0" collapsed="false">
      <c r="A802" s="1" t="s">
        <v>975</v>
      </c>
      <c r="B802" s="11" t="str">
        <f aca="false">DEC2HEX(C801+HEX2DEC(10000))</f>
        <v>1F61C</v>
      </c>
      <c r="C802" s="1" t="n">
        <v>63004</v>
      </c>
      <c r="D802" s="9" t="str">
        <f aca="false">DEC2HEX(C802,8)</f>
        <v>0000F61C</v>
      </c>
      <c r="E802" s="10" t="str">
        <f aca="false">_xlfn.UNICHAR(HEX2DEC(B802))</f>
        <v>😜</v>
      </c>
      <c r="F802" s="1" t="n">
        <f aca="false">C802-C801</f>
        <v/>
      </c>
    </row>
    <row r="803" customFormat="false" ht="15" hidden="false" customHeight="false" outlineLevel="0" collapsed="false">
      <c r="A803" s="1" t="s">
        <v>976</v>
      </c>
      <c r="B803" s="11" t="str">
        <f aca="false">DEC2HEX(C802+HEX2DEC(10000))</f>
        <v>1F61D</v>
      </c>
      <c r="C803" s="1" t="n">
        <v>63005</v>
      </c>
      <c r="D803" s="9" t="str">
        <f aca="false">DEC2HEX(C803,8)</f>
        <v>0000F61D</v>
      </c>
      <c r="E803" s="10" t="str">
        <f aca="false">_xlfn.UNICHAR(HEX2DEC(B803))</f>
        <v>😝</v>
      </c>
      <c r="F803" s="1" t="n">
        <f aca="false">C803-C802</f>
        <v/>
      </c>
    </row>
    <row r="804" customFormat="false" ht="15" hidden="false" customHeight="false" outlineLevel="0" collapsed="false">
      <c r="A804" s="1" t="s">
        <v>977</v>
      </c>
      <c r="B804" s="11" t="str">
        <f aca="false">DEC2HEX(C803+HEX2DEC(10000))</f>
        <v>1F61E</v>
      </c>
      <c r="C804" s="1" t="n">
        <v>63006</v>
      </c>
      <c r="D804" s="9" t="str">
        <f aca="false">DEC2HEX(C804,8)</f>
        <v>0000F61E</v>
      </c>
      <c r="E804" s="10" t="str">
        <f aca="false">_xlfn.UNICHAR(HEX2DEC(B804))</f>
        <v>😞</v>
      </c>
      <c r="F804" s="1" t="n">
        <f aca="false">C804-C803</f>
        <v/>
      </c>
    </row>
    <row r="805" customFormat="false" ht="15" hidden="false" customHeight="false" outlineLevel="0" collapsed="false">
      <c r="A805" s="1" t="s">
        <v>978</v>
      </c>
      <c r="B805" s="11" t="str">
        <f aca="false">DEC2HEX(C804+HEX2DEC(10000))</f>
        <v>1F61F</v>
      </c>
      <c r="C805" s="1" t="n">
        <v>63007</v>
      </c>
      <c r="D805" s="9" t="str">
        <f aca="false">DEC2HEX(C805,8)</f>
        <v>0000F61F</v>
      </c>
      <c r="E805" s="10" t="str">
        <f aca="false">_xlfn.UNICHAR(HEX2DEC(B805))</f>
        <v>😟</v>
      </c>
      <c r="F805" s="1" t="n">
        <f aca="false">C805-C804</f>
        <v/>
      </c>
    </row>
    <row r="806" customFormat="false" ht="15" hidden="false" customHeight="false" outlineLevel="0" collapsed="false">
      <c r="A806" s="1" t="s">
        <v>979</v>
      </c>
      <c r="B806" s="11" t="str">
        <f aca="false">DEC2HEX(C805+HEX2DEC(10000))</f>
        <v>1F620</v>
      </c>
      <c r="C806" s="1" t="n">
        <v>63008</v>
      </c>
      <c r="D806" s="9" t="str">
        <f aca="false">DEC2HEX(C806,8)</f>
        <v>0000F620</v>
      </c>
      <c r="E806" s="10" t="str">
        <f aca="false">_xlfn.UNICHAR(HEX2DEC(B806))</f>
        <v>😠</v>
      </c>
      <c r="F806" s="1" t="n">
        <f aca="false">C806-C805</f>
        <v/>
      </c>
    </row>
    <row r="807" customFormat="false" ht="15" hidden="false" customHeight="false" outlineLevel="0" collapsed="false">
      <c r="A807" s="1" t="s">
        <v>980</v>
      </c>
      <c r="B807" s="11" t="str">
        <f aca="false">DEC2HEX(C806+HEX2DEC(10000))</f>
        <v>1F621</v>
      </c>
      <c r="C807" s="1" t="n">
        <v>63009</v>
      </c>
      <c r="D807" s="9" t="str">
        <f aca="false">DEC2HEX(C807,8)</f>
        <v>0000F621</v>
      </c>
      <c r="E807" s="10" t="str">
        <f aca="false">_xlfn.UNICHAR(HEX2DEC(B807))</f>
        <v>😡</v>
      </c>
      <c r="F807" s="1" t="n">
        <f aca="false">C807-C806</f>
        <v/>
      </c>
    </row>
    <row r="808" customFormat="false" ht="15" hidden="false" customHeight="false" outlineLevel="0" collapsed="false">
      <c r="A808" s="1" t="s">
        <v>981</v>
      </c>
      <c r="B808" s="11" t="str">
        <f aca="false">DEC2HEX(C807+HEX2DEC(10000))</f>
        <v>1F622</v>
      </c>
      <c r="C808" s="1" t="n">
        <v>63010</v>
      </c>
      <c r="D808" s="9" t="str">
        <f aca="false">DEC2HEX(C808,8)</f>
        <v>0000F622</v>
      </c>
      <c r="E808" s="10" t="str">
        <f aca="false">_xlfn.UNICHAR(HEX2DEC(B808))</f>
        <v>😢</v>
      </c>
      <c r="F808" s="1" t="n">
        <f aca="false">C808-C807</f>
        <v/>
      </c>
    </row>
    <row r="809" customFormat="false" ht="15" hidden="false" customHeight="false" outlineLevel="0" collapsed="false">
      <c r="A809" s="1" t="s">
        <v>982</v>
      </c>
      <c r="B809" s="11" t="str">
        <f aca="false">DEC2HEX(C808+HEX2DEC(10000))</f>
        <v>1F623</v>
      </c>
      <c r="C809" s="1" t="n">
        <v>63011</v>
      </c>
      <c r="D809" s="9" t="str">
        <f aca="false">DEC2HEX(C809,8)</f>
        <v>0000F623</v>
      </c>
      <c r="E809" s="10" t="str">
        <f aca="false">_xlfn.UNICHAR(HEX2DEC(B809))</f>
        <v>😣</v>
      </c>
      <c r="F809" s="1" t="n">
        <f aca="false">C809-C808</f>
        <v/>
      </c>
    </row>
    <row r="810" customFormat="false" ht="15" hidden="false" customHeight="false" outlineLevel="0" collapsed="false">
      <c r="A810" s="1" t="s">
        <v>983</v>
      </c>
      <c r="B810" s="11" t="str">
        <f aca="false">DEC2HEX(C809+HEX2DEC(10000))</f>
        <v>1F624</v>
      </c>
      <c r="C810" s="1" t="n">
        <v>63012</v>
      </c>
      <c r="D810" s="9" t="str">
        <f aca="false">DEC2HEX(C810,8)</f>
        <v>0000F624</v>
      </c>
      <c r="E810" s="10" t="str">
        <f aca="false">_xlfn.UNICHAR(HEX2DEC(B810))</f>
        <v>😤</v>
      </c>
      <c r="F810" s="1" t="n">
        <f aca="false">C810-C809</f>
        <v/>
      </c>
    </row>
    <row r="811" customFormat="false" ht="15" hidden="false" customHeight="false" outlineLevel="0" collapsed="false">
      <c r="A811" s="1" t="s">
        <v>984</v>
      </c>
      <c r="B811" s="11" t="str">
        <f aca="false">DEC2HEX(C810+HEX2DEC(10000))</f>
        <v>1F625</v>
      </c>
      <c r="C811" s="1" t="n">
        <v>63013</v>
      </c>
      <c r="D811" s="9" t="str">
        <f aca="false">DEC2HEX(C811,8)</f>
        <v>0000F625</v>
      </c>
      <c r="E811" s="10" t="str">
        <f aca="false">_xlfn.UNICHAR(HEX2DEC(B811))</f>
        <v>😥</v>
      </c>
      <c r="F811" s="1" t="n">
        <f aca="false">C811-C810</f>
        <v/>
      </c>
    </row>
    <row r="812" customFormat="false" ht="15" hidden="false" customHeight="false" outlineLevel="0" collapsed="false">
      <c r="A812" s="1" t="s">
        <v>985</v>
      </c>
      <c r="B812" s="11" t="str">
        <f aca="false">DEC2HEX(C811+HEX2DEC(10000))</f>
        <v>1F626</v>
      </c>
      <c r="C812" s="1" t="n">
        <v>63014</v>
      </c>
      <c r="D812" s="9" t="str">
        <f aca="false">DEC2HEX(C812,8)</f>
        <v>0000F626</v>
      </c>
      <c r="E812" s="10" t="str">
        <f aca="false">_xlfn.UNICHAR(HEX2DEC(B812))</f>
        <v>😦</v>
      </c>
      <c r="F812" s="1" t="n">
        <f aca="false">C812-C811</f>
        <v/>
      </c>
    </row>
    <row r="813" customFormat="false" ht="15" hidden="false" customHeight="false" outlineLevel="0" collapsed="false">
      <c r="A813" s="1" t="s">
        <v>986</v>
      </c>
      <c r="B813" s="11" t="str">
        <f aca="false">DEC2HEX(C812+HEX2DEC(10000))</f>
        <v>1F627</v>
      </c>
      <c r="C813" s="1" t="n">
        <v>63015</v>
      </c>
      <c r="D813" s="9" t="str">
        <f aca="false">DEC2HEX(C813,8)</f>
        <v>0000F627</v>
      </c>
      <c r="E813" s="10" t="str">
        <f aca="false">_xlfn.UNICHAR(HEX2DEC(B813))</f>
        <v>😧</v>
      </c>
      <c r="F813" s="1" t="n">
        <f aca="false">C813-C812</f>
        <v/>
      </c>
    </row>
    <row r="814" customFormat="false" ht="15" hidden="false" customHeight="false" outlineLevel="0" collapsed="false">
      <c r="A814" s="1" t="s">
        <v>987</v>
      </c>
      <c r="B814" s="11" t="str">
        <f aca="false">DEC2HEX(C813+HEX2DEC(10000))</f>
        <v>1F628</v>
      </c>
      <c r="C814" s="1" t="n">
        <v>63016</v>
      </c>
      <c r="D814" s="9" t="str">
        <f aca="false">DEC2HEX(C814,8)</f>
        <v>0000F628</v>
      </c>
      <c r="E814" s="10" t="str">
        <f aca="false">_xlfn.UNICHAR(HEX2DEC(B814))</f>
        <v>😨</v>
      </c>
      <c r="F814" s="1" t="n">
        <f aca="false">C814-C813</f>
        <v/>
      </c>
    </row>
    <row r="815" customFormat="false" ht="15" hidden="false" customHeight="false" outlineLevel="0" collapsed="false">
      <c r="A815" s="1" t="s">
        <v>988</v>
      </c>
      <c r="B815" s="11" t="str">
        <f aca="false">DEC2HEX(C814+HEX2DEC(10000))</f>
        <v>1F629</v>
      </c>
      <c r="C815" s="1" t="n">
        <v>63017</v>
      </c>
      <c r="D815" s="9" t="str">
        <f aca="false">DEC2HEX(C815,8)</f>
        <v>0000F629</v>
      </c>
      <c r="E815" s="10" t="str">
        <f aca="false">_xlfn.UNICHAR(HEX2DEC(B815))</f>
        <v>😩</v>
      </c>
      <c r="F815" s="1" t="n">
        <f aca="false">C815-C814</f>
        <v/>
      </c>
    </row>
    <row r="816" customFormat="false" ht="15" hidden="false" customHeight="false" outlineLevel="0" collapsed="false">
      <c r="A816" s="1" t="s">
        <v>989</v>
      </c>
      <c r="B816" s="11" t="str">
        <f aca="false">DEC2HEX(C815+HEX2DEC(10000))</f>
        <v>1F62A</v>
      </c>
      <c r="C816" s="1" t="n">
        <v>63018</v>
      </c>
      <c r="D816" s="9" t="str">
        <f aca="false">DEC2HEX(C816,8)</f>
        <v>0000F62A</v>
      </c>
      <c r="E816" s="10" t="str">
        <f aca="false">_xlfn.UNICHAR(HEX2DEC(B816))</f>
        <v>😪</v>
      </c>
      <c r="F816" s="1" t="n">
        <f aca="false">C816-C815</f>
        <v/>
      </c>
    </row>
    <row r="817" customFormat="false" ht="15" hidden="false" customHeight="false" outlineLevel="0" collapsed="false">
      <c r="A817" s="1" t="s">
        <v>990</v>
      </c>
      <c r="B817" s="11" t="str">
        <f aca="false">DEC2HEX(C816+HEX2DEC(10000))</f>
        <v>1F62B</v>
      </c>
      <c r="C817" s="1" t="n">
        <v>63019</v>
      </c>
      <c r="D817" s="9" t="str">
        <f aca="false">DEC2HEX(C817,8)</f>
        <v>0000F62B</v>
      </c>
      <c r="E817" s="10" t="str">
        <f aca="false">_xlfn.UNICHAR(HEX2DEC(B817))</f>
        <v>😫</v>
      </c>
      <c r="F817" s="1" t="n">
        <f aca="false">C817-C816</f>
        <v/>
      </c>
    </row>
    <row r="818" customFormat="false" ht="15" hidden="false" customHeight="false" outlineLevel="0" collapsed="false">
      <c r="A818" s="1" t="s">
        <v>991</v>
      </c>
      <c r="B818" s="11" t="str">
        <f aca="false">DEC2HEX(C817+HEX2DEC(10000))</f>
        <v>1F62C</v>
      </c>
      <c r="C818" s="1" t="n">
        <v>63020</v>
      </c>
      <c r="D818" s="9" t="str">
        <f aca="false">DEC2HEX(C818,8)</f>
        <v>0000F62C</v>
      </c>
      <c r="E818" s="10" t="str">
        <f aca="false">_xlfn.UNICHAR(HEX2DEC(B818))</f>
        <v>😬</v>
      </c>
      <c r="F818" s="1" t="n">
        <f aca="false">C818-C817</f>
        <v/>
      </c>
    </row>
    <row r="819" customFormat="false" ht="15" hidden="false" customHeight="false" outlineLevel="0" collapsed="false">
      <c r="A819" s="1" t="s">
        <v>992</v>
      </c>
      <c r="B819" s="11" t="str">
        <f aca="false">DEC2HEX(C818+HEX2DEC(10000))</f>
        <v>1F62D</v>
      </c>
      <c r="C819" s="1" t="n">
        <v>63021</v>
      </c>
      <c r="D819" s="9" t="str">
        <f aca="false">DEC2HEX(C819,8)</f>
        <v>0000F62D</v>
      </c>
      <c r="E819" s="10" t="str">
        <f aca="false">_xlfn.UNICHAR(HEX2DEC(B819))</f>
        <v>😭</v>
      </c>
      <c r="F819" s="1" t="n">
        <f aca="false">C819-C818</f>
        <v/>
      </c>
    </row>
    <row r="820" customFormat="false" ht="15" hidden="false" customHeight="false" outlineLevel="0" collapsed="false">
      <c r="A820" s="1" t="s">
        <v>993</v>
      </c>
      <c r="B820" s="11" t="str">
        <f aca="false">DEC2HEX(C819+HEX2DEC(10000))</f>
        <v>1F62E</v>
      </c>
      <c r="C820" s="1" t="n">
        <v>63022</v>
      </c>
      <c r="D820" s="9" t="str">
        <f aca="false">DEC2HEX(C820,8)</f>
        <v>0000F62E</v>
      </c>
      <c r="E820" s="10" t="str">
        <f aca="false">_xlfn.UNICHAR(HEX2DEC(B820))</f>
        <v>😮</v>
      </c>
      <c r="F820" s="1" t="n">
        <f aca="false">C820-C819</f>
        <v/>
      </c>
    </row>
    <row r="821" customFormat="false" ht="15" hidden="false" customHeight="false" outlineLevel="0" collapsed="false">
      <c r="A821" s="1" t="s">
        <v>994</v>
      </c>
      <c r="B821" s="11" t="str">
        <f aca="false">DEC2HEX(C820+HEX2DEC(10000))</f>
        <v>1F62F</v>
      </c>
      <c r="C821" s="1" t="n">
        <v>63023</v>
      </c>
      <c r="D821" s="9" t="str">
        <f aca="false">DEC2HEX(C821,8)</f>
        <v>0000F62F</v>
      </c>
      <c r="E821" s="10" t="str">
        <f aca="false">_xlfn.UNICHAR(HEX2DEC(B821))</f>
        <v>😯</v>
      </c>
      <c r="F821" s="1" t="n">
        <f aca="false">C821-C820</f>
        <v/>
      </c>
    </row>
    <row r="822" customFormat="false" ht="15" hidden="false" customHeight="false" outlineLevel="0" collapsed="false">
      <c r="A822" s="1" t="s">
        <v>995</v>
      </c>
      <c r="B822" s="11" t="str">
        <f aca="false">DEC2HEX(C821+HEX2DEC(10000))</f>
        <v>1F630</v>
      </c>
      <c r="C822" s="1" t="n">
        <v>63024</v>
      </c>
      <c r="D822" s="9" t="str">
        <f aca="false">DEC2HEX(C822,8)</f>
        <v>0000F630</v>
      </c>
      <c r="E822" s="10" t="str">
        <f aca="false">_xlfn.UNICHAR(HEX2DEC(B822))</f>
        <v>😰</v>
      </c>
      <c r="F822" s="1" t="n">
        <f aca="false">C822-C821</f>
        <v/>
      </c>
    </row>
    <row r="823" customFormat="false" ht="15" hidden="false" customHeight="false" outlineLevel="0" collapsed="false">
      <c r="A823" s="1" t="s">
        <v>996</v>
      </c>
      <c r="B823" s="11" t="str">
        <f aca="false">DEC2HEX(C822+HEX2DEC(10000))</f>
        <v>1F631</v>
      </c>
      <c r="C823" s="1" t="n">
        <v>63025</v>
      </c>
      <c r="D823" s="9" t="str">
        <f aca="false">DEC2HEX(C823,8)</f>
        <v>0000F631</v>
      </c>
      <c r="E823" s="10" t="str">
        <f aca="false">_xlfn.UNICHAR(HEX2DEC(B823))</f>
        <v>😱</v>
      </c>
      <c r="F823" s="1" t="n">
        <f aca="false">C823-C822</f>
        <v/>
      </c>
    </row>
    <row r="824" customFormat="false" ht="15" hidden="false" customHeight="false" outlineLevel="0" collapsed="false">
      <c r="A824" s="1" t="s">
        <v>997</v>
      </c>
      <c r="B824" s="11" t="str">
        <f aca="false">DEC2HEX(C823+HEX2DEC(10000))</f>
        <v>1F632</v>
      </c>
      <c r="C824" s="1" t="n">
        <v>63026</v>
      </c>
      <c r="D824" s="9" t="str">
        <f aca="false">DEC2HEX(C824,8)</f>
        <v>0000F632</v>
      </c>
      <c r="E824" s="10" t="str">
        <f aca="false">_xlfn.UNICHAR(HEX2DEC(B824))</f>
        <v>😲</v>
      </c>
      <c r="F824" s="1" t="n">
        <f aca="false">C824-C823</f>
        <v/>
      </c>
    </row>
    <row r="825" customFormat="false" ht="15" hidden="false" customHeight="false" outlineLevel="0" collapsed="false">
      <c r="A825" s="1" t="s">
        <v>998</v>
      </c>
      <c r="B825" s="11" t="str">
        <f aca="false">DEC2HEX(C824+HEX2DEC(10000))</f>
        <v>1F633</v>
      </c>
      <c r="C825" s="1" t="n">
        <v>63027</v>
      </c>
      <c r="D825" s="9" t="str">
        <f aca="false">DEC2HEX(C825,8)</f>
        <v>0000F633</v>
      </c>
      <c r="E825" s="10" t="str">
        <f aca="false">_xlfn.UNICHAR(HEX2DEC(B825))</f>
        <v>😳</v>
      </c>
      <c r="F825" s="1" t="n">
        <f aca="false">C825-C824</f>
        <v/>
      </c>
    </row>
    <row r="826" customFormat="false" ht="15" hidden="false" customHeight="false" outlineLevel="0" collapsed="false">
      <c r="A826" s="1" t="s">
        <v>999</v>
      </c>
      <c r="B826" s="11" t="str">
        <f aca="false">DEC2HEX(C825+HEX2DEC(10000))</f>
        <v>1F634</v>
      </c>
      <c r="C826" s="1" t="n">
        <v>63028</v>
      </c>
      <c r="D826" s="9" t="str">
        <f aca="false">DEC2HEX(C826,8)</f>
        <v>0000F634</v>
      </c>
      <c r="E826" s="10" t="str">
        <f aca="false">_xlfn.UNICHAR(HEX2DEC(B826))</f>
        <v>😴</v>
      </c>
      <c r="F826" s="1" t="n">
        <f aca="false">C826-C825</f>
        <v/>
      </c>
    </row>
    <row r="827" customFormat="false" ht="15" hidden="false" customHeight="false" outlineLevel="0" collapsed="false">
      <c r="A827" s="1" t="s">
        <v>1000</v>
      </c>
      <c r="B827" s="11" t="str">
        <f aca="false">DEC2HEX(C826+HEX2DEC(10000))</f>
        <v>1F635</v>
      </c>
      <c r="C827" s="1" t="n">
        <v>63029</v>
      </c>
      <c r="D827" s="9" t="str">
        <f aca="false">DEC2HEX(C827,8)</f>
        <v>0000F635</v>
      </c>
      <c r="E827" s="10" t="str">
        <f aca="false">_xlfn.UNICHAR(HEX2DEC(B827))</f>
        <v>😵</v>
      </c>
      <c r="F827" s="1" t="n">
        <f aca="false">C827-C826</f>
        <v/>
      </c>
    </row>
    <row r="828" customFormat="false" ht="15" hidden="false" customHeight="false" outlineLevel="0" collapsed="false">
      <c r="A828" s="1" t="s">
        <v>1001</v>
      </c>
      <c r="B828" s="11" t="str">
        <f aca="false">DEC2HEX(C827+HEX2DEC(10000))</f>
        <v>1F636</v>
      </c>
      <c r="C828" s="1" t="n">
        <v>63030</v>
      </c>
      <c r="D828" s="9" t="str">
        <f aca="false">DEC2HEX(C828,8)</f>
        <v>0000F636</v>
      </c>
      <c r="E828" s="10" t="str">
        <f aca="false">_xlfn.UNICHAR(HEX2DEC(B828))</f>
        <v>😶</v>
      </c>
      <c r="F828" s="1" t="n">
        <f aca="false">C828-C827</f>
        <v/>
      </c>
    </row>
    <row r="829" customFormat="false" ht="15" hidden="false" customHeight="false" outlineLevel="0" collapsed="false">
      <c r="A829" s="1" t="s">
        <v>1002</v>
      </c>
      <c r="B829" s="11" t="str">
        <f aca="false">DEC2HEX(C828+HEX2DEC(10000))</f>
        <v>1F637</v>
      </c>
      <c r="C829" s="1" t="n">
        <v>63031</v>
      </c>
      <c r="D829" s="9" t="str">
        <f aca="false">DEC2HEX(C829,8)</f>
        <v>0000F637</v>
      </c>
      <c r="E829" s="10" t="str">
        <f aca="false">_xlfn.UNICHAR(HEX2DEC(B829))</f>
        <v>😷</v>
      </c>
      <c r="F829" s="1" t="n">
        <f aca="false">C829-C828</f>
        <v/>
      </c>
    </row>
    <row r="830" customFormat="false" ht="15" hidden="false" customHeight="false" outlineLevel="0" collapsed="false">
      <c r="A830" s="1" t="s">
        <v>1003</v>
      </c>
      <c r="B830" s="11" t="str">
        <f aca="false">DEC2HEX(C829+HEX2DEC(10000))</f>
        <v>1F638</v>
      </c>
      <c r="C830" s="1" t="n">
        <v>63032</v>
      </c>
      <c r="D830" s="9" t="str">
        <f aca="false">DEC2HEX(C830,8)</f>
        <v>0000F638</v>
      </c>
      <c r="E830" s="10" t="str">
        <f aca="false">_xlfn.UNICHAR(HEX2DEC(B830))</f>
        <v>😸</v>
      </c>
      <c r="F830" s="1" t="n">
        <f aca="false">C830-C829</f>
        <v/>
      </c>
    </row>
    <row r="831" customFormat="false" ht="15" hidden="false" customHeight="false" outlineLevel="0" collapsed="false">
      <c r="A831" s="1" t="s">
        <v>1004</v>
      </c>
      <c r="B831" s="11" t="str">
        <f aca="false">DEC2HEX(C830+HEX2DEC(10000))</f>
        <v>1F639</v>
      </c>
      <c r="C831" s="1" t="n">
        <v>63033</v>
      </c>
      <c r="D831" s="9" t="str">
        <f aca="false">DEC2HEX(C831,8)</f>
        <v>0000F639</v>
      </c>
      <c r="E831" s="10" t="str">
        <f aca="false">_xlfn.UNICHAR(HEX2DEC(B831))</f>
        <v>😹</v>
      </c>
      <c r="F831" s="1" t="n">
        <f aca="false">C831-C830</f>
        <v/>
      </c>
    </row>
    <row r="832" customFormat="false" ht="15" hidden="false" customHeight="false" outlineLevel="0" collapsed="false">
      <c r="A832" s="1" t="s">
        <v>1005</v>
      </c>
      <c r="B832" s="11" t="str">
        <f aca="false">DEC2HEX(C831+HEX2DEC(10000))</f>
        <v>1F644</v>
      </c>
      <c r="C832" s="1" t="n">
        <v>63044</v>
      </c>
      <c r="D832" s="9" t="str">
        <f aca="false">DEC2HEX(C832,8)</f>
        <v>0000F644</v>
      </c>
      <c r="E832" s="10" t="str">
        <f aca="false">_xlfn.UNICHAR(HEX2DEC(B832))</f>
        <v>🙄</v>
      </c>
      <c r="F832" s="1" t="n">
        <f aca="false">C832-C831</f>
        <v/>
      </c>
    </row>
    <row r="833" customFormat="false" ht="15" hidden="false" customHeight="false" outlineLevel="0" collapsed="false">
      <c r="A833" s="1" t="s">
        <v>1006</v>
      </c>
      <c r="B833" s="11" t="str">
        <f aca="false">DEC2HEX(C832+HEX2DEC(10000))</f>
        <v>1F645</v>
      </c>
      <c r="C833" s="1" t="n">
        <v>63045</v>
      </c>
      <c r="D833" s="9" t="str">
        <f aca="false">DEC2HEX(C833,8)</f>
        <v>0000F645</v>
      </c>
      <c r="E833" s="10" t="str">
        <f aca="false">_xlfn.UNICHAR(HEX2DEC(B833))</f>
        <v>🙅</v>
      </c>
      <c r="F833" s="1" t="n">
        <f aca="false">C833-C832</f>
        <v/>
      </c>
    </row>
    <row r="834" customFormat="false" ht="15" hidden="false" customHeight="false" outlineLevel="0" collapsed="false">
      <c r="A834" s="1" t="s">
        <v>1007</v>
      </c>
      <c r="B834" s="11" t="str">
        <f aca="false">DEC2HEX(C833+HEX2DEC(10000))</f>
        <v>1F646</v>
      </c>
      <c r="C834" s="1" t="n">
        <v>63046</v>
      </c>
      <c r="D834" s="9" t="str">
        <f aca="false">DEC2HEX(C834,8)</f>
        <v>0000F646</v>
      </c>
      <c r="E834" s="10" t="str">
        <f aca="false">_xlfn.UNICHAR(HEX2DEC(B834))</f>
        <v>🙆</v>
      </c>
      <c r="F834" s="1" t="n">
        <f aca="false">C834-C833</f>
        <v/>
      </c>
    </row>
    <row r="835" customFormat="false" ht="15" hidden="false" customHeight="false" outlineLevel="0" collapsed="false">
      <c r="A835" s="1" t="s">
        <v>1008</v>
      </c>
      <c r="B835" s="11" t="str">
        <f aca="false">DEC2HEX(C834+HEX2DEC(10000))</f>
        <v>1F647</v>
      </c>
      <c r="C835" s="1" t="n">
        <v>63047</v>
      </c>
      <c r="D835" s="9" t="str">
        <f aca="false">DEC2HEX(C835,8)</f>
        <v>0000F647</v>
      </c>
      <c r="E835" s="10" t="str">
        <f aca="false">_xlfn.UNICHAR(HEX2DEC(B835))</f>
        <v>🙇</v>
      </c>
      <c r="F835" s="1" t="n">
        <f aca="false">C835-C834</f>
        <v/>
      </c>
    </row>
    <row r="836" customFormat="false" ht="15" hidden="false" customHeight="false" outlineLevel="0" collapsed="false">
      <c r="A836" s="1" t="s">
        <v>1009</v>
      </c>
      <c r="B836" s="11" t="str">
        <f aca="false">DEC2HEX(C835+HEX2DEC(10000))</f>
        <v>1F648</v>
      </c>
      <c r="C836" s="1" t="n">
        <v>63048</v>
      </c>
      <c r="D836" s="9" t="str">
        <f aca="false">DEC2HEX(C836,8)</f>
        <v>0000F648</v>
      </c>
      <c r="E836" s="10" t="str">
        <f aca="false">_xlfn.UNICHAR(HEX2DEC(B836))</f>
        <v>🙈</v>
      </c>
      <c r="F836" s="1" t="n">
        <f aca="false">C836-C835</f>
        <v/>
      </c>
    </row>
    <row r="837" customFormat="false" ht="15" hidden="false" customHeight="false" outlineLevel="0" collapsed="false">
      <c r="A837" s="1" t="s">
        <v>1010</v>
      </c>
      <c r="B837" s="11" t="str">
        <f aca="false">DEC2HEX(C836+HEX2DEC(10000))</f>
        <v>1F649</v>
      </c>
      <c r="C837" s="1" t="n">
        <v>63049</v>
      </c>
      <c r="D837" s="9" t="str">
        <f aca="false">DEC2HEX(C837,8)</f>
        <v>0000F649</v>
      </c>
      <c r="E837" s="10" t="str">
        <f aca="false">_xlfn.UNICHAR(HEX2DEC(B837))</f>
        <v>🙉</v>
      </c>
      <c r="F837" s="1" t="n">
        <f aca="false">C837-C836</f>
        <v/>
      </c>
    </row>
    <row r="838" customFormat="false" ht="15" hidden="false" customHeight="false" outlineLevel="0" collapsed="false">
      <c r="A838" s="1" t="s">
        <v>1011</v>
      </c>
      <c r="B838" s="11" t="str">
        <f aca="false">DEC2HEX(C837+HEX2DEC(10000))</f>
        <v>1F64A</v>
      </c>
      <c r="C838" s="1" t="n">
        <v>63050</v>
      </c>
      <c r="D838" s="9" t="str">
        <f aca="false">DEC2HEX(C838,8)</f>
        <v>0000F64A</v>
      </c>
      <c r="E838" s="10" t="str">
        <f aca="false">_xlfn.UNICHAR(HEX2DEC(B838))</f>
        <v>🙊</v>
      </c>
      <c r="F838" s="1" t="n">
        <f aca="false">C838-C837</f>
        <v/>
      </c>
    </row>
    <row r="839" customFormat="false" ht="15" hidden="false" customHeight="false" outlineLevel="0" collapsed="false">
      <c r="A839" s="1" t="s">
        <v>1012</v>
      </c>
      <c r="B839" s="11" t="str">
        <f aca="false">DEC2HEX(C838+HEX2DEC(10000))</f>
        <v>1F64B</v>
      </c>
      <c r="C839" s="1" t="n">
        <v>63051</v>
      </c>
      <c r="D839" s="9" t="str">
        <f aca="false">DEC2HEX(C839,8)</f>
        <v>0000F64B</v>
      </c>
      <c r="E839" s="10" t="str">
        <f aca="false">_xlfn.UNICHAR(HEX2DEC(B839))</f>
        <v>🙋</v>
      </c>
      <c r="F839" s="1" t="n">
        <f aca="false">C839-C838</f>
        <v/>
      </c>
    </row>
    <row r="840" customFormat="false" ht="15" hidden="false" customHeight="false" outlineLevel="0" collapsed="false">
      <c r="A840" s="1" t="s">
        <v>1013</v>
      </c>
      <c r="B840" s="11" t="str">
        <f aca="false">DEC2HEX(C839+HEX2DEC(10000))</f>
        <v>1F64C</v>
      </c>
      <c r="C840" s="1" t="n">
        <v>63052</v>
      </c>
      <c r="D840" s="9" t="str">
        <f aca="false">DEC2HEX(C840,8)</f>
        <v>0000F64C</v>
      </c>
      <c r="E840" s="10" t="str">
        <f aca="false">_xlfn.UNICHAR(HEX2DEC(B840))</f>
        <v>🙌</v>
      </c>
      <c r="F840" s="1" t="n">
        <f aca="false">C840-C839</f>
        <v/>
      </c>
    </row>
    <row r="841" customFormat="false" ht="15" hidden="false" customHeight="false" outlineLevel="0" collapsed="false">
      <c r="A841" s="1" t="s">
        <v>1014</v>
      </c>
      <c r="B841" s="11" t="str">
        <f aca="false">DEC2HEX(C840+HEX2DEC(10000))</f>
        <v>1F64D</v>
      </c>
      <c r="C841" s="1" t="n">
        <v>63053</v>
      </c>
      <c r="D841" s="9" t="str">
        <f aca="false">DEC2HEX(C841,8)</f>
        <v>0000F64D</v>
      </c>
      <c r="E841" s="10" t="str">
        <f aca="false">_xlfn.UNICHAR(HEX2DEC(B841))</f>
        <v>🙍</v>
      </c>
      <c r="F841" s="1" t="n">
        <f aca="false">C841-C840</f>
        <v/>
      </c>
    </row>
    <row r="842" customFormat="false" ht="15" hidden="false" customHeight="false" outlineLevel="0" collapsed="false">
      <c r="A842" s="1" t="s">
        <v>1015</v>
      </c>
      <c r="B842" s="11" t="str">
        <f aca="false">DEC2HEX(C841+HEX2DEC(10000))</f>
        <v>1F64E</v>
      </c>
      <c r="C842" s="1" t="n">
        <v>63054</v>
      </c>
      <c r="D842" s="9" t="str">
        <f aca="false">DEC2HEX(C842,8)</f>
        <v>0000F64E</v>
      </c>
      <c r="E842" s="10" t="str">
        <f aca="false">_xlfn.UNICHAR(HEX2DEC(B842))</f>
        <v>🙎</v>
      </c>
      <c r="F842" s="1" t="n">
        <f aca="false">C842-C841</f>
        <v/>
      </c>
    </row>
    <row r="843" customFormat="false" ht="15" hidden="false" customHeight="false" outlineLevel="0" collapsed="false">
      <c r="A843" s="1" t="s">
        <v>1016</v>
      </c>
      <c r="B843" s="11" t="str">
        <f aca="false">DEC2HEX(C842+HEX2DEC(10000))</f>
        <v>1F64F</v>
      </c>
      <c r="C843" s="1" t="n">
        <v>63055</v>
      </c>
      <c r="D843" s="9" t="str">
        <f aca="false">DEC2HEX(C843,8)</f>
        <v>0000F64F</v>
      </c>
      <c r="E843" s="10" t="str">
        <f aca="false">_xlfn.UNICHAR(HEX2DEC(B843))</f>
        <v>🙏</v>
      </c>
      <c r="F843" s="1" t="n">
        <f aca="false">C843-C842</f>
        <v/>
      </c>
    </row>
    <row r="844" customFormat="false" ht="15" hidden="false" customHeight="false" outlineLevel="0" collapsed="false">
      <c r="A844" s="1" t="str">
        <f aca="false">_xlfn.TEXTJOIN( , ,"PRIVATE_EMOJI_",DEC2HEX(C843+64768))</f>
        <v>PRIVATE_EMOJI_1F440</v>
      </c>
      <c r="B844" s="11" t="str">
        <f aca="false">DEC2HEX(C843+HEX2DEC("fd00"))</f>
        <v>1F440</v>
      </c>
      <c r="C844" s="1" t="n">
        <v>63296</v>
      </c>
      <c r="D844" s="9" t="str">
        <f aca="false">DEC2HEX(C844,8)</f>
        <v>0000F740</v>
      </c>
      <c r="E844" s="10" t="str">
        <f aca="false">_xlfn.UNICHAR(HEX2DEC(B844))</f>
        <v>👀</v>
      </c>
      <c r="F844" s="1" t="n">
        <f aca="false">C844-C843</f>
        <v/>
      </c>
    </row>
    <row r="845" customFormat="false" ht="15" hidden="false" customHeight="false" outlineLevel="0" collapsed="false">
      <c r="A845" s="1" t="str">
        <f aca="false">_xlfn.TEXTJOIN( , ,"PRIVATE_EMOJI_",DEC2HEX(C844+64768))</f>
        <v>PRIVATE_EMOJI_1F441</v>
      </c>
      <c r="B845" s="11" t="str">
        <f aca="false">DEC2HEX(C844+HEX2DEC("fd00"))</f>
        <v>1F441</v>
      </c>
      <c r="C845" s="1" t="n">
        <v>63297</v>
      </c>
      <c r="D845" s="9" t="str">
        <f aca="false">DEC2HEX(C845,8)</f>
        <v>0000F741</v>
      </c>
      <c r="E845" s="10" t="str">
        <f aca="false">_xlfn.UNICHAR(HEX2DEC(B845))</f>
        <v>👁</v>
      </c>
      <c r="F845" s="1" t="n">
        <f aca="false">C845-C844</f>
        <v/>
      </c>
    </row>
    <row r="846" customFormat="false" ht="15" hidden="false" customHeight="false" outlineLevel="0" collapsed="false">
      <c r="A846" s="1" t="str">
        <f aca="false">_xlfn.TEXTJOIN( , ,"PRIVATE_EMOJI_",DEC2HEX(C845+64768))</f>
        <v>PRIVATE_EMOJI_1F442</v>
      </c>
      <c r="B846" s="11" t="str">
        <f aca="false">DEC2HEX(C845+HEX2DEC("fd00"))</f>
        <v>1F442</v>
      </c>
      <c r="C846" s="1" t="n">
        <v>63298</v>
      </c>
      <c r="D846" s="9" t="str">
        <f aca="false">DEC2HEX(C846,8)</f>
        <v>0000F742</v>
      </c>
      <c r="E846" s="10" t="str">
        <f aca="false">_xlfn.UNICHAR(HEX2DEC(B846))</f>
        <v>👂</v>
      </c>
      <c r="F846" s="1" t="n">
        <f aca="false">C846-C845</f>
        <v/>
      </c>
    </row>
    <row r="847" customFormat="false" ht="15" hidden="false" customHeight="false" outlineLevel="0" collapsed="false">
      <c r="A847" s="1" t="str">
        <f aca="false">_xlfn.TEXTJOIN( , ,"PRIVATE_EMOJI_",DEC2HEX(C846+64768))</f>
        <v>PRIVATE_EMOJI_1F443</v>
      </c>
      <c r="B847" s="11" t="str">
        <f aca="false">DEC2HEX(C846+HEX2DEC("fd00"))</f>
        <v>1F443</v>
      </c>
      <c r="C847" s="1" t="n">
        <v>63299</v>
      </c>
      <c r="D847" s="9" t="str">
        <f aca="false">DEC2HEX(C847,8)</f>
        <v>0000F743</v>
      </c>
      <c r="E847" s="10" t="str">
        <f aca="false">_xlfn.UNICHAR(HEX2DEC(B847))</f>
        <v>👃</v>
      </c>
      <c r="F847" s="1" t="n">
        <f aca="false">C847-C846</f>
        <v/>
      </c>
    </row>
    <row r="848" customFormat="false" ht="15" hidden="false" customHeight="false" outlineLevel="0" collapsed="false">
      <c r="A848" s="1" t="str">
        <f aca="false">_xlfn.TEXTJOIN( , ,"PRIVATE_EMOJI_",DEC2HEX(C847+64768))</f>
        <v>PRIVATE_EMOJI_1F444</v>
      </c>
      <c r="B848" s="11" t="str">
        <f aca="false">DEC2HEX(C847+HEX2DEC("fd00"))</f>
        <v>1F444</v>
      </c>
      <c r="C848" s="1" t="n">
        <v>63300</v>
      </c>
      <c r="D848" s="9" t="str">
        <f aca="false">DEC2HEX(C848,8)</f>
        <v>0000F744</v>
      </c>
      <c r="E848" s="10" t="str">
        <f aca="false">_xlfn.UNICHAR(HEX2DEC(B848))</f>
        <v>👄</v>
      </c>
      <c r="F848" s="1" t="n">
        <f aca="false">C848-C847</f>
        <v/>
      </c>
    </row>
    <row r="849" customFormat="false" ht="15" hidden="false" customHeight="false" outlineLevel="0" collapsed="false">
      <c r="A849" s="1" t="str">
        <f aca="false">_xlfn.TEXTJOIN( , ,"PRIVATE_EMOJI_",DEC2HEX(C848+64768))</f>
        <v>PRIVATE_EMOJI_1F445</v>
      </c>
      <c r="B849" s="11" t="str">
        <f aca="false">DEC2HEX(C848+HEX2DEC("fd00"))</f>
        <v>1F445</v>
      </c>
      <c r="C849" s="1" t="n">
        <v>63301</v>
      </c>
      <c r="D849" s="9" t="str">
        <f aca="false">DEC2HEX(C849,8)</f>
        <v>0000F745</v>
      </c>
      <c r="E849" s="10" t="str">
        <f aca="false">_xlfn.UNICHAR(HEX2DEC(B849))</f>
        <v>👅</v>
      </c>
      <c r="F849" s="1" t="n">
        <f aca="false">C849-C848</f>
        <v/>
      </c>
    </row>
    <row r="850" customFormat="false" ht="15" hidden="false" customHeight="false" outlineLevel="0" collapsed="false">
      <c r="A850" s="1" t="str">
        <f aca="false">_xlfn.TEXTJOIN( , ,"PRIVATE_EMOJI_",DEC2HEX(C849+64768))</f>
        <v>PRIVATE_EMOJI_1F446</v>
      </c>
      <c r="B850" s="11" t="str">
        <f aca="false">DEC2HEX(C849+HEX2DEC("fd00"))</f>
        <v>1F446</v>
      </c>
      <c r="C850" s="1" t="n">
        <v>63302</v>
      </c>
      <c r="D850" s="9" t="str">
        <f aca="false">DEC2HEX(C850,8)</f>
        <v>0000F746</v>
      </c>
      <c r="E850" s="10" t="str">
        <f aca="false">_xlfn.UNICHAR(HEX2DEC(B850))</f>
        <v>👆</v>
      </c>
      <c r="F850" s="1" t="n">
        <f aca="false">C850-C849</f>
        <v/>
      </c>
    </row>
    <row r="851" customFormat="false" ht="15" hidden="false" customHeight="false" outlineLevel="0" collapsed="false">
      <c r="A851" s="1" t="str">
        <f aca="false">_xlfn.TEXTJOIN( , ,"PRIVATE_EMOJI_",DEC2HEX(C850+64768))</f>
        <v>PRIVATE_EMOJI_1F447</v>
      </c>
      <c r="B851" s="11" t="str">
        <f aca="false">DEC2HEX(C850+HEX2DEC("fd00"))</f>
        <v>1F447</v>
      </c>
      <c r="C851" s="1" t="n">
        <v>63303</v>
      </c>
      <c r="D851" s="9" t="str">
        <f aca="false">DEC2HEX(C851,8)</f>
        <v>0000F747</v>
      </c>
      <c r="E851" s="10" t="str">
        <f aca="false">_xlfn.UNICHAR(HEX2DEC(B851))</f>
        <v>👇</v>
      </c>
      <c r="F851" s="1" t="n">
        <f aca="false">C851-C850</f>
        <v/>
      </c>
    </row>
    <row r="852" customFormat="false" ht="15" hidden="false" customHeight="false" outlineLevel="0" collapsed="false">
      <c r="A852" s="1" t="str">
        <f aca="false">_xlfn.TEXTJOIN( , ,"PRIVATE_EMOJI_",DEC2HEX(C851+64768))</f>
        <v>PRIVATE_EMOJI_1F448</v>
      </c>
      <c r="B852" s="11" t="str">
        <f aca="false">DEC2HEX(C851+HEX2DEC("fd00"))</f>
        <v>1F448</v>
      </c>
      <c r="C852" s="1" t="n">
        <v>63304</v>
      </c>
      <c r="D852" s="9" t="str">
        <f aca="false">DEC2HEX(C852,8)</f>
        <v>0000F748</v>
      </c>
      <c r="E852" s="10" t="str">
        <f aca="false">_xlfn.UNICHAR(HEX2DEC(B852))</f>
        <v>👈</v>
      </c>
      <c r="F852" s="1" t="n">
        <f aca="false">C852-C851</f>
        <v/>
      </c>
    </row>
    <row r="853" customFormat="false" ht="15" hidden="false" customHeight="false" outlineLevel="0" collapsed="false">
      <c r="A853" s="1" t="str">
        <f aca="false">_xlfn.TEXTJOIN( , ,"PRIVATE_EMOJI_",DEC2HEX(C852+64768))</f>
        <v>PRIVATE_EMOJI_1F449</v>
      </c>
      <c r="B853" s="11" t="str">
        <f aca="false">DEC2HEX(C852+HEX2DEC("fd00"))</f>
        <v>1F449</v>
      </c>
      <c r="C853" s="1" t="n">
        <v>63305</v>
      </c>
      <c r="D853" s="9" t="str">
        <f aca="false">DEC2HEX(C853,8)</f>
        <v>0000F749</v>
      </c>
      <c r="E853" s="10" t="str">
        <f aca="false">_xlfn.UNICHAR(HEX2DEC(B853))</f>
        <v>👉</v>
      </c>
      <c r="F853" s="1" t="n">
        <f aca="false">C853-C852</f>
        <v/>
      </c>
    </row>
    <row r="854" customFormat="false" ht="15" hidden="false" customHeight="false" outlineLevel="0" collapsed="false">
      <c r="A854" s="1" t="str">
        <f aca="false">_xlfn.TEXTJOIN( , ,"PRIVATE_EMOJI_",DEC2HEX(C853+64768))</f>
        <v>PRIVATE_EMOJI_1F44A</v>
      </c>
      <c r="B854" s="11" t="str">
        <f aca="false">DEC2HEX(C853+HEX2DEC("fd00"))</f>
        <v>1F44A</v>
      </c>
      <c r="C854" s="1" t="n">
        <v>63306</v>
      </c>
      <c r="D854" s="9" t="str">
        <f aca="false">DEC2HEX(C854,8)</f>
        <v>0000F74A</v>
      </c>
      <c r="E854" s="10" t="str">
        <f aca="false">_xlfn.UNICHAR(HEX2DEC(B854))</f>
        <v>👊</v>
      </c>
      <c r="F854" s="1" t="n">
        <f aca="false">C854-C853</f>
        <v/>
      </c>
    </row>
    <row r="855" customFormat="false" ht="15" hidden="false" customHeight="false" outlineLevel="0" collapsed="false">
      <c r="A855" s="1" t="str">
        <f aca="false">_xlfn.TEXTJOIN( , ,"PRIVATE_EMOJI_",DEC2HEX(C854+64768))</f>
        <v>PRIVATE_EMOJI_1F44B</v>
      </c>
      <c r="B855" s="11" t="str">
        <f aca="false">DEC2HEX(C854+HEX2DEC("fd00"))</f>
        <v>1F44B</v>
      </c>
      <c r="C855" s="1" t="n">
        <v>63307</v>
      </c>
      <c r="D855" s="9" t="str">
        <f aca="false">DEC2HEX(C855,8)</f>
        <v>0000F74B</v>
      </c>
      <c r="E855" s="10" t="str">
        <f aca="false">_xlfn.UNICHAR(HEX2DEC(B855))</f>
        <v>👋</v>
      </c>
      <c r="F855" s="1" t="n">
        <f aca="false">C855-C854</f>
        <v/>
      </c>
    </row>
    <row r="856" customFormat="false" ht="15" hidden="false" customHeight="false" outlineLevel="0" collapsed="false">
      <c r="A856" s="1" t="str">
        <f aca="false">_xlfn.TEXTJOIN( , ,"PRIVATE_EMOJI_",DEC2HEX(C855+64768))</f>
        <v>PRIVATE_EMOJI_1F44C</v>
      </c>
      <c r="B856" s="11" t="str">
        <f aca="false">DEC2HEX(C855+HEX2DEC("fd00"))</f>
        <v>1F44C</v>
      </c>
      <c r="C856" s="1" t="n">
        <v>63308</v>
      </c>
      <c r="D856" s="9" t="str">
        <f aca="false">DEC2HEX(C856,8)</f>
        <v>0000F74C</v>
      </c>
      <c r="E856" s="10" t="str">
        <f aca="false">_xlfn.UNICHAR(HEX2DEC(B856))</f>
        <v>👌</v>
      </c>
      <c r="F856" s="1" t="n">
        <f aca="false">C856-C855</f>
        <v/>
      </c>
    </row>
    <row r="857" customFormat="false" ht="15" hidden="false" customHeight="false" outlineLevel="0" collapsed="false">
      <c r="A857" s="1" t="str">
        <f aca="false">_xlfn.TEXTJOIN( , ,"PRIVATE_EMOJI_",DEC2HEX(C856+64768))</f>
        <v>PRIVATE_EMOJI_1F44D</v>
      </c>
      <c r="B857" s="11" t="str">
        <f aca="false">DEC2HEX(C856+HEX2DEC("fd00"))</f>
        <v>1F44D</v>
      </c>
      <c r="C857" s="1" t="n">
        <v>63309</v>
      </c>
      <c r="D857" s="9" t="str">
        <f aca="false">DEC2HEX(C857,8)</f>
        <v>0000F74D</v>
      </c>
      <c r="E857" s="10" t="str">
        <f aca="false">_xlfn.UNICHAR(HEX2DEC(B857))</f>
        <v>👍</v>
      </c>
      <c r="F857" s="1" t="n">
        <f aca="false">C857-C856</f>
        <v/>
      </c>
    </row>
    <row r="858" customFormat="false" ht="15" hidden="false" customHeight="false" outlineLevel="0" collapsed="false">
      <c r="A858" s="1" t="str">
        <f aca="false">_xlfn.TEXTJOIN( , ,"PRIVATE_EMOJI_",DEC2HEX(C857+64768))</f>
        <v>PRIVATE_EMOJI_1F44E</v>
      </c>
      <c r="B858" s="11" t="str">
        <f aca="false">DEC2HEX(C857+HEX2DEC("fd00"))</f>
        <v>1F44E</v>
      </c>
      <c r="C858" s="1" t="n">
        <v>63310</v>
      </c>
      <c r="D858" s="9" t="str">
        <f aca="false">DEC2HEX(C858,8)</f>
        <v>0000F74E</v>
      </c>
      <c r="E858" s="10" t="str">
        <f aca="false">_xlfn.UNICHAR(HEX2DEC(B858))</f>
        <v>👎</v>
      </c>
      <c r="F858" s="1" t="n">
        <f aca="false">C858-C857</f>
        <v/>
      </c>
    </row>
    <row r="859" customFormat="false" ht="15" hidden="false" customHeight="false" outlineLevel="0" collapsed="false">
      <c r="A859" s="1" t="str">
        <f aca="false">_xlfn.TEXTJOIN( , ,"PRIVATE_EMOJI_",DEC2HEX(C858+64768))</f>
        <v>PRIVATE_EMOJI_1F44F</v>
      </c>
      <c r="B859" s="11" t="str">
        <f aca="false">DEC2HEX(C858+HEX2DEC("fd00"))</f>
        <v>1F44F</v>
      </c>
      <c r="C859" s="1" t="n">
        <v>63311</v>
      </c>
      <c r="D859" s="9" t="str">
        <f aca="false">DEC2HEX(C859,8)</f>
        <v>0000F74F</v>
      </c>
      <c r="E859" s="10" t="str">
        <f aca="false">_xlfn.UNICHAR(HEX2DEC(B859))</f>
        <v>👏</v>
      </c>
      <c r="F859" s="1" t="n">
        <f aca="false">C859-C858</f>
        <v/>
      </c>
    </row>
    <row r="860" customFormat="false" ht="15" hidden="false" customHeight="false" outlineLevel="0" collapsed="false">
      <c r="A860" s="1" t="str">
        <f aca="false">_xlfn.TEXTJOIN( , ,"PRIVATE_EMOJI_",DEC2HEX(C859+64768))</f>
        <v>PRIVATE_EMOJI_1F450</v>
      </c>
      <c r="B860" s="11" t="str">
        <f aca="false">DEC2HEX(C859+HEX2DEC("fd00"))</f>
        <v>1F450</v>
      </c>
      <c r="C860" s="1" t="n">
        <v>63312</v>
      </c>
      <c r="D860" s="9" t="str">
        <f aca="false">DEC2HEX(C860,8)</f>
        <v>0000F750</v>
      </c>
      <c r="E860" s="10" t="str">
        <f aca="false">_xlfn.UNICHAR(HEX2DEC(B860))</f>
        <v>👐</v>
      </c>
      <c r="F860" s="1" t="n">
        <f aca="false">C860-C859</f>
        <v/>
      </c>
    </row>
    <row r="861" customFormat="false" ht="15" hidden="false" customHeight="false" outlineLevel="0" collapsed="false">
      <c r="A861" s="1" t="str">
        <f aca="false">_xlfn.TEXTJOIN( , ,"PRIVATE_EMOJI_",DEC2HEX(C860+64768))</f>
        <v>PRIVATE_EMOJI_1F451</v>
      </c>
      <c r="B861" s="11" t="str">
        <f aca="false">DEC2HEX(C860+HEX2DEC("fd00"))</f>
        <v>1F451</v>
      </c>
      <c r="C861" s="1" t="n">
        <v>63313</v>
      </c>
      <c r="D861" s="9" t="str">
        <f aca="false">DEC2HEX(C861,8)</f>
        <v>0000F751</v>
      </c>
      <c r="E861" s="10" t="str">
        <f aca="false">_xlfn.UNICHAR(HEX2DEC(B861))</f>
        <v>👑</v>
      </c>
      <c r="F861" s="1" t="n">
        <f aca="false">C861-C860</f>
        <v/>
      </c>
    </row>
    <row r="862" customFormat="false" ht="15" hidden="false" customHeight="false" outlineLevel="0" collapsed="false">
      <c r="A862" s="1" t="str">
        <f aca="false">_xlfn.TEXTJOIN( , ,"PRIVATE_EMOJI_",DEC2HEX(C861+64768))</f>
        <v>PRIVATE_EMOJI_1F452</v>
      </c>
      <c r="B862" s="11" t="str">
        <f aca="false">DEC2HEX(C861+HEX2DEC("fd00"))</f>
        <v>1F452</v>
      </c>
      <c r="C862" s="1" t="n">
        <v>63314</v>
      </c>
      <c r="D862" s="9" t="str">
        <f aca="false">DEC2HEX(C862,8)</f>
        <v>0000F752</v>
      </c>
      <c r="E862" s="10" t="str">
        <f aca="false">_xlfn.UNICHAR(HEX2DEC(B862))</f>
        <v>👒</v>
      </c>
      <c r="F862" s="1" t="n">
        <f aca="false">C862-C861</f>
        <v/>
      </c>
    </row>
    <row r="863" customFormat="false" ht="15" hidden="false" customHeight="false" outlineLevel="0" collapsed="false">
      <c r="A863" s="1" t="str">
        <f aca="false">_xlfn.TEXTJOIN( , ,"PRIVATE_EMOJI_",DEC2HEX(C862+64768))</f>
        <v>PRIVATE_EMOJI_1F453</v>
      </c>
      <c r="B863" s="11" t="str">
        <f aca="false">DEC2HEX(C862+HEX2DEC("fd00"))</f>
        <v>1F453</v>
      </c>
      <c r="C863" s="1" t="n">
        <v>63315</v>
      </c>
      <c r="D863" s="9" t="str">
        <f aca="false">DEC2HEX(C863,8)</f>
        <v>0000F753</v>
      </c>
      <c r="E863" s="10" t="str">
        <f aca="false">_xlfn.UNICHAR(HEX2DEC(B863))</f>
        <v>👓</v>
      </c>
      <c r="F863" s="1" t="n">
        <f aca="false">C863-C862</f>
        <v/>
      </c>
    </row>
    <row r="864" customFormat="false" ht="15" hidden="false" customHeight="false" outlineLevel="0" collapsed="false">
      <c r="A864" s="1" t="str">
        <f aca="false">_xlfn.TEXTJOIN( , ,"PRIVATE_EMOJI_",DEC2HEX(C863+64768))</f>
        <v>PRIVATE_EMOJI_1F47B</v>
      </c>
      <c r="B864" s="11" t="str">
        <f aca="false">DEC2HEX(C863+HEX2DEC("fd00"))</f>
        <v>1F47B</v>
      </c>
      <c r="C864" s="1" t="n">
        <f aca="false">128123-64768</f>
        <v>63355</v>
      </c>
      <c r="D864" s="9" t="str">
        <f aca="false">DEC2HEX(C864,8)</f>
        <v>0000F77B</v>
      </c>
      <c r="E864" s="10" t="str">
        <f aca="false">_xlfn.UNICHAR(HEX2DEC(B864))</f>
        <v>👻</v>
      </c>
      <c r="F864" s="1" t="n">
        <f aca="false">C864-C863</f>
        <v>24728</v>
      </c>
    </row>
    <row r="865" customFormat="false" ht="15" hidden="false" customHeight="false" outlineLevel="0" collapsed="false">
      <c r="A865" s="1" t="str">
        <f aca="false">_xlfn.TEXTJOIN( , ,"PRIVATE_EMOJI_",DEC2HEX(C864+64768))</f>
        <v>PRIVATE_EMOJI_1F47C</v>
      </c>
      <c r="B865" s="11" t="str">
        <f aca="false">DEC2HEX(C864+HEX2DEC("fd00"))</f>
        <v>1F47C</v>
      </c>
      <c r="C865" s="1" t="n">
        <v>63356</v>
      </c>
      <c r="D865" s="9" t="str">
        <f aca="false">DEC2HEX(C865,8)</f>
        <v>0000F77C</v>
      </c>
      <c r="E865" s="10" t="str">
        <f aca="false">_xlfn.UNICHAR(HEX2DEC(B865))</f>
        <v>👼</v>
      </c>
      <c r="F865" s="1" t="n">
        <f aca="false">C865-C864</f>
        <v/>
      </c>
    </row>
    <row r="866" customFormat="false" ht="15" hidden="false" customHeight="false" outlineLevel="0" collapsed="false">
      <c r="A866" s="1" t="str">
        <f aca="false">_xlfn.TEXTJOIN( , ,"PRIVATE_EMOJI_",DEC2HEX(C865+64768))</f>
        <v>PRIVATE_EMOJI_1F47D</v>
      </c>
      <c r="B866" s="11" t="str">
        <f aca="false">DEC2HEX(C865+HEX2DEC("fd00"))</f>
        <v>1F47D</v>
      </c>
      <c r="C866" s="1" t="n">
        <v>63357</v>
      </c>
      <c r="D866" s="9" t="str">
        <f aca="false">DEC2HEX(C866,8)</f>
        <v>0000F77D</v>
      </c>
      <c r="E866" s="10" t="str">
        <f aca="false">_xlfn.UNICHAR(HEX2DEC(B866))</f>
        <v>👽</v>
      </c>
      <c r="F866" s="1" t="n">
        <f aca="false">C866-C865</f>
        <v/>
      </c>
    </row>
    <row r="867" customFormat="false" ht="15" hidden="false" customHeight="false" outlineLevel="0" collapsed="false">
      <c r="A867" s="1" t="str">
        <f aca="false">_xlfn.TEXTJOIN( , ,"PRIVATE_EMOJI_",DEC2HEX(C866+64768))</f>
        <v>PRIVATE_EMOJI_1F47E</v>
      </c>
      <c r="B867" s="11" t="str">
        <f aca="false">DEC2HEX(C866+HEX2DEC("fd00"))</f>
        <v>1F47E</v>
      </c>
      <c r="C867" s="1" t="n">
        <v>63358</v>
      </c>
      <c r="D867" s="9" t="str">
        <f aca="false">DEC2HEX(C867,8)</f>
        <v>0000F77E</v>
      </c>
      <c r="E867" s="10" t="str">
        <f aca="false">_xlfn.UNICHAR(HEX2DEC(B867))</f>
        <v>👾</v>
      </c>
      <c r="F867" s="1" t="n">
        <f aca="false">C867-C866</f>
        <v/>
      </c>
    </row>
    <row r="868" customFormat="false" ht="15" hidden="false" customHeight="false" outlineLevel="0" collapsed="false">
      <c r="A868" s="1" t="str">
        <f aca="false">_xlfn.TEXTJOIN( , ,"PRIVATE_EMOJI_",DEC2HEX(C867+64768))</f>
        <v>PRIVATE_EMOJI_1F47F</v>
      </c>
      <c r="B868" s="11" t="str">
        <f aca="false">DEC2HEX(C867+HEX2DEC("fd00"))</f>
        <v>1F47F</v>
      </c>
      <c r="C868" s="1" t="n">
        <v>63359</v>
      </c>
      <c r="D868" s="9" t="str">
        <f aca="false">DEC2HEX(C868,8)</f>
        <v>0000F77F</v>
      </c>
      <c r="E868" s="10" t="str">
        <f aca="false">_xlfn.UNICHAR(HEX2DEC(B868))</f>
        <v>👿</v>
      </c>
      <c r="F868" s="1" t="n">
        <f aca="false">C868-C867</f>
        <v/>
      </c>
    </row>
    <row r="869" customFormat="false" ht="15" hidden="false" customHeight="false" outlineLevel="0" collapsed="false">
      <c r="A869" s="1" t="str">
        <f aca="false">_xlfn.TEXTJOIN( , ,"PRIVATE_EMOJI_",DEC2HEX(C868+64768))</f>
        <v>PRIVATE_EMOJI_1F480</v>
      </c>
      <c r="B869" s="11" t="str">
        <f aca="false">DEC2HEX(C868+HEX2DEC("fd00"))</f>
        <v>1F480</v>
      </c>
      <c r="C869" s="1" t="n">
        <v>63360</v>
      </c>
      <c r="D869" s="9" t="str">
        <f aca="false">DEC2HEX(C869,8)</f>
        <v>0000F780</v>
      </c>
      <c r="E869" s="10" t="str">
        <f aca="false">_xlfn.UNICHAR(HEX2DEC(B869))</f>
        <v>💀</v>
      </c>
      <c r="F869" s="1" t="n">
        <f aca="false">C869-C868</f>
        <v/>
      </c>
    </row>
    <row r="870" customFormat="false" ht="15" hidden="false" customHeight="false" outlineLevel="0" collapsed="false">
      <c r="A870" s="1" t="str">
        <f aca="false">_xlfn.TEXTJOIN( , ,"PRIVATE_EMOJI_",DEC2HEX(C869+64768))</f>
        <v>PRIVATE_EMOJI_1F481</v>
      </c>
      <c r="B870" s="11" t="str">
        <f aca="false">DEC2HEX(C869+HEX2DEC("fd00"))</f>
        <v>1F481</v>
      </c>
      <c r="C870" s="1" t="n">
        <v>63361</v>
      </c>
      <c r="D870" s="9" t="str">
        <f aca="false">DEC2HEX(C870,8)</f>
        <v>0000F781</v>
      </c>
      <c r="E870" s="10" t="str">
        <f aca="false">_xlfn.UNICHAR(HEX2DEC(B870))</f>
        <v>💁</v>
      </c>
      <c r="F870" s="1" t="n">
        <f aca="false">C870-C869</f>
        <v/>
      </c>
    </row>
    <row r="871" customFormat="false" ht="15" hidden="false" customHeight="false" outlineLevel="0" collapsed="false">
      <c r="A871" s="1" t="str">
        <f aca="false">_xlfn.TEXTJOIN( , ,"PRIVATE_EMOJI_",DEC2HEX(C870+64768))</f>
        <v>PRIVATE_EMOJI_1F482</v>
      </c>
      <c r="B871" s="11" t="str">
        <f aca="false">DEC2HEX(C870+HEX2DEC("fd00"))</f>
        <v>1F482</v>
      </c>
      <c r="C871" s="1" t="n">
        <v>63362</v>
      </c>
      <c r="D871" s="9" t="str">
        <f aca="false">DEC2HEX(C871,8)</f>
        <v>0000F782</v>
      </c>
      <c r="E871" s="10" t="str">
        <f aca="false">_xlfn.UNICHAR(HEX2DEC(B871))</f>
        <v>💂</v>
      </c>
      <c r="F871" s="1" t="n">
        <f aca="false">C871-C870</f>
        <v/>
      </c>
    </row>
    <row r="872" customFormat="false" ht="15" hidden="false" customHeight="false" outlineLevel="0" collapsed="false">
      <c r="A872" s="1" t="str">
        <f aca="false">_xlfn.TEXTJOIN( , ,"PRIVATE_EMOJI_",DEC2HEX(C871+64768))</f>
        <v>PRIVATE_EMOJI_1F483</v>
      </c>
      <c r="B872" s="11" t="str">
        <f aca="false">DEC2HEX(C871+HEX2DEC("fd00"))</f>
        <v>1F483</v>
      </c>
      <c r="C872" s="1" t="n">
        <v>63363</v>
      </c>
      <c r="D872" s="9" t="str">
        <f aca="false">DEC2HEX(C872,8)</f>
        <v>0000F783</v>
      </c>
      <c r="E872" s="10" t="str">
        <f aca="false">_xlfn.UNICHAR(HEX2DEC(B872))</f>
        <v>💃</v>
      </c>
      <c r="F872" s="1" t="n">
        <f aca="false">C872-C871</f>
        <v/>
      </c>
    </row>
    <row r="873" customFormat="false" ht="15" hidden="false" customHeight="false" outlineLevel="0" collapsed="false">
      <c r="A873" s="1" t="str">
        <f aca="false">_xlfn.TEXTJOIN( , ,"PRIVATE_EMOJI_",DEC2HEX(C872+64768))</f>
        <v>PRIVATE_EMOJI_1F484</v>
      </c>
      <c r="B873" s="11" t="str">
        <f aca="false">DEC2HEX(C872+HEX2DEC("fd00"))</f>
        <v>1F484</v>
      </c>
      <c r="C873" s="1" t="n">
        <v>63364</v>
      </c>
      <c r="D873" s="9" t="str">
        <f aca="false">DEC2HEX(C873,8)</f>
        <v>0000F784</v>
      </c>
      <c r="E873" s="10" t="str">
        <f aca="false">_xlfn.UNICHAR(HEX2DEC(B873))</f>
        <v>💄</v>
      </c>
      <c r="F873" s="1" t="n">
        <f aca="false">C873-C872</f>
        <v/>
      </c>
    </row>
    <row r="874" customFormat="false" ht="15" hidden="false" customHeight="false" outlineLevel="0" collapsed="false">
      <c r="A874" s="1" t="str">
        <f aca="false">_xlfn.TEXTJOIN( , ,"PRIVATE_EMOJI_",DEC2HEX(C873+64768))</f>
        <v>PRIVATE_EMOJI_1F485</v>
      </c>
      <c r="B874" s="11" t="str">
        <f aca="false">DEC2HEX(C873+HEX2DEC("fd00"))</f>
        <v>1F485</v>
      </c>
      <c r="C874" s="1" t="n">
        <v>63365</v>
      </c>
      <c r="D874" s="9" t="str">
        <f aca="false">DEC2HEX(C874,8)</f>
        <v>0000F785</v>
      </c>
      <c r="E874" s="10" t="str">
        <f aca="false">_xlfn.UNICHAR(HEX2DEC(B874))</f>
        <v>💅</v>
      </c>
      <c r="F874" s="1" t="n">
        <f aca="false">C874-C873</f>
        <v/>
      </c>
    </row>
    <row r="875" customFormat="false" ht="15" hidden="false" customHeight="false" outlineLevel="0" collapsed="false">
      <c r="A875" s="1" t="str">
        <f aca="false">_xlfn.TEXTJOIN( , ,"PRIVATE_EMOJI_",DEC2HEX(C874+64768))</f>
        <v>PRIVATE_EMOJI_1F489</v>
      </c>
      <c r="B875" s="11" t="str">
        <f aca="false">DEC2HEX(C874+HEX2DEC("fd00"))</f>
        <v>1F489</v>
      </c>
      <c r="C875" s="1" t="n">
        <v>63369</v>
      </c>
      <c r="D875" s="9" t="str">
        <f aca="false">DEC2HEX(C875,8)</f>
        <v>0000F789</v>
      </c>
      <c r="E875" s="10" t="str">
        <f aca="false">_xlfn.UNICHAR(HEX2DEC(B875))</f>
        <v>💉</v>
      </c>
      <c r="F875" s="1" t="n">
        <f aca="false">C875-C874</f>
        <v/>
      </c>
    </row>
    <row r="876" customFormat="false" ht="15" hidden="false" customHeight="false" outlineLevel="0" collapsed="false">
      <c r="A876" s="1" t="str">
        <f aca="false">_xlfn.TEXTJOIN( , ,"PRIVATE_EMOJI_",DEC2HEX(C875+64768))</f>
        <v>PRIVATE_EMOJI_1F48A</v>
      </c>
      <c r="B876" s="11" t="str">
        <f aca="false">DEC2HEX(C875+HEX2DEC("fd00"))</f>
        <v>1F48A</v>
      </c>
      <c r="C876" s="1" t="n">
        <v>63370</v>
      </c>
      <c r="D876" s="9" t="str">
        <f aca="false">DEC2HEX(C876,8)</f>
        <v>0000F78A</v>
      </c>
      <c r="E876" s="10" t="str">
        <f aca="false">_xlfn.UNICHAR(HEX2DEC(B876))</f>
        <v>💊</v>
      </c>
      <c r="F876" s="1" t="n">
        <f aca="false">C876-C875</f>
        <v/>
      </c>
    </row>
    <row r="877" customFormat="false" ht="15" hidden="false" customHeight="false" outlineLevel="0" collapsed="false">
      <c r="A877" s="1" t="str">
        <f aca="false">_xlfn.TEXTJOIN( , ,"PRIVATE_EMOJI_",DEC2HEX(C876+64768))</f>
        <v>PRIVATE_EMOJI_1F48B</v>
      </c>
      <c r="B877" s="11" t="str">
        <f aca="false">DEC2HEX(C876+HEX2DEC("fd00"))</f>
        <v>1F48B</v>
      </c>
      <c r="C877" s="1" t="n">
        <v>63371</v>
      </c>
      <c r="D877" s="9" t="str">
        <f aca="false">DEC2HEX(C877,8)</f>
        <v>0000F78B</v>
      </c>
      <c r="E877" s="10" t="str">
        <f aca="false">_xlfn.UNICHAR(HEX2DEC(B877))</f>
        <v>💋</v>
      </c>
      <c r="F877" s="1" t="n">
        <f aca="false">C877-C876</f>
        <v/>
      </c>
    </row>
    <row r="878" customFormat="false" ht="15" hidden="false" customHeight="false" outlineLevel="0" collapsed="false">
      <c r="A878" s="1" t="str">
        <f aca="false">_xlfn.TEXTJOIN( , ,"PRIVATE_EMOJI_",DEC2HEX(C877+64768))</f>
        <v>PRIVATE_EMOJI_1F48C</v>
      </c>
      <c r="B878" s="11" t="str">
        <f aca="false">DEC2HEX(C877+HEX2DEC("fd00"))</f>
        <v>1F48C</v>
      </c>
      <c r="C878" s="1" t="n">
        <v>63372</v>
      </c>
      <c r="D878" s="9" t="str">
        <f aca="false">DEC2HEX(C878,8)</f>
        <v>0000F78C</v>
      </c>
      <c r="E878" s="10" t="str">
        <f aca="false">_xlfn.UNICHAR(HEX2DEC(B878))</f>
        <v>💌</v>
      </c>
      <c r="F878" s="1" t="n">
        <f aca="false">C878-C877</f>
        <v/>
      </c>
    </row>
    <row r="879" customFormat="false" ht="15" hidden="false" customHeight="false" outlineLevel="0" collapsed="false">
      <c r="A879" s="1" t="str">
        <f aca="false">_xlfn.TEXTJOIN( , ,"PRIVATE_EMOJI_",DEC2HEX(C878+64768))</f>
        <v>PRIVATE_EMOJI_1F48D</v>
      </c>
      <c r="B879" s="11" t="str">
        <f aca="false">DEC2HEX(C878+HEX2DEC("fd00"))</f>
        <v>1F48D</v>
      </c>
      <c r="C879" s="1" t="n">
        <v>63373</v>
      </c>
      <c r="D879" s="9" t="str">
        <f aca="false">DEC2HEX(C879,8)</f>
        <v>0000F78D</v>
      </c>
      <c r="E879" s="10" t="str">
        <f aca="false">_xlfn.UNICHAR(HEX2DEC(B879))</f>
        <v>💍</v>
      </c>
      <c r="F879" s="1" t="n">
        <f aca="false">C879-C878</f>
        <v/>
      </c>
    </row>
    <row r="880" customFormat="false" ht="15" hidden="false" customHeight="false" outlineLevel="0" collapsed="false">
      <c r="A880" s="1" t="str">
        <f aca="false">_xlfn.TEXTJOIN( , ,"PRIVATE_EMOJI_",DEC2HEX(C879+64768))</f>
        <v>PRIVATE_EMOJI_1F48E</v>
      </c>
      <c r="B880" s="11" t="str">
        <f aca="false">DEC2HEX(C879+HEX2DEC("fd00"))</f>
        <v>1F48E</v>
      </c>
      <c r="C880" s="1" t="n">
        <v>63374</v>
      </c>
      <c r="D880" s="9" t="str">
        <f aca="false">DEC2HEX(C880,8)</f>
        <v>0000F78E</v>
      </c>
      <c r="E880" s="10" t="str">
        <f aca="false">_xlfn.UNICHAR(HEX2DEC(B880))</f>
        <v>💎</v>
      </c>
      <c r="F880" s="1" t="n">
        <f aca="false">C880-C879</f>
        <v/>
      </c>
    </row>
    <row r="881" customFormat="false" ht="15" hidden="false" customHeight="false" outlineLevel="0" collapsed="false">
      <c r="A881" s="1" t="str">
        <f aca="false">_xlfn.TEXTJOIN( , ,"PRIVATE_EMOJI_",DEC2HEX(C880+64768))</f>
        <v>PRIVATE_EMOJI_1F48F</v>
      </c>
      <c r="B881" s="11" t="str">
        <f aca="false">DEC2HEX(C880+HEX2DEC("fd00"))</f>
        <v>1F48F</v>
      </c>
      <c r="C881" s="1" t="n">
        <v>63375</v>
      </c>
      <c r="D881" s="9" t="str">
        <f aca="false">DEC2HEX(C881,8)</f>
        <v>0000F78F</v>
      </c>
      <c r="E881" s="10" t="str">
        <f aca="false">_xlfn.UNICHAR(HEX2DEC(B881))</f>
        <v>💏</v>
      </c>
      <c r="F881" s="1" t="n">
        <f aca="false">C881-C880</f>
        <v/>
      </c>
    </row>
    <row r="882" customFormat="false" ht="15" hidden="false" customHeight="false" outlineLevel="0" collapsed="false">
      <c r="A882" s="1" t="str">
        <f aca="false">_xlfn.TEXTJOIN( , ,"PRIVATE_EMOJI_",DEC2HEX(C881+64768))</f>
        <v>PRIVATE_EMOJI_1F490</v>
      </c>
      <c r="B882" s="11" t="str">
        <f aca="false">DEC2HEX(C881+HEX2DEC("fd00"))</f>
        <v>1F490</v>
      </c>
      <c r="C882" s="1" t="n">
        <v>63376</v>
      </c>
      <c r="D882" s="9" t="str">
        <f aca="false">DEC2HEX(C882,8)</f>
        <v>0000F790</v>
      </c>
      <c r="E882" s="10" t="str">
        <f aca="false">_xlfn.UNICHAR(HEX2DEC(B882))</f>
        <v>💐</v>
      </c>
      <c r="F882" s="1" t="n">
        <f aca="false">C882-C881</f>
        <v/>
      </c>
    </row>
    <row r="883" customFormat="false" ht="15" hidden="false" customHeight="false" outlineLevel="0" collapsed="false">
      <c r="A883" s="1" t="str">
        <f aca="false">_xlfn.TEXTJOIN( , ,"PRIVATE_EMOJI_",DEC2HEX(C882+64768))</f>
        <v>PRIVATE_EMOJI_1F491</v>
      </c>
      <c r="B883" s="11" t="str">
        <f aca="false">DEC2HEX(C882+HEX2DEC("fd00"))</f>
        <v>1F491</v>
      </c>
      <c r="C883" s="1" t="n">
        <v>63377</v>
      </c>
      <c r="D883" s="9" t="str">
        <f aca="false">DEC2HEX(C883,8)</f>
        <v>0000F791</v>
      </c>
      <c r="E883" s="10" t="str">
        <f aca="false">_xlfn.UNICHAR(HEX2DEC(B883))</f>
        <v>💑</v>
      </c>
      <c r="F883" s="1" t="n">
        <f aca="false">C883-C882</f>
        <v/>
      </c>
    </row>
    <row r="884" customFormat="false" ht="15" hidden="false" customHeight="false" outlineLevel="0" collapsed="false">
      <c r="A884" s="1" t="str">
        <f aca="false">_xlfn.TEXTJOIN( , ,"PRIVATE_EMOJI_",DEC2HEX(C883+64768))</f>
        <v>PRIVATE_EMOJI_1F492</v>
      </c>
      <c r="B884" s="11" t="str">
        <f aca="false">DEC2HEX(C883+HEX2DEC("fd00"))</f>
        <v>1F492</v>
      </c>
      <c r="C884" s="1" t="n">
        <v>63378</v>
      </c>
      <c r="D884" s="9" t="str">
        <f aca="false">DEC2HEX(C884,8)</f>
        <v>0000F792</v>
      </c>
      <c r="E884" s="10" t="str">
        <f aca="false">_xlfn.UNICHAR(HEX2DEC(B884))</f>
        <v>💒</v>
      </c>
      <c r="F884" s="1" t="n">
        <f aca="false">C884-C883</f>
        <v/>
      </c>
    </row>
    <row r="885" customFormat="false" ht="15" hidden="false" customHeight="false" outlineLevel="0" collapsed="false">
      <c r="A885" s="1" t="str">
        <f aca="false">_xlfn.TEXTJOIN( , ,"PRIVATE_EMOJI_",DEC2HEX(C884+64768))</f>
        <v>PRIVATE_EMOJI_1F493</v>
      </c>
      <c r="B885" s="11" t="str">
        <f aca="false">DEC2HEX(C884+HEX2DEC("fd00"))</f>
        <v>1F493</v>
      </c>
      <c r="C885" s="1" t="n">
        <v>63379</v>
      </c>
      <c r="D885" s="9" t="str">
        <f aca="false">DEC2HEX(C885,8)</f>
        <v>0000F793</v>
      </c>
      <c r="E885" s="10" t="str">
        <f aca="false">_xlfn.UNICHAR(HEX2DEC(B885))</f>
        <v>💓</v>
      </c>
      <c r="F885" s="1" t="n">
        <f aca="false">C885-C884</f>
        <v/>
      </c>
    </row>
    <row r="886" customFormat="false" ht="15" hidden="false" customHeight="false" outlineLevel="0" collapsed="false">
      <c r="A886" s="1" t="str">
        <f aca="false">_xlfn.TEXTJOIN( , ,"PRIVATE_EMOJI_",DEC2HEX(C885+64768))</f>
        <v>PRIVATE_EMOJI_1F494</v>
      </c>
      <c r="B886" s="11" t="str">
        <f aca="false">DEC2HEX(C885+HEX2DEC("fd00"))</f>
        <v>1F494</v>
      </c>
      <c r="C886" s="1" t="n">
        <v>63380</v>
      </c>
      <c r="D886" s="9" t="str">
        <f aca="false">DEC2HEX(C886,8)</f>
        <v>0000F794</v>
      </c>
      <c r="E886" s="10" t="str">
        <f aca="false">_xlfn.UNICHAR(HEX2DEC(B886))</f>
        <v>💔</v>
      </c>
      <c r="F886" s="1" t="n">
        <f aca="false">C886-C885</f>
        <v/>
      </c>
    </row>
    <row r="887" customFormat="false" ht="15" hidden="false" customHeight="false" outlineLevel="0" collapsed="false">
      <c r="A887" s="1" t="str">
        <f aca="false">_xlfn.TEXTJOIN( , ,"PRIVATE_EMOJI_",DEC2HEX(C886+64768))</f>
        <v>PRIVATE_EMOJI_1F495</v>
      </c>
      <c r="B887" s="11" t="str">
        <f aca="false">DEC2HEX(C886+HEX2DEC("fd00"))</f>
        <v>1F495</v>
      </c>
      <c r="C887" s="1" t="n">
        <v>63381</v>
      </c>
      <c r="D887" s="9" t="str">
        <f aca="false">DEC2HEX(C887,8)</f>
        <v>0000F795</v>
      </c>
      <c r="E887" s="10" t="str">
        <f aca="false">_xlfn.UNICHAR(HEX2DEC(B887))</f>
        <v>💕</v>
      </c>
      <c r="F887" s="1" t="n">
        <f aca="false">C887-C886</f>
        <v/>
      </c>
    </row>
    <row r="888" customFormat="false" ht="15" hidden="false" customHeight="false" outlineLevel="0" collapsed="false">
      <c r="A888" s="1" t="str">
        <f aca="false">_xlfn.TEXTJOIN( , ,"PRIVATE_EMOJI_",DEC2HEX(C887+64768))</f>
        <v>PRIVATE_EMOJI_1F496</v>
      </c>
      <c r="B888" s="11" t="str">
        <f aca="false">DEC2HEX(C887+HEX2DEC("fd00"))</f>
        <v>1F496</v>
      </c>
      <c r="C888" s="1" t="n">
        <v>63382</v>
      </c>
      <c r="D888" s="9" t="str">
        <f aca="false">DEC2HEX(C888,8)</f>
        <v>0000F796</v>
      </c>
      <c r="E888" s="10" t="str">
        <f aca="false">_xlfn.UNICHAR(HEX2DEC(B888))</f>
        <v>💖</v>
      </c>
      <c r="F888" s="1" t="n">
        <f aca="false">C888-C887</f>
        <v/>
      </c>
    </row>
    <row r="889" customFormat="false" ht="15" hidden="false" customHeight="false" outlineLevel="0" collapsed="false">
      <c r="A889" s="1" t="str">
        <f aca="false">_xlfn.TEXTJOIN( , ,"PRIVATE_EMOJI_",DEC2HEX(C888+64768))</f>
        <v>PRIVATE_EMOJI_1F4A1</v>
      </c>
      <c r="B889" s="11" t="str">
        <f aca="false">DEC2HEX(C888+HEX2DEC("fd00"))</f>
        <v>1F4A1</v>
      </c>
      <c r="C889" s="1" t="n">
        <f aca="false">128161-64768</f>
        <v>63393</v>
      </c>
      <c r="D889" s="9" t="str">
        <f aca="false">DEC2HEX(C889,8)</f>
        <v>0000F7A1</v>
      </c>
      <c r="E889" s="10" t="str">
        <f aca="false">_xlfn.UNICHAR(HEX2DEC(B889))</f>
        <v>💡</v>
      </c>
      <c r="F889" s="1" t="n">
        <f aca="false">C889-C888</f>
        <v>38</v>
      </c>
    </row>
    <row r="890" customFormat="false" ht="15" hidden="false" customHeight="false" outlineLevel="0" collapsed="false">
      <c r="A890" s="1" t="str">
        <f aca="false">_xlfn.TEXTJOIN( , ,"PRIVATE_EMOJI_",DEC2HEX(C889+64768))</f>
        <v>PRIVATE_EMOJI_1F4A2</v>
      </c>
      <c r="B890" s="11" t="str">
        <f aca="false">DEC2HEX(C889+HEX2DEC("fd00"))</f>
        <v>1F4A2</v>
      </c>
      <c r="C890" s="1" t="n">
        <v>63394</v>
      </c>
      <c r="D890" s="9" t="str">
        <f aca="false">DEC2HEX(C890,8)</f>
        <v>0000F7A2</v>
      </c>
      <c r="E890" s="10" t="str">
        <f aca="false">_xlfn.UNICHAR(HEX2DEC(B890))</f>
        <v>💢</v>
      </c>
      <c r="F890" s="1" t="n">
        <f aca="false">C890-C889</f>
        <v/>
      </c>
    </row>
    <row r="891" customFormat="false" ht="15" hidden="false" customHeight="false" outlineLevel="0" collapsed="false">
      <c r="A891" s="1" t="str">
        <f aca="false">_xlfn.TEXTJOIN( , ,"PRIVATE_EMOJI_",DEC2HEX(C890+64768))</f>
        <v>PRIVATE_EMOJI_1F4A3</v>
      </c>
      <c r="B891" s="11" t="str">
        <f aca="false">DEC2HEX(C890+HEX2DEC("fd00"))</f>
        <v>1F4A3</v>
      </c>
      <c r="C891" s="1" t="n">
        <v>63395</v>
      </c>
      <c r="D891" s="9" t="str">
        <f aca="false">DEC2HEX(C891,8)</f>
        <v>0000F7A3</v>
      </c>
      <c r="E891" s="10" t="str">
        <f aca="false">_xlfn.UNICHAR(HEX2DEC(B891))</f>
        <v>💣</v>
      </c>
      <c r="F891" s="1" t="n">
        <f aca="false">C891-C890</f>
        <v/>
      </c>
    </row>
    <row r="892" customFormat="false" ht="15" hidden="false" customHeight="false" outlineLevel="0" collapsed="false">
      <c r="A892" s="1" t="str">
        <f aca="false">_xlfn.TEXTJOIN( , ,"PRIVATE_EMOJI_",DEC2HEX(C891+64768))</f>
        <v>PRIVATE_EMOJI_1F4A4</v>
      </c>
      <c r="B892" s="11" t="str">
        <f aca="false">DEC2HEX(C891+HEX2DEC("fd00"))</f>
        <v>1F4A4</v>
      </c>
      <c r="C892" s="1" t="n">
        <v>63396</v>
      </c>
      <c r="D892" s="9" t="str">
        <f aca="false">DEC2HEX(C892,8)</f>
        <v>0000F7A4</v>
      </c>
      <c r="E892" s="10" t="str">
        <f aca="false">_xlfn.UNICHAR(HEX2DEC(B892))</f>
        <v>💤</v>
      </c>
      <c r="F892" s="1" t="n">
        <f aca="false">C892-C891</f>
        <v/>
      </c>
    </row>
    <row r="893" customFormat="false" ht="15" hidden="false" customHeight="false" outlineLevel="0" collapsed="false">
      <c r="A893" s="1" t="str">
        <f aca="false">_xlfn.TEXTJOIN( , ,"PRIVATE_EMOJI_",DEC2HEX(C892+64768))</f>
        <v>PRIVATE_EMOJI_1F4A5</v>
      </c>
      <c r="B893" s="11" t="str">
        <f aca="false">DEC2HEX(C892+HEX2DEC("fd00"))</f>
        <v>1F4A5</v>
      </c>
      <c r="C893" s="1" t="n">
        <v>63397</v>
      </c>
      <c r="D893" s="9" t="str">
        <f aca="false">DEC2HEX(C893,8)</f>
        <v>0000F7A5</v>
      </c>
      <c r="E893" s="10" t="str">
        <f aca="false">_xlfn.UNICHAR(HEX2DEC(B893))</f>
        <v>💥</v>
      </c>
      <c r="F893" s="1" t="n">
        <f aca="false">C893-C892</f>
        <v/>
      </c>
    </row>
    <row r="894" customFormat="false" ht="15" hidden="false" customHeight="false" outlineLevel="0" collapsed="false">
      <c r="A894" s="1" t="str">
        <f aca="false">_xlfn.TEXTJOIN( , ,"PRIVATE_EMOJI_",DEC2HEX(C893+64768))</f>
        <v>PRIVATE_EMOJI_1F4A6</v>
      </c>
      <c r="B894" s="11" t="str">
        <f aca="false">DEC2HEX(C893+HEX2DEC("fd00"))</f>
        <v>1F4A6</v>
      </c>
      <c r="C894" s="1" t="n">
        <v>63398</v>
      </c>
      <c r="D894" s="9" t="str">
        <f aca="false">DEC2HEX(C894,8)</f>
        <v>0000F7A6</v>
      </c>
      <c r="E894" s="10" t="str">
        <f aca="false">_xlfn.UNICHAR(HEX2DEC(B894))</f>
        <v>💦</v>
      </c>
      <c r="F894" s="1" t="n">
        <f aca="false">C894-C893</f>
        <v/>
      </c>
    </row>
    <row r="895" customFormat="false" ht="15" hidden="false" customHeight="false" outlineLevel="0" collapsed="false">
      <c r="A895" s="1" t="str">
        <f aca="false">_xlfn.TEXTJOIN( , ,"PRIVATE_EMOJI_",DEC2HEX(C894+64768))</f>
        <v>PRIVATE_EMOJI_1F4A7</v>
      </c>
      <c r="B895" s="11" t="str">
        <f aca="false">DEC2HEX(C894+HEX2DEC("fd00"))</f>
        <v>1F4A7</v>
      </c>
      <c r="C895" s="1" t="n">
        <v>63399</v>
      </c>
      <c r="D895" s="9" t="str">
        <f aca="false">DEC2HEX(C895,8)</f>
        <v>0000F7A7</v>
      </c>
      <c r="E895" s="10" t="str">
        <f aca="false">_xlfn.UNICHAR(HEX2DEC(B895))</f>
        <v>💧</v>
      </c>
      <c r="F895" s="1" t="n">
        <f aca="false">C895-C894</f>
        <v/>
      </c>
    </row>
    <row r="896" customFormat="false" ht="15" hidden="false" customHeight="false" outlineLevel="0" collapsed="false">
      <c r="A896" s="1" t="str">
        <f aca="false">_xlfn.TEXTJOIN( , ,"PRIVATE_EMOJI_",DEC2HEX(C895+64768))</f>
        <v>PRIVATE_EMOJI_1F4A8</v>
      </c>
      <c r="B896" s="11" t="str">
        <f aca="false">DEC2HEX(C895+HEX2DEC("fd00"))</f>
        <v>1F4A8</v>
      </c>
      <c r="C896" s="1" t="n">
        <v>63400</v>
      </c>
      <c r="D896" s="9" t="str">
        <f aca="false">DEC2HEX(C896,8)</f>
        <v>0000F7A8</v>
      </c>
      <c r="E896" s="10" t="str">
        <f aca="false">_xlfn.UNICHAR(HEX2DEC(B896))</f>
        <v>💨</v>
      </c>
      <c r="F896" s="1" t="n">
        <f aca="false">C896-C895</f>
        <v/>
      </c>
    </row>
    <row r="897" customFormat="false" ht="15" hidden="false" customHeight="false" outlineLevel="0" collapsed="false">
      <c r="A897" s="1" t="str">
        <f aca="false">_xlfn.TEXTJOIN( , ,"PRIVATE_EMOJI_",DEC2HEX(C896+64768))</f>
        <v>PRIVATE_EMOJI_1F4A9</v>
      </c>
      <c r="B897" s="11" t="str">
        <f aca="false">DEC2HEX(C896+HEX2DEC("fd00"))</f>
        <v>1F4A9</v>
      </c>
      <c r="C897" s="1" t="n">
        <v>63401</v>
      </c>
      <c r="D897" s="9" t="str">
        <f aca="false">DEC2HEX(C897,8)</f>
        <v>0000F7A9</v>
      </c>
      <c r="E897" s="10" t="str">
        <f aca="false">_xlfn.UNICHAR(HEX2DEC(B897))</f>
        <v>💩</v>
      </c>
      <c r="F897" s="1" t="n">
        <f aca="false">C897-C896</f>
        <v/>
      </c>
    </row>
    <row r="898" customFormat="false" ht="15" hidden="false" customHeight="false" outlineLevel="0" collapsed="false">
      <c r="A898" s="1" t="str">
        <f aca="false">_xlfn.TEXTJOIN( , ,"PRIVATE_EMOJI_",DEC2HEX(C897+64768))</f>
        <v>PRIVATE_EMOJI_1F4AA</v>
      </c>
      <c r="B898" s="11" t="str">
        <f aca="false">DEC2HEX(C897+HEX2DEC("fd00"))</f>
        <v>1F4AA</v>
      </c>
      <c r="C898" s="1" t="n">
        <v>63402</v>
      </c>
      <c r="D898" s="9" t="str">
        <f aca="false">DEC2HEX(C898,8)</f>
        <v>0000F7AA</v>
      </c>
      <c r="E898" s="10" t="str">
        <f aca="false">_xlfn.UNICHAR(HEX2DEC(B898))</f>
        <v>💪</v>
      </c>
      <c r="F898" s="1" t="n">
        <f aca="false">C898-C897</f>
        <v/>
      </c>
    </row>
    <row r="899" customFormat="false" ht="15" hidden="false" customHeight="false" outlineLevel="0" collapsed="false">
      <c r="A899" s="1" t="str">
        <f aca="false">_xlfn.TEXTJOIN( , ,"PRIVATE_EMOJI_",DEC2HEX(C898+64768))</f>
        <v>PRIVATE_EMOJI_1F4AB</v>
      </c>
      <c r="B899" s="11" t="str">
        <f aca="false">DEC2HEX(C898+HEX2DEC("fd00"))</f>
        <v>1F4AB</v>
      </c>
      <c r="C899" s="1" t="n">
        <v>63403</v>
      </c>
      <c r="D899" s="9" t="str">
        <f aca="false">DEC2HEX(C899,8)</f>
        <v>0000F7AB</v>
      </c>
      <c r="E899" s="10" t="str">
        <f aca="false">_xlfn.UNICHAR(HEX2DEC(B899))</f>
        <v>💫</v>
      </c>
      <c r="F899" s="1" t="n">
        <f aca="false">C899-C898</f>
        <v/>
      </c>
    </row>
    <row r="900" customFormat="false" ht="15" hidden="false" customHeight="false" outlineLevel="0" collapsed="false">
      <c r="A900" s="1" t="str">
        <f aca="false">_xlfn.TEXTJOIN( , ,"PRIVATE_EMOJI_",DEC2HEX(C899+64768))</f>
        <v>PRIVATE_EMOJI_1F4AC</v>
      </c>
      <c r="B900" s="11" t="str">
        <f aca="false">DEC2HEX(C899+HEX2DEC("fd00"))</f>
        <v>1F4AC</v>
      </c>
      <c r="C900" s="1" t="n">
        <v>63404</v>
      </c>
      <c r="D900" s="9" t="str">
        <f aca="false">DEC2HEX(C900,8)</f>
        <v>0000F7AC</v>
      </c>
      <c r="E900" s="10" t="str">
        <f aca="false">_xlfn.UNICHAR(HEX2DEC(B900))</f>
        <v>💬</v>
      </c>
      <c r="F900" s="1" t="n">
        <f aca="false">C900-C899</f>
        <v/>
      </c>
    </row>
    <row r="901" customFormat="false" ht="15" hidden="false" customHeight="false" outlineLevel="0" collapsed="false">
      <c r="A901" s="1" t="str">
        <f aca="false">_xlfn.TEXTJOIN( , ,"PRIVATE_EMOJI_",DEC2HEX(C900+64768))</f>
        <v>PRIVATE_EMOJI_1F4AD</v>
      </c>
      <c r="B901" s="11" t="str">
        <f aca="false">DEC2HEX(C900+HEX2DEC("fd00"))</f>
        <v>1F4AD</v>
      </c>
      <c r="C901" s="1" t="n">
        <v>63405</v>
      </c>
      <c r="D901" s="9" t="str">
        <f aca="false">DEC2HEX(C901,8)</f>
        <v>0000F7AD</v>
      </c>
      <c r="E901" s="10" t="str">
        <f aca="false">_xlfn.UNICHAR(HEX2DEC(B901))</f>
        <v>💭</v>
      </c>
      <c r="F901" s="1" t="n">
        <f aca="false">C901-C900</f>
        <v/>
      </c>
    </row>
    <row r="902" customFormat="false" ht="15" hidden="false" customHeight="false" outlineLevel="0" collapsed="false">
      <c r="A902" s="1" t="str">
        <f aca="false">_xlfn.TEXTJOIN( , ,"PRIVATE_EMOJI_",DEC2HEX(C901+64768))</f>
        <v>PRIVATE_EMOJI_1F4AE</v>
      </c>
      <c r="B902" s="11" t="str">
        <f aca="false">DEC2HEX(C901+HEX2DEC("fd00"))</f>
        <v>1F4AE</v>
      </c>
      <c r="C902" s="1" t="n">
        <v>63406</v>
      </c>
      <c r="D902" s="9" t="str">
        <f aca="false">DEC2HEX(C902,8)</f>
        <v>0000F7AE</v>
      </c>
      <c r="E902" s="10" t="str">
        <f aca="false">_xlfn.UNICHAR(HEX2DEC(B902))</f>
        <v>💮</v>
      </c>
      <c r="F902" s="1" t="n">
        <f aca="false">C902-C901</f>
        <v/>
      </c>
    </row>
    <row r="903" customFormat="false" ht="15" hidden="false" customHeight="false" outlineLevel="0" collapsed="false">
      <c r="A903" s="1" t="str">
        <f aca="false">_xlfn.TEXTJOIN( , ,"PRIVATE_EMOJI_",DEC2HEX(C902+64768))</f>
        <v>PRIVATE_EMOJI_1F4AF</v>
      </c>
      <c r="B903" s="11" t="str">
        <f aca="false">DEC2HEX(C902+HEX2DEC("fd00"))</f>
        <v>1F4AF</v>
      </c>
      <c r="C903" s="1" t="n">
        <v>63407</v>
      </c>
      <c r="D903" s="9" t="str">
        <f aca="false">DEC2HEX(C903,8)</f>
        <v>0000F7AF</v>
      </c>
      <c r="E903" s="10" t="str">
        <f aca="false">_xlfn.UNICHAR(HEX2DEC(B903))</f>
        <v>💯</v>
      </c>
      <c r="F903" s="1" t="n">
        <f aca="false">C903-C902</f>
        <v/>
      </c>
    </row>
    <row r="904" customFormat="false" ht="15" hidden="false" customHeight="false" outlineLevel="0" collapsed="false">
      <c r="A904" s="1" t="str">
        <f aca="false">_xlfn.TEXTJOIN( , ,"PRIVATE_EMOJI_",DEC2HEX(C903+64768))</f>
        <v>PRIVATE_EMOJI_1F4B0</v>
      </c>
      <c r="B904" s="11" t="str">
        <f aca="false">DEC2HEX(C903+HEX2DEC("fd00"))</f>
        <v>1F4B0</v>
      </c>
      <c r="C904" s="1" t="n">
        <v>63408</v>
      </c>
      <c r="D904" s="9" t="str">
        <f aca="false">DEC2HEX(C904,8)</f>
        <v>0000F7B0</v>
      </c>
      <c r="E904" s="10" t="str">
        <f aca="false">_xlfn.UNICHAR(HEX2DEC(B904))</f>
        <v>💰</v>
      </c>
      <c r="F904" s="1" t="n">
        <f aca="false">C904-C903</f>
        <v/>
      </c>
    </row>
    <row r="905" customFormat="false" ht="15" hidden="false" customHeight="false" outlineLevel="0" collapsed="false">
      <c r="A905" s="1" t="str">
        <f aca="false">_xlfn.TEXTJOIN( , ,"PRIVATE_EMOJI_",DEC2HEX(C904+64768))</f>
        <v>PRIVATE_EMOJI_1F4B1</v>
      </c>
      <c r="B905" s="11" t="str">
        <f aca="false">DEC2HEX(C904+HEX2DEC("fd00"))</f>
        <v>1F4B1</v>
      </c>
      <c r="C905" s="1" t="n">
        <v>63409</v>
      </c>
      <c r="D905" s="9" t="str">
        <f aca="false">DEC2HEX(C905,8)</f>
        <v>0000F7B1</v>
      </c>
      <c r="E905" s="10" t="str">
        <f aca="false">_xlfn.UNICHAR(HEX2DEC(B905))</f>
        <v>💱</v>
      </c>
      <c r="F905" s="1" t="n">
        <f aca="false">C905-C904</f>
        <v/>
      </c>
    </row>
    <row r="906" customFormat="false" ht="15" hidden="false" customHeight="false" outlineLevel="0" collapsed="false">
      <c r="A906" s="1" t="str">
        <f aca="false">_xlfn.TEXTJOIN( , ,"PRIVATE_EMOJI_",DEC2HEX(C905+HEX2DEC(10100)))</f>
        <v>PRIVATE_EMOJI_1F912</v>
      </c>
      <c r="B906" s="11" t="str">
        <f aca="false">DEC2HEX(C905+HEX2DEC("10100"))</f>
        <v>1F912</v>
      </c>
      <c r="C906" s="1" t="n">
        <f aca="false">129298-HEX2DEC(10100)</f>
        <v>63506</v>
      </c>
      <c r="D906" s="9" t="str">
        <f aca="false">DEC2HEX(C906,8)</f>
        <v>0000F812</v>
      </c>
      <c r="E906" s="10" t="str">
        <f aca="false">_xlfn.UNICHAR(HEX2DEC(B906))</f>
        <v>🤒</v>
      </c>
      <c r="F906" s="1" t="n">
        <f aca="false">C906-C905</f>
        <v>113</v>
      </c>
    </row>
    <row r="907" customFormat="false" ht="15" hidden="false" customHeight="false" outlineLevel="0" collapsed="false">
      <c r="A907" s="1" t="str">
        <f aca="false">_xlfn.TEXTJOIN( , ,"PRIVATE_EMOJI_",DEC2HEX(C906+HEX2DEC(10100)))</f>
        <v>PRIVATE_EMOJI_1F913</v>
      </c>
      <c r="B907" s="11" t="str">
        <f aca="false">DEC2HEX(C906+HEX2DEC("10100"))</f>
        <v>1F913</v>
      </c>
      <c r="C907" s="1" t="n">
        <v>63507</v>
      </c>
      <c r="D907" s="9" t="str">
        <f aca="false">DEC2HEX(C907,8)</f>
        <v>0000F813</v>
      </c>
      <c r="E907" s="10" t="str">
        <f aca="false">_xlfn.UNICHAR(HEX2DEC(B907))</f>
        <v>🤓</v>
      </c>
      <c r="F907" s="1" t="n">
        <f aca="false">C907-C906</f>
        <v/>
      </c>
    </row>
    <row r="908" customFormat="false" ht="15" hidden="false" customHeight="false" outlineLevel="0" collapsed="false">
      <c r="A908" s="1" t="str">
        <f aca="false">_xlfn.TEXTJOIN( , ,"PRIVATE_EMOJI_",DEC2HEX(C907+HEX2DEC(10100)))</f>
        <v>PRIVATE_EMOJI_1F914</v>
      </c>
      <c r="B908" s="11" t="str">
        <f aca="false">DEC2HEX(C907+HEX2DEC("10100"))</f>
        <v>1F914</v>
      </c>
      <c r="C908" s="1" t="n">
        <v>63508</v>
      </c>
      <c r="D908" s="9" t="str">
        <f aca="false">DEC2HEX(C908,8)</f>
        <v>0000F814</v>
      </c>
      <c r="E908" s="10" t="str">
        <f aca="false">_xlfn.UNICHAR(HEX2DEC(B908))</f>
        <v>🤔</v>
      </c>
      <c r="F908" s="1" t="n">
        <f aca="false">C908-C907</f>
        <v/>
      </c>
    </row>
    <row r="909" customFormat="false" ht="15" hidden="false" customHeight="false" outlineLevel="0" collapsed="false">
      <c r="A909" s="1" t="str">
        <f aca="false">_xlfn.TEXTJOIN( , ,"PRIVATE_EMOJI_",DEC2HEX(C908+HEX2DEC(10100)))</f>
        <v>PRIVATE_EMOJI_1F915</v>
      </c>
      <c r="B909" s="11" t="str">
        <f aca="false">DEC2HEX(C908+HEX2DEC("10100"))</f>
        <v>1F915</v>
      </c>
      <c r="C909" s="1" t="n">
        <v>63509</v>
      </c>
      <c r="D909" s="9" t="str">
        <f aca="false">DEC2HEX(C909,8)</f>
        <v>0000F815</v>
      </c>
      <c r="E909" s="10" t="str">
        <f aca="false">_xlfn.UNICHAR(HEX2DEC(B909))</f>
        <v>🤕</v>
      </c>
      <c r="F909" s="1" t="n">
        <f aca="false">C909-C908</f>
        <v/>
      </c>
    </row>
    <row r="910" customFormat="false" ht="15" hidden="false" customHeight="false" outlineLevel="0" collapsed="false">
      <c r="A910" s="1" t="str">
        <f aca="false">_xlfn.TEXTJOIN( , ,"PRIVATE_EMOJI_",DEC2HEX(C909+HEX2DEC(10100)))</f>
        <v>PRIVATE_EMOJI_1F916</v>
      </c>
      <c r="B910" s="11" t="str">
        <f aca="false">DEC2HEX(C909+HEX2DEC("10100"))</f>
        <v>1F916</v>
      </c>
      <c r="C910" s="1" t="n">
        <v>63510</v>
      </c>
      <c r="D910" s="9" t="str">
        <f aca="false">DEC2HEX(C910,8)</f>
        <v>0000F816</v>
      </c>
      <c r="E910" s="10" t="str">
        <f aca="false">_xlfn.UNICHAR(HEX2DEC(B910))</f>
        <v>🤖</v>
      </c>
      <c r="F910" s="1" t="n">
        <f aca="false">C910-C909</f>
        <v/>
      </c>
    </row>
    <row r="911" customFormat="false" ht="15" hidden="false" customHeight="false" outlineLevel="0" collapsed="false">
      <c r="A911" s="1" t="str">
        <f aca="false">_xlfn.TEXTJOIN( , ,"PRIVATE_EMOJI_",DEC2HEX(C910+HEX2DEC(10100)))</f>
        <v>PRIVATE_EMOJI_1F917</v>
      </c>
      <c r="B911" s="11" t="str">
        <f aca="false">DEC2HEX(C910+HEX2DEC("10100"))</f>
        <v>1F917</v>
      </c>
      <c r="C911" s="1" t="n">
        <v>63511</v>
      </c>
      <c r="D911" s="9" t="str">
        <f aca="false">DEC2HEX(C911,8)</f>
        <v>0000F817</v>
      </c>
      <c r="E911" s="10" t="str">
        <f aca="false">_xlfn.UNICHAR(HEX2DEC(B911))</f>
        <v>🤗</v>
      </c>
      <c r="F911" s="1" t="n">
        <f aca="false">C911-C910</f>
        <v/>
      </c>
    </row>
    <row r="912" customFormat="false" ht="15" hidden="false" customHeight="false" outlineLevel="0" collapsed="false">
      <c r="A912" s="1" t="str">
        <f aca="false">_xlfn.TEXTJOIN( , ,"PRIVATE_EMOJI_",DEC2HEX(C911+HEX2DEC(10100)))</f>
        <v>PRIVATE_EMOJI_1F918</v>
      </c>
      <c r="B912" s="11" t="str">
        <f aca="false">DEC2HEX(C911+HEX2DEC("10100"))</f>
        <v>1F918</v>
      </c>
      <c r="C912" s="1" t="n">
        <v>63512</v>
      </c>
      <c r="D912" s="9" t="str">
        <f aca="false">DEC2HEX(C912,8)</f>
        <v>0000F818</v>
      </c>
      <c r="E912" s="10" t="str">
        <f aca="false">_xlfn.UNICHAR(HEX2DEC(B912))</f>
        <v>🤘</v>
      </c>
      <c r="F912" s="1" t="n">
        <f aca="false">C912-C911</f>
        <v/>
      </c>
    </row>
    <row r="913" customFormat="false" ht="15" hidden="false" customHeight="false" outlineLevel="0" collapsed="false">
      <c r="A913" s="1" t="str">
        <f aca="false">_xlfn.TEXTJOIN( , ,"PRIVATE_EMOJI_",DEC2HEX(C912+HEX2DEC(10100)))</f>
        <v>PRIVATE_EMOJI_1F919</v>
      </c>
      <c r="B913" s="11" t="str">
        <f aca="false">DEC2HEX(C912+HEX2DEC("10100"))</f>
        <v>1F919</v>
      </c>
      <c r="C913" s="1" t="n">
        <v>63513</v>
      </c>
      <c r="D913" s="9" t="str">
        <f aca="false">DEC2HEX(C913,8)</f>
        <v>0000F819</v>
      </c>
      <c r="E913" s="10" t="str">
        <f aca="false">_xlfn.UNICHAR(HEX2DEC(B913))</f>
        <v>🤙</v>
      </c>
      <c r="F913" s="1" t="n">
        <f aca="false">C913-C912</f>
        <v/>
      </c>
    </row>
    <row r="914" customFormat="false" ht="15" hidden="false" customHeight="false" outlineLevel="0" collapsed="false">
      <c r="A914" s="1" t="s">
        <v>1017</v>
      </c>
      <c r="B914" s="2" t="s">
        <v>1018</v>
      </c>
      <c r="C914" s="1" t="n">
        <f aca="false">HEX2DEC(B914)</f>
        <v>65269</v>
      </c>
      <c r="D914" s="9" t="str">
        <f aca="false">DEC2HEX(C914,8)</f>
        <v>0000FEF5</v>
      </c>
      <c r="E914" s="10" t="str">
        <f aca="false">_xlfn.UNICHAR(C914)</f>
        <v>ﻵ</v>
      </c>
      <c r="F914" s="1" t="n">
        <f aca="false">C914-C913</f>
        <v>1763</v>
      </c>
    </row>
    <row r="915" customFormat="false" ht="15" hidden="false" customHeight="false" outlineLevel="0" collapsed="false">
      <c r="A915" s="1" t="s">
        <v>1019</v>
      </c>
      <c r="B915" s="2" t="s">
        <v>1020</v>
      </c>
      <c r="C915" s="1" t="n">
        <f aca="false">HEX2DEC(B915)</f>
        <v>65275</v>
      </c>
      <c r="D915" s="9" t="str">
        <f aca="false">DEC2HEX(C915,8)</f>
        <v>0000FEFB</v>
      </c>
      <c r="E915" s="10" t="str">
        <f aca="false">_xlfn.UNICHAR(C915)</f>
        <v>ﻻ</v>
      </c>
      <c r="F915" s="1" t="n">
        <f aca="false">C915-C914</f>
        <v>6</v>
      </c>
    </row>
    <row r="916" customFormat="false" ht="15" hidden="false" customHeight="false" outlineLevel="0" collapsed="false">
      <c r="A916" s="7" t="s">
        <v>1021</v>
      </c>
      <c r="B916" s="8" t="s">
        <v>1022</v>
      </c>
      <c r="C916" s="7" t="n">
        <f aca="false">HEX2DEC(B916)</f>
        <v>127744</v>
      </c>
      <c r="D916" s="9" t="str">
        <f aca="false">DEC2HEX(C916,8)</f>
        <v>0001F300</v>
      </c>
      <c r="E916" s="10" t="str">
        <f aca="false">_xlfn.UNICHAR(HEX2DEC(B916))</f>
        <v>🌀</v>
      </c>
      <c r="F916" s="7" t="n">
        <f aca="false">C916-C915</f>
        <v>62469</v>
      </c>
    </row>
    <row r="917" customFormat="false" ht="15" hidden="false" customHeight="false" outlineLevel="0" collapsed="false">
      <c r="A917" s="7" t="s">
        <v>1023</v>
      </c>
      <c r="B917" s="8" t="s">
        <v>1024</v>
      </c>
      <c r="C917" s="7" t="n">
        <f aca="false">HEX2DEC(B917)</f>
        <v>127760</v>
      </c>
      <c r="D917" s="9" t="str">
        <f aca="false">DEC2HEX(C917,8)</f>
        <v>0001F310</v>
      </c>
      <c r="E917" s="10" t="str">
        <f aca="false">_xlfn.UNICHAR(HEX2DEC(B917))</f>
        <v>🌐</v>
      </c>
      <c r="F917" s="7" t="n">
        <f aca="false">C917-C916</f>
        <v>16</v>
      </c>
    </row>
    <row r="918" customFormat="false" ht="15" hidden="false" customHeight="false" outlineLevel="0" collapsed="false">
      <c r="A918" s="7" t="s">
        <v>1025</v>
      </c>
      <c r="B918" s="8" t="s">
        <v>1026</v>
      </c>
      <c r="C918" s="7" t="n">
        <f aca="false">HEX2DEC(B918)</f>
        <v>127761</v>
      </c>
      <c r="D918" s="9" t="str">
        <f aca="false">DEC2HEX(C918,8)</f>
        <v>0001F311</v>
      </c>
      <c r="E918" s="10" t="str">
        <f aca="false">_xlfn.UNICHAR(HEX2DEC(B918))</f>
        <v>🌑</v>
      </c>
      <c r="F918" s="7" t="n">
        <f aca="false">C918-C917</f>
        <v>1</v>
      </c>
    </row>
    <row r="919" customFormat="false" ht="15" hidden="false" customHeight="false" outlineLevel="0" collapsed="false">
      <c r="A919" s="7" t="s">
        <v>1027</v>
      </c>
      <c r="B919" s="8" t="s">
        <v>1028</v>
      </c>
      <c r="C919" s="7" t="n">
        <f aca="false">HEX2DEC(B919)</f>
        <v>127765</v>
      </c>
      <c r="D919" s="9" t="str">
        <f aca="false">DEC2HEX(C919,8)</f>
        <v>0001F315</v>
      </c>
      <c r="E919" s="10" t="str">
        <f aca="false">_xlfn.UNICHAR(HEX2DEC(B919))</f>
        <v>🌕</v>
      </c>
      <c r="F919" s="7" t="n">
        <f aca="false">C919-C918</f>
        <v>4</v>
      </c>
    </row>
    <row r="920" customFormat="false" ht="15" hidden="false" customHeight="false" outlineLevel="0" collapsed="false">
      <c r="A920" s="7" t="s">
        <v>1029</v>
      </c>
      <c r="B920" s="8" t="s">
        <v>1030</v>
      </c>
      <c r="C920" s="7" t="n">
        <f aca="false">HEX2DEC(B920)</f>
        <v>127766</v>
      </c>
      <c r="D920" s="9" t="str">
        <f aca="false">DEC2HEX(C920,8)</f>
        <v>0001F316</v>
      </c>
      <c r="E920" s="10" t="str">
        <f aca="false">_xlfn.UNICHAR(HEX2DEC(B920))</f>
        <v>🌖</v>
      </c>
      <c r="F920" s="7" t="n">
        <f aca="false">C920-C919</f>
        <v>1</v>
      </c>
    </row>
    <row r="921" customFormat="false" ht="15" hidden="false" customHeight="false" outlineLevel="0" collapsed="false">
      <c r="A921" s="7" t="s">
        <v>1031</v>
      </c>
      <c r="B921" s="8" t="s">
        <v>1032</v>
      </c>
      <c r="C921" s="7" t="n">
        <f aca="false">HEX2DEC(B921)</f>
        <v>127767</v>
      </c>
      <c r="D921" s="9" t="str">
        <f aca="false">DEC2HEX(C921,8)</f>
        <v>0001F317</v>
      </c>
      <c r="E921" s="10" t="str">
        <f aca="false">_xlfn.UNICHAR(HEX2DEC(B921))</f>
        <v>🌗</v>
      </c>
      <c r="F921" s="7" t="n">
        <f aca="false">C921-C920</f>
        <v>1</v>
      </c>
    </row>
    <row r="922" customFormat="false" ht="15" hidden="false" customHeight="false" outlineLevel="0" collapsed="false">
      <c r="A922" s="7" t="s">
        <v>1033</v>
      </c>
      <c r="B922" s="8" t="s">
        <v>1034</v>
      </c>
      <c r="C922" s="7" t="n">
        <f aca="false">HEX2DEC(B922)</f>
        <v>127768</v>
      </c>
      <c r="D922" s="9" t="str">
        <f aca="false">DEC2HEX(C922,8)</f>
        <v>0001F318</v>
      </c>
      <c r="E922" s="10" t="str">
        <f aca="false">_xlfn.UNICHAR(HEX2DEC(B922))</f>
        <v>🌘</v>
      </c>
      <c r="F922" s="7" t="n">
        <f aca="false">C922-C921</f>
        <v>1</v>
      </c>
    </row>
    <row r="923" customFormat="false" ht="15" hidden="false" customHeight="false" outlineLevel="0" collapsed="false">
      <c r="A923" s="7" t="s">
        <v>1035</v>
      </c>
      <c r="B923" s="8" t="s">
        <v>1036</v>
      </c>
      <c r="C923" s="7" t="n">
        <f aca="false">HEX2DEC(B923)</f>
        <v>127968</v>
      </c>
      <c r="D923" s="9" t="str">
        <f aca="false">DEC2HEX(C923,8)</f>
        <v>0001F3E0</v>
      </c>
      <c r="E923" s="10" t="str">
        <f aca="false">_xlfn.UNICHAR(HEX2DEC(B923))</f>
        <v>🏠</v>
      </c>
      <c r="F923" s="7" t="n">
        <f aca="false">C923-C922</f>
        <v>200</v>
      </c>
    </row>
    <row r="924" customFormat="false" ht="15" hidden="false" customHeight="false" outlineLevel="0" collapsed="false">
      <c r="A924" s="7" t="s">
        <v>1037</v>
      </c>
      <c r="B924" s="8" t="s">
        <v>1038</v>
      </c>
      <c r="C924" s="7" t="n">
        <f aca="false">HEX2DEC(B924)</f>
        <v>128016</v>
      </c>
      <c r="D924" s="9" t="str">
        <f aca="false">DEC2HEX(C924,8)</f>
        <v>0001F410</v>
      </c>
      <c r="E924" s="10" t="str">
        <f aca="false">_xlfn.UNICHAR(HEX2DEC(B924))</f>
        <v>🐐</v>
      </c>
      <c r="F924" s="7" t="n">
        <f aca="false">C924-C923</f>
        <v>48</v>
      </c>
    </row>
    <row r="925" customFormat="false" ht="15" hidden="false" customHeight="false" outlineLevel="0" collapsed="false">
      <c r="A925" s="7" t="s">
        <v>1039</v>
      </c>
      <c r="B925" s="8" t="s">
        <v>1040</v>
      </c>
      <c r="C925" s="7" t="n">
        <f aca="false">HEX2DEC(B925)</f>
        <v>128161</v>
      </c>
      <c r="D925" s="9" t="str">
        <f aca="false">DEC2HEX(C925,8)</f>
        <v>0001F4A1</v>
      </c>
      <c r="E925" s="10" t="str">
        <f aca="false">_xlfn.UNICHAR(HEX2DEC(B925))</f>
        <v>💡</v>
      </c>
      <c r="F925" s="7" t="n">
        <f aca="false">C925-C924</f>
        <v>145</v>
      </c>
    </row>
    <row r="926" customFormat="false" ht="15" hidden="false" customHeight="false" outlineLevel="0" collapsed="false">
      <c r="A926" s="7" t="s">
        <v>1041</v>
      </c>
      <c r="B926" s="8" t="s">
        <v>1042</v>
      </c>
      <c r="C926" s="7" t="n">
        <f aca="false">HEX2DEC(B926)</f>
        <v>128171</v>
      </c>
      <c r="D926" s="9" t="str">
        <f aca="false">DEC2HEX(C926,8)</f>
        <v>0001F4AB</v>
      </c>
      <c r="E926" s="10" t="str">
        <f aca="false">_xlfn.UNICHAR(HEX2DEC(B926))</f>
        <v>💫</v>
      </c>
      <c r="F926" s="7" t="n">
        <f aca="false">C926-C925</f>
        <v>10</v>
      </c>
    </row>
    <row r="927" customFormat="false" ht="15" hidden="false" customHeight="false" outlineLevel="0" collapsed="false">
      <c r="A927" s="7" t="s">
        <v>1043</v>
      </c>
      <c r="B927" s="11" t="s">
        <v>1044</v>
      </c>
      <c r="C927" s="7" t="n">
        <f aca="false">HEX2DEC(B927)</f>
        <v>128194</v>
      </c>
      <c r="D927" s="9" t="str">
        <f aca="false">DEC2HEX(C927,8)</f>
        <v>0001F4C2</v>
      </c>
      <c r="E927" s="10" t="str">
        <f aca="false">_xlfn.UNICHAR(HEX2DEC(B927))</f>
        <v>📂</v>
      </c>
      <c r="F927" s="7" t="n">
        <f aca="false">C927-C926</f>
        <v>23</v>
      </c>
    </row>
    <row r="928" customFormat="false" ht="15" hidden="false" customHeight="false" outlineLevel="0" collapsed="false">
      <c r="A928" s="7" t="s">
        <v>1045</v>
      </c>
      <c r="B928" s="11" t="s">
        <v>1046</v>
      </c>
      <c r="C928" s="7" t="n">
        <f aca="false">HEX2DEC(B928)</f>
        <v>128203</v>
      </c>
      <c r="D928" s="9" t="str">
        <f aca="false">DEC2HEX(C928,8)</f>
        <v>0001F4CB</v>
      </c>
      <c r="E928" s="10" t="str">
        <f aca="false">_xlfn.UNICHAR(HEX2DEC(B928))</f>
        <v>📋</v>
      </c>
      <c r="F928" s="7" t="n">
        <f aca="false">C928-C927</f>
        <v>9</v>
      </c>
    </row>
    <row r="929" customFormat="false" ht="15" hidden="false" customHeight="false" outlineLevel="0" collapsed="false">
      <c r="A929" s="7" t="s">
        <v>1047</v>
      </c>
      <c r="B929" s="8" t="s">
        <v>1048</v>
      </c>
      <c r="C929" s="7" t="n">
        <f aca="false">HEX2DEC(B929)</f>
        <v>128221</v>
      </c>
      <c r="D929" s="9" t="str">
        <f aca="false">DEC2HEX(C929,8)</f>
        <v>0001F4DD</v>
      </c>
      <c r="E929" s="10" t="str">
        <f aca="false">_xlfn.UNICHAR(HEX2DEC(B929))</f>
        <v>📝</v>
      </c>
      <c r="F929" s="7" t="n">
        <f aca="false">C929-C928</f>
        <v>18</v>
      </c>
    </row>
    <row r="930" customFormat="false" ht="15" hidden="false" customHeight="false" outlineLevel="0" collapsed="false">
      <c r="A930" s="7" t="s">
        <v>1049</v>
      </c>
      <c r="B930" s="11" t="s">
        <v>1050</v>
      </c>
      <c r="C930" s="7" t="n">
        <f aca="false">HEX2DEC(B930)</f>
        <v>128270</v>
      </c>
      <c r="D930" s="9" t="str">
        <f aca="false">DEC2HEX(C930,8)</f>
        <v>0001F50E</v>
      </c>
      <c r="E930" s="10" t="str">
        <f aca="false">_xlfn.UNICHAR(HEX2DEC(B930))</f>
        <v>🔎</v>
      </c>
      <c r="F930" s="7" t="n">
        <f aca="false">C930-C929</f>
        <v>49</v>
      </c>
    </row>
    <row r="931" customFormat="false" ht="15" hidden="false" customHeight="false" outlineLevel="0" collapsed="false">
      <c r="A931" s="7" t="s">
        <v>1051</v>
      </c>
      <c r="B931" s="8" t="s">
        <v>1052</v>
      </c>
      <c r="C931" s="7" t="n">
        <f aca="false">HEX2DEC(B931)</f>
        <v>128274</v>
      </c>
      <c r="D931" s="9" t="str">
        <f aca="false">DEC2HEX(C931,8)</f>
        <v>0001F512</v>
      </c>
      <c r="E931" s="10" t="str">
        <f aca="false">_xlfn.UNICHAR(HEX2DEC(B931))</f>
        <v>🔒</v>
      </c>
      <c r="F931" s="7" t="n">
        <f aca="false">C931-C930</f>
        <v>4</v>
      </c>
      <c r="H931" s="7"/>
    </row>
    <row r="932" customFormat="false" ht="15" hidden="false" customHeight="false" outlineLevel="0" collapsed="false">
      <c r="A932" s="7" t="s">
        <v>1053</v>
      </c>
      <c r="B932" s="8" t="s">
        <v>1054</v>
      </c>
      <c r="C932" s="7" t="n">
        <f aca="false">HEX2DEC(B932)</f>
        <v>128295</v>
      </c>
      <c r="D932" s="9" t="str">
        <f aca="false">DEC2HEX(C932,8)</f>
        <v>0001F527</v>
      </c>
      <c r="E932" s="10" t="str">
        <f aca="false">_xlfn.UNICHAR(HEX2DEC(B932))</f>
        <v>🔧</v>
      </c>
      <c r="F932" s="7" t="n">
        <f aca="false">C932-C931</f>
        <v>21</v>
      </c>
      <c r="H932" s="7"/>
    </row>
    <row r="933" customFormat="false" ht="15" hidden="false" customHeight="false" outlineLevel="0" collapsed="false">
      <c r="A933" s="7" t="s">
        <v>1055</v>
      </c>
      <c r="B933" s="11" t="s">
        <v>1056</v>
      </c>
      <c r="C933" s="7" t="n">
        <f aca="false">HEX2DEC(B933)</f>
        <v>128360</v>
      </c>
      <c r="D933" s="9" t="str">
        <f aca="false">DEC2HEX(C933,8)</f>
        <v>0001F568</v>
      </c>
      <c r="E933" s="10" t="str">
        <f aca="false">_xlfn.UNICHAR(HEX2DEC(B933))</f>
        <v>🕨</v>
      </c>
      <c r="F933" s="7" t="n">
        <f aca="false">C933-C932</f>
        <v>65</v>
      </c>
      <c r="H933" s="7"/>
    </row>
    <row r="934" customFormat="false" ht="15" hidden="false" customHeight="false" outlineLevel="0" collapsed="false">
      <c r="A934" s="7" t="s">
        <v>1057</v>
      </c>
      <c r="B934" s="8" t="s">
        <v>1058</v>
      </c>
      <c r="C934" s="7" t="n">
        <f aca="false">HEX2DEC(B934)</f>
        <v>128361</v>
      </c>
      <c r="D934" s="9" t="str">
        <f aca="false">DEC2HEX(C934,8)</f>
        <v>0001F569</v>
      </c>
      <c r="E934" s="10" t="str">
        <f aca="false">_xlfn.UNICHAR(HEX2DEC(B934))</f>
        <v>🕩</v>
      </c>
      <c r="F934" s="7" t="n">
        <f aca="false">C934-C933</f>
        <v>1</v>
      </c>
      <c r="H934" s="7"/>
    </row>
    <row r="935" customFormat="false" ht="15" hidden="false" customHeight="false" outlineLevel="0" collapsed="false">
      <c r="A935" s="7" t="s">
        <v>1059</v>
      </c>
      <c r="B935" s="8" t="s">
        <v>1060</v>
      </c>
      <c r="C935" s="7" t="n">
        <f aca="false">HEX2DEC(B935)</f>
        <v>128362</v>
      </c>
      <c r="D935" s="9" t="str">
        <f aca="false">DEC2HEX(C935,8)</f>
        <v>0001F56A</v>
      </c>
      <c r="E935" s="10" t="str">
        <f aca="false">_xlfn.UNICHAR(HEX2DEC(B935))</f>
        <v>🕪</v>
      </c>
      <c r="F935" s="7" t="n">
        <f aca="false">C935-C934</f>
        <v>1</v>
      </c>
      <c r="H935" s="7"/>
    </row>
    <row r="936" customFormat="false" ht="15" hidden="false" customHeight="false" outlineLevel="0" collapsed="false">
      <c r="A936" s="7" t="s">
        <v>1061</v>
      </c>
      <c r="B936" s="8" t="s">
        <v>1062</v>
      </c>
      <c r="C936" s="7" t="n">
        <f aca="false">HEX2DEC(B936)</f>
        <v>128425</v>
      </c>
      <c r="D936" s="9" t="str">
        <f aca="false">DEC2HEX(C936,8)</f>
        <v>0001F5A9</v>
      </c>
      <c r="E936" s="10" t="str">
        <f aca="false">_xlfn.UNICHAR(HEX2DEC(B936))</f>
        <v>🖩</v>
      </c>
      <c r="F936" s="7" t="n">
        <f aca="false">C936-C935</f>
        <v>63</v>
      </c>
      <c r="H936" s="7"/>
    </row>
    <row r="937" customFormat="false" ht="15" hidden="false" customHeight="false" outlineLevel="0" collapsed="false">
      <c r="A937" s="7" t="s">
        <v>1063</v>
      </c>
      <c r="B937" s="8" t="s">
        <v>1064</v>
      </c>
      <c r="C937" s="7" t="n">
        <f aca="false">HEX2DEC(B937)</f>
        <v>128427</v>
      </c>
      <c r="D937" s="9" t="str">
        <f aca="false">DEC2HEX(C937,8)</f>
        <v>0001F5AB</v>
      </c>
      <c r="E937" s="10" t="str">
        <f aca="false">_xlfn.UNICHAR(HEX2DEC(B937))</f>
        <v>🖫</v>
      </c>
      <c r="F937" s="7" t="n">
        <f aca="false">C937-C936</f>
        <v>2</v>
      </c>
      <c r="H937" s="7"/>
    </row>
    <row r="938" customFormat="false" ht="15" hidden="false" customHeight="false" outlineLevel="0" collapsed="false">
      <c r="A938" s="7" t="s">
        <v>1065</v>
      </c>
      <c r="B938" s="11" t="s">
        <v>1066</v>
      </c>
      <c r="C938" s="7" t="n">
        <f aca="false">HEX2DEC(B938)</f>
        <v>128435</v>
      </c>
      <c r="D938" s="9" t="str">
        <f aca="false">DEC2HEX(C938,8)</f>
        <v>0001F5B3</v>
      </c>
      <c r="E938" s="10" t="str">
        <f aca="false">_xlfn.UNICHAR(HEX2DEC(B938))</f>
        <v>🖳</v>
      </c>
      <c r="F938" s="7" t="n">
        <f aca="false">C938-C937</f>
        <v>8</v>
      </c>
      <c r="H938" s="7"/>
    </row>
    <row r="939" customFormat="false" ht="15" hidden="false" customHeight="false" outlineLevel="0" collapsed="false">
      <c r="A939" s="7" t="s">
        <v>1067</v>
      </c>
      <c r="B939" s="8" t="s">
        <v>1068</v>
      </c>
      <c r="C939" s="7" t="n">
        <f aca="false">HEX2DEC(B939)</f>
        <v>128436</v>
      </c>
      <c r="D939" s="9" t="str">
        <f aca="false">DEC2HEX(C939,8)</f>
        <v>0001F5B4</v>
      </c>
      <c r="E939" s="10" t="str">
        <f aca="false">_xlfn.UNICHAR(HEX2DEC(B939))</f>
        <v>🖴</v>
      </c>
      <c r="F939" s="7" t="n">
        <f aca="false">C939-C938</f>
        <v>1</v>
      </c>
      <c r="H939" s="7"/>
    </row>
    <row r="940" customFormat="false" ht="15" hidden="false" customHeight="false" outlineLevel="0" collapsed="false">
      <c r="A940" s="7" t="s">
        <v>1069</v>
      </c>
      <c r="B940" s="8" t="s">
        <v>1070</v>
      </c>
      <c r="C940" s="7" t="n">
        <f aca="false">HEX2DEC(B940)</f>
        <v>128437</v>
      </c>
      <c r="D940" s="9" t="str">
        <f aca="false">DEC2HEX(C940,8)</f>
        <v>0001F5B5</v>
      </c>
      <c r="E940" s="10" t="str">
        <f aca="false">_xlfn.UNICHAR(HEX2DEC(B940))</f>
        <v>🖵</v>
      </c>
      <c r="F940" s="7" t="n">
        <f aca="false">C940-C939</f>
        <v>1</v>
      </c>
      <c r="H940" s="7"/>
    </row>
    <row r="941" customFormat="false" ht="15" hidden="false" customHeight="false" outlineLevel="0" collapsed="false">
      <c r="A941" s="7" t="s">
        <v>1071</v>
      </c>
      <c r="B941" s="8" t="s">
        <v>1072</v>
      </c>
      <c r="C941" s="7" t="n">
        <f aca="false">HEX2DEC(B941)</f>
        <v>128438</v>
      </c>
      <c r="D941" s="9" t="str">
        <f aca="false">DEC2HEX(C941,8)</f>
        <v>0001F5B6</v>
      </c>
      <c r="E941" s="10" t="str">
        <f aca="false">_xlfn.UNICHAR(HEX2DEC(B941))</f>
        <v>🖶</v>
      </c>
      <c r="F941" s="7" t="n">
        <f aca="false">C941-C940</f>
        <v>1</v>
      </c>
      <c r="H941" s="7"/>
    </row>
    <row r="942" customFormat="false" ht="15" hidden="false" customHeight="false" outlineLevel="0" collapsed="false">
      <c r="A942" s="7" t="s">
        <v>1073</v>
      </c>
      <c r="B942" s="8" t="s">
        <v>1074</v>
      </c>
      <c r="C942" s="7" t="n">
        <f aca="false">HEX2DEC(B942)</f>
        <v>128439</v>
      </c>
      <c r="D942" s="9" t="str">
        <f aca="false">DEC2HEX(C942,8)</f>
        <v>0001F5B7</v>
      </c>
      <c r="E942" s="10" t="str">
        <f aca="false">_xlfn.UNICHAR(HEX2DEC(B942))</f>
        <v>🖷</v>
      </c>
      <c r="F942" s="7" t="n">
        <f aca="false">C942-C941</f>
        <v>1</v>
      </c>
      <c r="H942" s="7"/>
    </row>
    <row r="943" customFormat="false" ht="15" hidden="false" customHeight="false" outlineLevel="0" collapsed="false">
      <c r="A943" s="7" t="s">
        <v>1075</v>
      </c>
      <c r="B943" s="8" t="s">
        <v>1076</v>
      </c>
      <c r="C943" s="7" t="n">
        <f aca="false">HEX2DEC(B943)</f>
        <v>128440</v>
      </c>
      <c r="D943" s="9" t="str">
        <f aca="false">DEC2HEX(C943,8)</f>
        <v>0001F5B8</v>
      </c>
      <c r="E943" s="10" t="str">
        <f aca="false">_xlfn.UNICHAR(HEX2DEC(B943))</f>
        <v>🖸</v>
      </c>
      <c r="F943" s="7" t="n">
        <f aca="false">C943-C942</f>
        <v>1</v>
      </c>
      <c r="H943" s="7"/>
    </row>
    <row r="944" customFormat="false" ht="15" hidden="false" customHeight="false" outlineLevel="0" collapsed="false">
      <c r="A944" s="7" t="s">
        <v>1077</v>
      </c>
      <c r="B944" s="8" t="s">
        <v>1078</v>
      </c>
      <c r="C944" s="7" t="n">
        <f aca="false">HEX2DEC(B944)</f>
        <v>128441</v>
      </c>
      <c r="D944" s="9" t="str">
        <f aca="false">DEC2HEX(C944,8)</f>
        <v>0001F5B9</v>
      </c>
      <c r="E944" s="10" t="str">
        <f aca="false">_xlfn.UNICHAR(HEX2DEC(B944))</f>
        <v>🖹</v>
      </c>
      <c r="F944" s="7" t="n">
        <f aca="false">C944-C943</f>
        <v>1</v>
      </c>
      <c r="H944" s="7"/>
    </row>
    <row r="945" customFormat="false" ht="15" hidden="false" customHeight="false" outlineLevel="0" collapsed="false">
      <c r="A945" s="7" t="s">
        <v>1079</v>
      </c>
      <c r="B945" s="8" t="s">
        <v>1080</v>
      </c>
      <c r="C945" s="7" t="n">
        <f aca="false">HEX2DEC(B945)</f>
        <v>128442</v>
      </c>
      <c r="D945" s="9" t="str">
        <f aca="false">DEC2HEX(C945,8)</f>
        <v>0001F5BA</v>
      </c>
      <c r="E945" s="10" t="str">
        <f aca="false">_xlfn.UNICHAR(HEX2DEC(B945))</f>
        <v>🖺</v>
      </c>
      <c r="F945" s="7" t="n">
        <f aca="false">C945-C944</f>
        <v>1</v>
      </c>
      <c r="H945" s="7"/>
    </row>
    <row r="946" customFormat="false" ht="15" hidden="false" customHeight="false" outlineLevel="0" collapsed="false">
      <c r="A946" s="7" t="s">
        <v>1081</v>
      </c>
      <c r="B946" s="8" t="s">
        <v>1082</v>
      </c>
      <c r="C946" s="7" t="n">
        <f aca="false">HEX2DEC(B946)</f>
        <v>128443</v>
      </c>
      <c r="D946" s="9" t="str">
        <f aca="false">DEC2HEX(C946,8)</f>
        <v>0001F5BB</v>
      </c>
      <c r="E946" s="10" t="str">
        <f aca="false">_xlfn.UNICHAR(HEX2DEC(B946))</f>
        <v>🖻</v>
      </c>
      <c r="F946" s="7" t="n">
        <f aca="false">C946-C945</f>
        <v>1</v>
      </c>
      <c r="H946" s="7"/>
    </row>
    <row r="947" customFormat="false" ht="15" hidden="false" customHeight="false" outlineLevel="0" collapsed="false">
      <c r="A947" s="7" t="s">
        <v>1083</v>
      </c>
      <c r="B947" s="8" t="s">
        <v>1084</v>
      </c>
      <c r="C947" s="7" t="n">
        <f aca="false">HEX2DEC(B947)</f>
        <v>128444</v>
      </c>
      <c r="D947" s="9" t="str">
        <f aca="false">DEC2HEX(C947,8)</f>
        <v>0001F5BC</v>
      </c>
      <c r="E947" s="10" t="str">
        <f aca="false">_xlfn.UNICHAR(HEX2DEC(B947))</f>
        <v>🖼</v>
      </c>
      <c r="F947" s="7" t="n">
        <f aca="false">C947-C946</f>
        <v>1</v>
      </c>
      <c r="H947" s="7"/>
    </row>
    <row r="948" customFormat="false" ht="15" hidden="false" customHeight="false" outlineLevel="0" collapsed="false">
      <c r="A948" s="7" t="s">
        <v>1085</v>
      </c>
      <c r="B948" s="11" t="s">
        <v>1086</v>
      </c>
      <c r="C948" s="7" t="n">
        <f aca="false">HEX2DEC(B948)</f>
        <v>128458</v>
      </c>
      <c r="D948" s="9" t="str">
        <f aca="false">DEC2HEX(C948,8)</f>
        <v>0001F5CA</v>
      </c>
      <c r="E948" s="10" t="str">
        <f aca="false">_xlfn.UNICHAR(HEX2DEC(B948))</f>
        <v>🗊</v>
      </c>
      <c r="F948" s="7" t="n">
        <f aca="false">C948-C947</f>
        <v>14</v>
      </c>
      <c r="H948" s="7"/>
    </row>
    <row r="949" customFormat="false" ht="15" hidden="false" customHeight="false" outlineLevel="0" collapsed="false">
      <c r="A949" s="7" t="s">
        <v>1087</v>
      </c>
      <c r="B949" s="11" t="s">
        <v>1088</v>
      </c>
      <c r="C949" s="7" t="n">
        <f aca="false">HEX2DEC(B949)</f>
        <v>128469</v>
      </c>
      <c r="D949" s="9" t="str">
        <f aca="false">DEC2HEX(C949,8)</f>
        <v>0001F5D5</v>
      </c>
      <c r="E949" s="10" t="str">
        <f aca="false">_xlfn.UNICHAR(HEX2DEC(B949))</f>
        <v>🗕</v>
      </c>
      <c r="F949" s="7" t="n">
        <f aca="false">C949-C948</f>
        <v>11</v>
      </c>
      <c r="H949" s="7"/>
    </row>
    <row r="950" customFormat="false" ht="15" hidden="false" customHeight="false" outlineLevel="0" collapsed="false">
      <c r="A950" s="7" t="s">
        <v>1089</v>
      </c>
      <c r="B950" s="8" t="s">
        <v>1090</v>
      </c>
      <c r="C950" s="7" t="n">
        <f aca="false">HEX2DEC(B950)</f>
        <v>128470</v>
      </c>
      <c r="D950" s="9" t="str">
        <f aca="false">DEC2HEX(C950,8)</f>
        <v>0001F5D6</v>
      </c>
      <c r="E950" s="10" t="str">
        <f aca="false">_xlfn.UNICHAR(HEX2DEC(B950))</f>
        <v>🗖</v>
      </c>
      <c r="F950" s="7" t="n">
        <f aca="false">C950-C949</f>
        <v>1</v>
      </c>
      <c r="H950" s="7"/>
    </row>
    <row r="951" customFormat="false" ht="15" hidden="false" customHeight="false" outlineLevel="0" collapsed="false">
      <c r="A951" s="7" t="s">
        <v>1091</v>
      </c>
      <c r="B951" s="11" t="s">
        <v>1092</v>
      </c>
      <c r="C951" s="7" t="n">
        <f aca="false">HEX2DEC(B951)</f>
        <v>128471</v>
      </c>
      <c r="D951" s="9" t="str">
        <f aca="false">DEC2HEX(C951,8)</f>
        <v>0001F5D7</v>
      </c>
      <c r="E951" s="10" t="str">
        <f aca="false">_xlfn.UNICHAR(HEX2DEC(B951))</f>
        <v>🗗</v>
      </c>
      <c r="F951" s="7" t="n">
        <f aca="false">C951-C950</f>
        <v>1</v>
      </c>
      <c r="H951" s="7"/>
    </row>
    <row r="952" customFormat="false" ht="15" hidden="false" customHeight="false" outlineLevel="0" collapsed="false">
      <c r="A952" s="7" t="s">
        <v>1093</v>
      </c>
      <c r="B952" s="8" t="s">
        <v>1094</v>
      </c>
      <c r="C952" s="7" t="n">
        <f aca="false">HEX2DEC(B952)</f>
        <v>128472</v>
      </c>
      <c r="D952" s="9" t="str">
        <f aca="false">DEC2HEX(C952,8)</f>
        <v>0001F5D8</v>
      </c>
      <c r="E952" s="10" t="str">
        <f aca="false">_xlfn.UNICHAR(HEX2DEC(B952))</f>
        <v>🗘</v>
      </c>
      <c r="F952" s="7" t="n">
        <f aca="false">C952-C951</f>
        <v>1</v>
      </c>
      <c r="H952" s="7"/>
    </row>
    <row r="953" customFormat="false" ht="15" hidden="false" customHeight="false" outlineLevel="0" collapsed="false">
      <c r="A953" s="7" t="s">
        <v>1095</v>
      </c>
      <c r="B953" s="11" t="s">
        <v>1096</v>
      </c>
      <c r="C953" s="7" t="n">
        <f aca="false">HEX2DEC(B953)</f>
        <v>128473</v>
      </c>
      <c r="D953" s="9" t="str">
        <f aca="false">DEC2HEX(C953,8)</f>
        <v>0001F5D9</v>
      </c>
      <c r="E953" s="10" t="str">
        <f aca="false">_xlfn.UNICHAR(HEX2DEC(B953))</f>
        <v>🗙</v>
      </c>
      <c r="F953" s="7" t="n">
        <f aca="false">C953-C952</f>
        <v>1</v>
      </c>
      <c r="H953" s="7"/>
      <c r="I953" s="15"/>
    </row>
    <row r="954" customFormat="false" ht="15" hidden="false" customHeight="false" outlineLevel="0" collapsed="false">
      <c r="A954" s="7" t="s">
        <v>1097</v>
      </c>
      <c r="B954" s="8" t="s">
        <v>1098</v>
      </c>
      <c r="C954" s="7" t="n">
        <f aca="false">HEX2DEC(B954)</f>
        <v>128474</v>
      </c>
      <c r="D954" s="9" t="str">
        <f aca="false">DEC2HEX(C954,8)</f>
        <v>0001F5DA</v>
      </c>
      <c r="E954" s="10" t="str">
        <f aca="false">_xlfn.UNICHAR(HEX2DEC(B954))</f>
        <v>🗚</v>
      </c>
      <c r="F954" s="7" t="n">
        <f aca="false">C954-C953</f>
        <v>1</v>
      </c>
      <c r="H954" s="7"/>
      <c r="I954" s="15"/>
    </row>
    <row r="955" customFormat="false" ht="15" hidden="false" customHeight="false" outlineLevel="0" collapsed="false">
      <c r="A955" s="7" t="s">
        <v>1099</v>
      </c>
      <c r="B955" s="11" t="s">
        <v>1100</v>
      </c>
      <c r="C955" s="7" t="n">
        <f aca="false">HEX2DEC(B955)</f>
        <v>128475</v>
      </c>
      <c r="D955" s="9" t="str">
        <f aca="false">DEC2HEX(C955,8)</f>
        <v>0001F5DB</v>
      </c>
      <c r="E955" s="10" t="str">
        <f aca="false">_xlfn.UNICHAR(HEX2DEC(B955))</f>
        <v>🗛</v>
      </c>
      <c r="F955" s="7" t="n">
        <f aca="false">C955-C954</f>
        <v>1</v>
      </c>
      <c r="H955" s="7"/>
      <c r="I955" s="15"/>
    </row>
    <row r="956" customFormat="false" ht="15" hidden="false" customHeight="false" outlineLevel="0" collapsed="false">
      <c r="A956" t="inlineStr">
        <is>
          <t xml:space="preserve">CYRILLIC_DJE</t>
        </is>
      </c>
      <c r="B956" t="inlineStr">
        <is>
          <t xml:space="preserve">402</t>
        </is>
      </c>
      <c r="D956" s="9"/>
      <c r="E956" s="10"/>
      <c r="F956" s="1"/>
      <c r="H956" s="7"/>
    </row>
    <row r="957" customFormat="false" ht="12.8" hidden="false" customHeight="false" outlineLevel="0" collapsed="false">
      <c r="A957" t="inlineStr">
        <is>
          <t xml:space="preserve">CYRILLIC_SM_DJE</t>
        </is>
      </c>
      <c r="B957" t="inlineStr">
        <is>
          <t xml:space="preserve">452</t>
        </is>
      </c>
      <c r="C957" s="7"/>
      <c r="D957" s="7"/>
      <c r="E957" s="7"/>
    </row>
    <row r="958" customFormat="false" ht="12.8" hidden="false" customHeight="false" outlineLevel="0" collapsed="false">
      <c r="A958" t="inlineStr">
        <is>
          <t xml:space="preserve">CYRILLIC_TSHE</t>
        </is>
      </c>
      <c r="B958" t="inlineStr">
        <is>
          <t xml:space="preserve">40B</t>
        </is>
      </c>
      <c r="C958" s="7"/>
      <c r="D958" s="7"/>
      <c r="E958" s="7"/>
    </row>
    <row r="959" customFormat="false" ht="12.8" hidden="false" customHeight="false" outlineLevel="0" collapsed="false">
      <c r="A959" t="inlineStr">
        <is>
          <t xml:space="preserve">CYRILLIC_SM_TSHE</t>
        </is>
      </c>
      <c r="B959" t="inlineStr">
        <is>
          <t xml:space="preserve">45B</t>
        </is>
      </c>
      <c r="C959" s="7"/>
      <c r="D959" s="7"/>
      <c r="E959" s="7"/>
    </row>
    <row r="960" customFormat="false" ht="12.8" hidden="false" customHeight="false" outlineLevel="0" collapsed="false">
      <c r="A960" t="inlineStr">
        <is>
          <t xml:space="preserve">CYRILLIC_LJE</t>
        </is>
      </c>
      <c r="B960" t="inlineStr">
        <is>
          <t xml:space="preserve">409</t>
        </is>
      </c>
      <c r="C960" s="7"/>
      <c r="D960" s="7"/>
      <c r="E960" s="7"/>
    </row>
    <row r="961" customFormat="false" ht="12.8" hidden="false" customHeight="false" outlineLevel="0" collapsed="false">
      <c r="A961" t="inlineStr">
        <is>
          <t xml:space="preserve">CYRILLIC_SM_LJE</t>
        </is>
      </c>
      <c r="B961" t="inlineStr">
        <is>
          <t xml:space="preserve">459</t>
        </is>
      </c>
      <c r="C961" s="7"/>
      <c r="D961" s="7"/>
      <c r="E961" s="7"/>
    </row>
    <row r="962" customFormat="false" ht="12.8" hidden="false" customHeight="false" outlineLevel="0" collapsed="false">
      <c r="A962" t="inlineStr">
        <is>
          <t xml:space="preserve">CYRILLIC_NJE</t>
        </is>
      </c>
      <c r="B962" t="inlineStr">
        <is>
          <t xml:space="preserve">40A</t>
        </is>
      </c>
      <c r="C962" s="7"/>
      <c r="D962" s="7"/>
      <c r="E962" s="7"/>
    </row>
    <row r="963" customFormat="false" ht="12.8" hidden="false" customHeight="false" outlineLevel="0" collapsed="false">
      <c r="A963" t="inlineStr">
        <is>
          <t xml:space="preserve">CYRILLIC_SM_NJE</t>
        </is>
      </c>
      <c r="B963" t="inlineStr">
        <is>
          <t xml:space="preserve">45A</t>
        </is>
      </c>
      <c r="C963" s="7"/>
      <c r="D963" s="7"/>
      <c r="E963" s="7"/>
    </row>
    <row r="964" customFormat="false" ht="12.8" hidden="false" customHeight="false" outlineLevel="0" collapsed="false">
      <c r="A964" t="inlineStr">
        <is>
          <t xml:space="preserve">CYRILLIC_DZHE</t>
        </is>
      </c>
      <c r="B964" t="inlineStr">
        <is>
          <t xml:space="preserve">40F</t>
        </is>
      </c>
      <c r="C964" s="7"/>
      <c r="D964" s="7"/>
      <c r="E964" s="7"/>
    </row>
    <row r="965" customFormat="false" ht="12.8" hidden="false" customHeight="false" outlineLevel="0" collapsed="false">
      <c r="A965" t="inlineStr">
        <is>
          <t xml:space="preserve">CYRILLIC_SM_DZHE</t>
        </is>
      </c>
      <c r="B965" t="inlineStr">
        <is>
          <t xml:space="preserve">45F</t>
        </is>
      </c>
      <c r="C965" s="7"/>
      <c r="D965" s="7"/>
      <c r="E965" s="7"/>
    </row>
    <row r="966" customFormat="false" ht="12.8" hidden="false" customHeight="false" outlineLevel="0" collapsed="false">
      <c r="A966" t="inlineStr">
        <is>
          <t xml:space="preserve">CYRILLIC_JE</t>
        </is>
      </c>
      <c r="B966" t="inlineStr">
        <is>
          <t xml:space="preserve">408</t>
        </is>
      </c>
      <c r="C966" s="7"/>
      <c r="D966" s="7"/>
      <c r="E966" s="7"/>
    </row>
    <row r="967" customFormat="false" ht="12.8" hidden="false" customHeight="false" outlineLevel="0" collapsed="false">
      <c r="A967" t="inlineStr">
        <is>
          <t xml:space="preserve">CYRILLIC_SM_JE</t>
        </is>
      </c>
      <c r="B967" t="inlineStr">
        <is>
          <t xml:space="preserve">458</t>
        </is>
      </c>
      <c r="C967" s="7"/>
      <c r="D967" s="7"/>
      <c r="E967" s="7"/>
    </row>
    <row r="968" customFormat="false" ht="12.8" hidden="false" customHeight="false" outlineLevel="0" collapsed="false">
      <c r="A968" t="inlineStr">
        <is>
          <t xml:space="preserve">CYRILLIC_GJE</t>
        </is>
      </c>
      <c r="B968" t="inlineStr">
        <is>
          <t xml:space="preserve">403</t>
        </is>
      </c>
      <c r="C968" s="7"/>
      <c r="D968" s="7"/>
      <c r="E968" s="7"/>
    </row>
    <row r="969" customFormat="false" ht="12.8" hidden="false" customHeight="false" outlineLevel="0" collapsed="false">
      <c r="A969" t="inlineStr">
        <is>
          <t xml:space="preserve">CYRILLIC_SM_GJE</t>
        </is>
      </c>
      <c r="B969" t="inlineStr">
        <is>
          <t xml:space="preserve">453</t>
        </is>
      </c>
      <c r="C969" s="7"/>
      <c r="D969" s="7"/>
      <c r="E969" s="7"/>
    </row>
    <row r="970" customFormat="false" ht="12.8" hidden="false" customHeight="false" outlineLevel="0" collapsed="false">
      <c r="A970" t="inlineStr">
        <is>
          <t xml:space="preserve">CYRILLIC_KJE</t>
        </is>
      </c>
      <c r="B970" t="inlineStr">
        <is>
          <t xml:space="preserve">40C</t>
        </is>
      </c>
      <c r="C970" s="7"/>
      <c r="D970" s="7"/>
      <c r="E970" s="7"/>
    </row>
    <row r="971" customFormat="false" ht="12.8" hidden="false" customHeight="false" outlineLevel="0" collapsed="false">
      <c r="A971" t="inlineStr">
        <is>
          <t xml:space="preserve">CYRILLIC_SM_KJE</t>
        </is>
      </c>
      <c r="B971" t="inlineStr">
        <is>
          <t xml:space="preserve">45C</t>
        </is>
      </c>
      <c r="C971" s="7"/>
      <c r="D971" s="7"/>
      <c r="E971" s="7"/>
    </row>
    <row r="972" customFormat="false" ht="12.8" hidden="false" customHeight="false" outlineLevel="0" collapsed="false">
      <c r="A972" t="inlineStr">
        <is>
          <t xml:space="preserve">CYRILLIC_DZE</t>
        </is>
      </c>
      <c r="B972" t="inlineStr">
        <is>
          <t xml:space="preserve">405</t>
        </is>
      </c>
      <c r="C972" s="7"/>
      <c r="D972" s="7"/>
      <c r="E972" s="7"/>
    </row>
    <row r="973" customFormat="false" ht="12.8" hidden="false" customHeight="false" outlineLevel="0" collapsed="false">
      <c r="A973" t="inlineStr">
        <is>
          <t xml:space="preserve">CYRILLIC_SM_DZE</t>
        </is>
      </c>
      <c r="B973" t="inlineStr">
        <is>
          <t xml:space="preserve">455</t>
        </is>
      </c>
      <c r="C973" s="7"/>
      <c r="D973" s="7"/>
      <c r="E973" s="7"/>
    </row>
    <row r="974" customFormat="false" ht="12.8" hidden="false" customHeight="false" outlineLevel="0" collapsed="false">
      <c r="A974" t="inlineStr">
        <is>
          <t xml:space="preserve">ARABIC_PEH</t>
        </is>
      </c>
      <c r="B974" t="inlineStr">
        <is>
          <t xml:space="preserve">67E</t>
        </is>
      </c>
      <c r="C974" s="7"/>
      <c r="D974" s="7"/>
      <c r="E974" s="7"/>
    </row>
    <row r="975" customFormat="false" ht="12.8" hidden="false" customHeight="false" outlineLevel="0" collapsed="false">
      <c r="A975" t="inlineStr">
        <is>
          <t xml:space="preserve">ARABIC_TCHEH</t>
        </is>
      </c>
      <c r="B975" t="inlineStr">
        <is>
          <t xml:space="preserve">686</t>
        </is>
      </c>
      <c r="C975" s="7"/>
      <c r="D975" s="7"/>
      <c r="E975" s="7"/>
    </row>
    <row r="976" customFormat="false" ht="12.8" hidden="false" customHeight="false" outlineLevel="0" collapsed="false">
      <c r="A976" t="inlineStr">
        <is>
          <t xml:space="preserve">ARABIC_JEH</t>
        </is>
      </c>
      <c r="B976" t="inlineStr">
        <is>
          <t xml:space="preserve">698</t>
        </is>
      </c>
      <c r="C976" s="7"/>
      <c r="D976" s="7"/>
      <c r="E976" s="7"/>
    </row>
    <row r="977" customFormat="false" ht="12.8" hidden="false" customHeight="false" outlineLevel="0" collapsed="false">
      <c r="A977" t="inlineStr">
        <is>
          <t xml:space="preserve">ARABIC_GAF</t>
        </is>
      </c>
      <c r="B977" t="inlineStr">
        <is>
          <t xml:space="preserve">6AF</t>
        </is>
      </c>
      <c r="C977" s="7"/>
      <c r="D977" s="7"/>
      <c r="E977" s="7"/>
    </row>
    <row r="978" customFormat="false" ht="12.8" hidden="false" customHeight="false" outlineLevel="0" collapsed="false">
      <c r="A978" t="inlineStr">
        <is>
          <t xml:space="preserve">ARABIC_KEHEH</t>
        </is>
      </c>
      <c r="B978" t="inlineStr">
        <is>
          <t xml:space="preserve">6A9</t>
        </is>
      </c>
      <c r="C978" s="7"/>
      <c r="D978" s="7"/>
      <c r="E978" s="7"/>
    </row>
    <row r="979" customFormat="false" ht="12.8" hidden="false" customHeight="false" outlineLevel="0" collapsed="false">
      <c r="A979" t="inlineStr">
        <is>
          <t xml:space="preserve">ARABIC_FARSI_YEH</t>
        </is>
      </c>
      <c r="B979" t="inlineStr">
        <is>
          <t xml:space="preserve">6CC</t>
        </is>
      </c>
      <c r="C979" s="7"/>
      <c r="D979" s="7"/>
      <c r="E979" s="7"/>
    </row>
    <row r="980" customFormat="false" ht="12.8" hidden="false" customHeight="false" outlineLevel="0" collapsed="false">
      <c r="A980" t="inlineStr">
        <is>
          <t xml:space="preserve">ARABIC_TTEH</t>
        </is>
      </c>
      <c r="B980" t="inlineStr">
        <is>
          <t xml:space="preserve">679</t>
        </is>
      </c>
      <c r="C980" s="7"/>
      <c r="D980" s="7"/>
      <c r="E980" s="7"/>
    </row>
    <row r="981" customFormat="false" ht="12.8" hidden="false" customHeight="false" outlineLevel="0" collapsed="false">
      <c r="A981" t="inlineStr">
        <is>
          <t xml:space="preserve">ARABIC_DDAL</t>
        </is>
      </c>
      <c r="B981" t="inlineStr">
        <is>
          <t xml:space="preserve">688</t>
        </is>
      </c>
      <c r="C981" s="7"/>
      <c r="D981" s="7"/>
      <c r="E981" s="7"/>
    </row>
    <row r="982" customFormat="false" ht="12.8" hidden="false" customHeight="false" outlineLevel="0" collapsed="false">
      <c r="A982" t="inlineStr">
        <is>
          <t xml:space="preserve">ARABIC_RREH</t>
        </is>
      </c>
      <c r="B982" t="inlineStr">
        <is>
          <t xml:space="preserve">691</t>
        </is>
      </c>
      <c r="C982" s="7"/>
      <c r="D982" s="7"/>
      <c r="E982" s="7"/>
    </row>
    <row r="983" customFormat="false" ht="12.8" hidden="false" customHeight="false" outlineLevel="0" collapsed="false">
      <c r="A983" t="inlineStr">
        <is>
          <t xml:space="preserve">ARABIC_NOON_GHUNNA</t>
        </is>
      </c>
      <c r="B983" t="inlineStr">
        <is>
          <t xml:space="preserve">6BA</t>
        </is>
      </c>
      <c r="C983" s="7"/>
      <c r="D983" s="7"/>
      <c r="E983" s="7"/>
    </row>
    <row r="984" customFormat="false" ht="12.8" hidden="false" customHeight="false" outlineLevel="0" collapsed="false">
      <c r="A984" t="inlineStr">
        <is>
          <t xml:space="preserve">ARABIC_HEH_DOACHASHMEE</t>
        </is>
      </c>
      <c r="B984" t="inlineStr">
        <is>
          <t xml:space="preserve">6BE</t>
        </is>
      </c>
      <c r="C984" s="7"/>
      <c r="D984" s="7"/>
      <c r="E984" s="7"/>
    </row>
    <row r="985" customFormat="false" ht="12.8" hidden="false" customHeight="false" outlineLevel="0" collapsed="false">
      <c r="A985" t="inlineStr">
        <is>
          <t xml:space="preserve">ARABIC_HEH_GOAL</t>
        </is>
      </c>
      <c r="B985" t="inlineStr">
        <is>
          <t xml:space="preserve">6C1</t>
        </is>
      </c>
      <c r="C985" s="7"/>
      <c r="D985" s="7"/>
      <c r="E985" s="7"/>
    </row>
    <row r="986" customFormat="false" ht="12.8" hidden="false" customHeight="false" outlineLevel="0" collapsed="false">
      <c r="A986" t="inlineStr">
        <is>
          <t xml:space="preserve">ARABIC_YEH_BARREE</t>
        </is>
      </c>
      <c r="B986" t="inlineStr">
        <is>
          <t xml:space="preserve">6D2</t>
        </is>
      </c>
      <c r="C986" s="7"/>
      <c r="D986" s="7"/>
      <c r="E986" s="7"/>
    </row>
    <row r="987" customFormat="false" ht="12.8" hidden="false" customHeight="false" outlineLevel="0" collapsed="false">
      <c r="A987" t="inlineStr">
        <is>
          <t xml:space="preserve">DEVANAGARI_0901</t>
        </is>
      </c>
      <c r="B987" t="inlineStr">
        <is>
          <t xml:space="preserve">901</t>
        </is>
      </c>
      <c r="C987" s="7"/>
      <c r="D987" s="7"/>
      <c r="E987" s="7"/>
    </row>
    <row r="988" customFormat="false" ht="12.8" hidden="false" customHeight="false" outlineLevel="0" collapsed="false">
      <c r="A988" t="inlineStr">
        <is>
          <t xml:space="preserve">DEVANAGARI_0902</t>
        </is>
      </c>
      <c r="B988" t="inlineStr">
        <is>
          <t xml:space="preserve">902</t>
        </is>
      </c>
      <c r="C988" s="7"/>
      <c r="D988" s="7"/>
      <c r="E988" s="7"/>
    </row>
    <row r="989" customFormat="false" ht="12.8" hidden="false" customHeight="false" outlineLevel="0" collapsed="false">
      <c r="A989" t="inlineStr">
        <is>
          <t xml:space="preserve">DEVANAGARI_0903</t>
        </is>
      </c>
      <c r="B989" t="inlineStr">
        <is>
          <t xml:space="preserve">903</t>
        </is>
      </c>
      <c r="C989" s="7"/>
      <c r="D989" s="7"/>
      <c r="E989" s="7"/>
    </row>
    <row r="990" customFormat="false" ht="12.8" hidden="false" customHeight="false" outlineLevel="0" collapsed="false">
      <c r="A990" t="inlineStr">
        <is>
          <t xml:space="preserve">DEVANAGARI_0905</t>
        </is>
      </c>
      <c r="B990" t="inlineStr">
        <is>
          <t xml:space="preserve">905</t>
        </is>
      </c>
      <c r="C990" s="7"/>
      <c r="D990" s="7"/>
      <c r="E990" s="7"/>
    </row>
    <row r="991" customFormat="false" ht="12.8" hidden="false" customHeight="false" outlineLevel="0" collapsed="false">
      <c r="A991" t="inlineStr">
        <is>
          <t xml:space="preserve">DEVANAGARI_0906</t>
        </is>
      </c>
      <c r="B991" t="inlineStr">
        <is>
          <t xml:space="preserve">906</t>
        </is>
      </c>
      <c r="C991" s="7"/>
      <c r="D991" s="7"/>
      <c r="E991" s="7"/>
    </row>
    <row r="992" customFormat="false" ht="12.8" hidden="false" customHeight="false" outlineLevel="0" collapsed="false">
      <c r="A992" t="inlineStr">
        <is>
          <t xml:space="preserve">DEVANAGARI_0907</t>
        </is>
      </c>
      <c r="B992" t="inlineStr">
        <is>
          <t xml:space="preserve">907</t>
        </is>
      </c>
      <c r="C992" s="7"/>
      <c r="D992" s="7"/>
      <c r="E992" s="7"/>
    </row>
    <row r="993" customFormat="false" ht="12.8" hidden="false" customHeight="false" outlineLevel="0" collapsed="false">
      <c r="A993" t="inlineStr">
        <is>
          <t xml:space="preserve">DEVANAGARI_0908</t>
        </is>
      </c>
      <c r="B993" t="inlineStr">
        <is>
          <t xml:space="preserve">908</t>
        </is>
      </c>
      <c r="C993" s="7"/>
      <c r="D993" s="7"/>
      <c r="E993" s="7"/>
    </row>
    <row r="994" customFormat="false" ht="12.8" hidden="false" customHeight="false" outlineLevel="0" collapsed="false">
      <c r="A994" t="inlineStr">
        <is>
          <t xml:space="preserve">DEVANAGARI_0909</t>
        </is>
      </c>
      <c r="B994" t="inlineStr">
        <is>
          <t xml:space="preserve">909</t>
        </is>
      </c>
      <c r="C994" s="7"/>
      <c r="D994" s="7"/>
      <c r="E994" s="7"/>
    </row>
    <row r="995" customFormat="false" ht="12.8" hidden="false" customHeight="false" outlineLevel="0" collapsed="false">
      <c r="A995" t="inlineStr">
        <is>
          <t xml:space="preserve">DEVANAGARI_090A</t>
        </is>
      </c>
      <c r="B995" t="inlineStr">
        <is>
          <t xml:space="preserve">90A</t>
        </is>
      </c>
      <c r="C995" s="7"/>
      <c r="D995" s="7"/>
      <c r="E995" s="7"/>
    </row>
    <row r="996" customFormat="false" ht="12.8" hidden="false" customHeight="false" outlineLevel="0" collapsed="false">
      <c r="A996" t="inlineStr">
        <is>
          <t xml:space="preserve">DEVANAGARI_090B</t>
        </is>
      </c>
      <c r="B996" t="inlineStr">
        <is>
          <t xml:space="preserve">90B</t>
        </is>
      </c>
      <c r="C996" s="7"/>
      <c r="D996" s="7"/>
      <c r="E996" s="7"/>
    </row>
    <row r="997" customFormat="false" ht="12.8" hidden="false" customHeight="false" outlineLevel="0" collapsed="false">
      <c r="A997" t="inlineStr">
        <is>
          <t xml:space="preserve">DEVANAGARI_090D</t>
        </is>
      </c>
      <c r="B997" t="inlineStr">
        <is>
          <t xml:space="preserve">90D</t>
        </is>
      </c>
      <c r="C997" s="7"/>
      <c r="D997" s="7"/>
      <c r="E997" s="7"/>
    </row>
    <row r="998" customFormat="false" ht="12.8" hidden="false" customHeight="false" outlineLevel="0" collapsed="false">
      <c r="A998" t="inlineStr">
        <is>
          <t xml:space="preserve">DEVANAGARI_090E</t>
        </is>
      </c>
      <c r="B998" t="inlineStr">
        <is>
          <t xml:space="preserve">90E</t>
        </is>
      </c>
      <c r="C998" s="7"/>
      <c r="D998" s="7"/>
      <c r="E998" s="7"/>
    </row>
    <row r="999" customFormat="false" ht="12.8" hidden="false" customHeight="false" outlineLevel="0" collapsed="false">
      <c r="A999" t="inlineStr">
        <is>
          <t xml:space="preserve">DEVANAGARI_090F</t>
        </is>
      </c>
      <c r="B999" t="inlineStr">
        <is>
          <t xml:space="preserve">90F</t>
        </is>
      </c>
      <c r="C999" s="7"/>
      <c r="D999" s="7"/>
      <c r="E999" s="7"/>
    </row>
    <row r="1000" customFormat="false" ht="12.8" hidden="false" customHeight="false" outlineLevel="0" collapsed="false">
      <c r="A1000" t="inlineStr">
        <is>
          <t xml:space="preserve">DEVANAGARI_0910</t>
        </is>
      </c>
      <c r="B1000" t="inlineStr">
        <is>
          <t xml:space="preserve">910</t>
        </is>
      </c>
      <c r="C1000" s="7"/>
      <c r="D1000" s="7"/>
      <c r="E1000" s="7"/>
    </row>
    <row r="1001" customFormat="false" ht="12.8" hidden="false" customHeight="false" outlineLevel="0" collapsed="false">
      <c r="A1001" t="inlineStr">
        <is>
          <t xml:space="preserve">DEVANAGARI_0911</t>
        </is>
      </c>
      <c r="B1001" t="inlineStr">
        <is>
          <t xml:space="preserve">911</t>
        </is>
      </c>
      <c r="C1001" s="7"/>
      <c r="D1001" s="7"/>
      <c r="E1001" s="7"/>
    </row>
    <row r="1002" customFormat="false" ht="12.8" hidden="false" customHeight="false" outlineLevel="0" collapsed="false">
      <c r="A1002" t="inlineStr">
        <is>
          <t xml:space="preserve">DEVANAGARI_0912</t>
        </is>
      </c>
      <c r="B1002" t="inlineStr">
        <is>
          <t xml:space="preserve">912</t>
        </is>
      </c>
      <c r="C1002" s="7"/>
      <c r="D1002" s="7"/>
      <c r="E1002" s="7"/>
    </row>
    <row r="1003" customFormat="false" ht="12.8" hidden="false" customHeight="false" outlineLevel="0" collapsed="false">
      <c r="A1003" t="inlineStr">
        <is>
          <t xml:space="preserve">DEVANAGARI_0913</t>
        </is>
      </c>
      <c r="B1003" t="inlineStr">
        <is>
          <t xml:space="preserve">913</t>
        </is>
      </c>
      <c r="C1003" s="7"/>
      <c r="D1003" s="7"/>
      <c r="E1003" s="7"/>
    </row>
    <row r="1004" customFormat="false" ht="12.8" hidden="false" customHeight="false" outlineLevel="0" collapsed="false">
      <c r="A1004" t="inlineStr">
        <is>
          <t xml:space="preserve">DEVANAGARI_0914</t>
        </is>
      </c>
      <c r="B1004" t="inlineStr">
        <is>
          <t xml:space="preserve">914</t>
        </is>
      </c>
      <c r="C1004" s="7"/>
      <c r="D1004" s="7"/>
      <c r="E1004" s="7"/>
    </row>
    <row r="1005" customFormat="false" ht="12.8" hidden="false" customHeight="false" outlineLevel="0" collapsed="false">
      <c r="A1005" t="inlineStr">
        <is>
          <t xml:space="preserve">DEVANAGARI_0915</t>
        </is>
      </c>
      <c r="B1005" t="inlineStr">
        <is>
          <t xml:space="preserve">915</t>
        </is>
      </c>
      <c r="C1005" s="7"/>
      <c r="D1005" s="7"/>
      <c r="E1005" s="7"/>
    </row>
    <row r="1006" customFormat="false" ht="12.8" hidden="false" customHeight="false" outlineLevel="0" collapsed="false">
      <c r="A1006" t="inlineStr">
        <is>
          <t xml:space="preserve">DEVANAGARI_0916</t>
        </is>
      </c>
      <c r="B1006" t="inlineStr">
        <is>
          <t xml:space="preserve">916</t>
        </is>
      </c>
      <c r="C1006" s="7"/>
      <c r="D1006" s="7"/>
      <c r="E1006" s="7"/>
    </row>
    <row r="1007" customFormat="false" ht="12.8" hidden="false" customHeight="false" outlineLevel="0" collapsed="false">
      <c r="A1007" t="inlineStr">
        <is>
          <t xml:space="preserve">DEVANAGARI_0917</t>
        </is>
      </c>
      <c r="B1007" t="inlineStr">
        <is>
          <t xml:space="preserve">917</t>
        </is>
      </c>
      <c r="C1007" s="7"/>
      <c r="D1007" s="7"/>
      <c r="E1007" s="7"/>
    </row>
    <row r="1008" customFormat="false" ht="12.8" hidden="false" customHeight="false" outlineLevel="0" collapsed="false">
      <c r="A1008" t="inlineStr">
        <is>
          <t xml:space="preserve">DEVANAGARI_0918</t>
        </is>
      </c>
      <c r="B1008" t="inlineStr">
        <is>
          <t xml:space="preserve">918</t>
        </is>
      </c>
      <c r="C1008" s="7"/>
      <c r="D1008" s="7"/>
      <c r="E1008" s="7"/>
    </row>
    <row r="1009" customFormat="false" ht="12.8" hidden="false" customHeight="false" outlineLevel="0" collapsed="false">
      <c r="A1009" t="inlineStr">
        <is>
          <t xml:space="preserve">DEVANAGARI_0919</t>
        </is>
      </c>
      <c r="B1009" t="inlineStr">
        <is>
          <t xml:space="preserve">919</t>
        </is>
      </c>
      <c r="C1009" s="7"/>
      <c r="D1009" s="7"/>
      <c r="E1009" s="7"/>
    </row>
    <row r="1010" customFormat="false" ht="12.8" hidden="false" customHeight="false" outlineLevel="0" collapsed="false">
      <c r="A1010" t="inlineStr">
        <is>
          <t xml:space="preserve">DEVANAGARI_091A</t>
        </is>
      </c>
      <c r="B1010" t="inlineStr">
        <is>
          <t xml:space="preserve">91A</t>
        </is>
      </c>
      <c r="C1010" s="7"/>
      <c r="D1010" s="7"/>
      <c r="E1010" s="7"/>
    </row>
    <row r="1011" customFormat="false" ht="12.8" hidden="false" customHeight="false" outlineLevel="0" collapsed="false">
      <c r="A1011" t="inlineStr">
        <is>
          <t xml:space="preserve">DEVANAGARI_091B</t>
        </is>
      </c>
      <c r="B1011" t="inlineStr">
        <is>
          <t xml:space="preserve">91B</t>
        </is>
      </c>
      <c r="C1011" s="7"/>
      <c r="D1011" s="7"/>
      <c r="E1011" s="7"/>
    </row>
    <row r="1012" customFormat="false" ht="12.8" hidden="false" customHeight="false" outlineLevel="0" collapsed="false">
      <c r="A1012" t="inlineStr">
        <is>
          <t xml:space="preserve">DEVANAGARI_091C</t>
        </is>
      </c>
      <c r="B1012" t="inlineStr">
        <is>
          <t xml:space="preserve">91C</t>
        </is>
      </c>
      <c r="C1012" s="7"/>
      <c r="D1012" s="7"/>
      <c r="E1012" s="7"/>
    </row>
    <row r="1013" customFormat="false" ht="12.8" hidden="false" customHeight="false" outlineLevel="0" collapsed="false">
      <c r="A1013" t="inlineStr">
        <is>
          <t xml:space="preserve">DEVANAGARI_091D</t>
        </is>
      </c>
      <c r="B1013" t="inlineStr">
        <is>
          <t xml:space="preserve">91D</t>
        </is>
      </c>
      <c r="C1013" s="7"/>
      <c r="D1013" s="7"/>
      <c r="E1013" s="7"/>
    </row>
    <row r="1014" customFormat="false" ht="12.8" hidden="false" customHeight="false" outlineLevel="0" collapsed="false">
      <c r="A1014" t="inlineStr">
        <is>
          <t xml:space="preserve">DEVANAGARI_091E</t>
        </is>
      </c>
      <c r="B1014" t="inlineStr">
        <is>
          <t xml:space="preserve">91E</t>
        </is>
      </c>
      <c r="C1014" s="7"/>
      <c r="D1014" s="7"/>
      <c r="E1014" s="7"/>
    </row>
    <row r="1015" customFormat="false" ht="12.8" hidden="false" customHeight="false" outlineLevel="0" collapsed="false">
      <c r="A1015" t="inlineStr">
        <is>
          <t xml:space="preserve">DEVANAGARI_091F</t>
        </is>
      </c>
      <c r="B1015" t="inlineStr">
        <is>
          <t xml:space="preserve">91F</t>
        </is>
      </c>
      <c r="C1015" s="7"/>
      <c r="D1015" s="7"/>
      <c r="E1015" s="7"/>
    </row>
    <row r="1016" customFormat="false" ht="12.8" hidden="false" customHeight="false" outlineLevel="0" collapsed="false">
      <c r="A1016" t="inlineStr">
        <is>
          <t xml:space="preserve">DEVANAGARI_0920</t>
        </is>
      </c>
      <c r="B1016" t="inlineStr">
        <is>
          <t xml:space="preserve">920</t>
        </is>
      </c>
      <c r="C1016" s="7"/>
      <c r="D1016" s="7"/>
      <c r="E1016" s="7"/>
    </row>
    <row r="1017" customFormat="false" ht="12.8" hidden="false" customHeight="false" outlineLevel="0" collapsed="false">
      <c r="A1017" t="inlineStr">
        <is>
          <t xml:space="preserve">DEVANAGARI_0921</t>
        </is>
      </c>
      <c r="B1017" t="inlineStr">
        <is>
          <t xml:space="preserve">921</t>
        </is>
      </c>
      <c r="C1017" s="7"/>
      <c r="D1017" s="7"/>
      <c r="E1017" s="7"/>
    </row>
    <row r="1018" customFormat="false" ht="12.8" hidden="false" customHeight="false" outlineLevel="0" collapsed="false">
      <c r="A1018" t="inlineStr">
        <is>
          <t xml:space="preserve">DEVANAGARI_0922</t>
        </is>
      </c>
      <c r="B1018" t="inlineStr">
        <is>
          <t xml:space="preserve">922</t>
        </is>
      </c>
      <c r="C1018" s="7"/>
      <c r="D1018" s="7"/>
      <c r="E1018" s="7"/>
    </row>
    <row r="1019" customFormat="false" ht="12.8" hidden="false" customHeight="false" outlineLevel="0" collapsed="false">
      <c r="A1019" t="inlineStr">
        <is>
          <t xml:space="preserve">DEVANAGARI_0923</t>
        </is>
      </c>
      <c r="B1019" t="inlineStr">
        <is>
          <t xml:space="preserve">923</t>
        </is>
      </c>
      <c r="C1019" s="7"/>
      <c r="D1019" s="7"/>
      <c r="E1019" s="7"/>
    </row>
    <row r="1020" customFormat="false" ht="12.8" hidden="false" customHeight="false" outlineLevel="0" collapsed="false">
      <c r="A1020" t="inlineStr">
        <is>
          <t xml:space="preserve">DEVANAGARI_0924</t>
        </is>
      </c>
      <c r="B1020" t="inlineStr">
        <is>
          <t xml:space="preserve">924</t>
        </is>
      </c>
      <c r="C1020" s="7"/>
      <c r="D1020" s="7"/>
      <c r="E1020" s="7"/>
    </row>
    <row r="1021" customFormat="false" ht="12.8" hidden="false" customHeight="false" outlineLevel="0" collapsed="false">
      <c r="A1021" t="inlineStr">
        <is>
          <t xml:space="preserve">DEVANAGARI_0925</t>
        </is>
      </c>
      <c r="B1021" t="inlineStr">
        <is>
          <t xml:space="preserve">925</t>
        </is>
      </c>
      <c r="C1021" s="7"/>
      <c r="D1021" s="7"/>
      <c r="E1021" s="7"/>
    </row>
    <row r="1022" customFormat="false" ht="12.8" hidden="false" customHeight="false" outlineLevel="0" collapsed="false">
      <c r="A1022" t="inlineStr">
        <is>
          <t xml:space="preserve">DEVANAGARI_0926</t>
        </is>
      </c>
      <c r="B1022" t="inlineStr">
        <is>
          <t xml:space="preserve">926</t>
        </is>
      </c>
      <c r="C1022" s="7"/>
      <c r="D1022" s="7"/>
      <c r="E1022" s="7"/>
    </row>
    <row r="1023" customFormat="false" ht="12.8" hidden="false" customHeight="false" outlineLevel="0" collapsed="false">
      <c r="A1023" t="inlineStr">
        <is>
          <t xml:space="preserve">DEVANAGARI_0927</t>
        </is>
      </c>
      <c r="B1023" t="inlineStr">
        <is>
          <t xml:space="preserve">927</t>
        </is>
      </c>
      <c r="C1023" s="7"/>
      <c r="D1023" s="7"/>
      <c r="E1023" s="7"/>
    </row>
    <row r="1024" customFormat="false" ht="12.8" hidden="false" customHeight="false" outlineLevel="0" collapsed="false">
      <c r="A1024" t="inlineStr">
        <is>
          <t xml:space="preserve">DEVANAGARI_0928</t>
        </is>
      </c>
      <c r="B1024" t="inlineStr">
        <is>
          <t xml:space="preserve">928</t>
        </is>
      </c>
      <c r="C1024" s="7"/>
      <c r="D1024" s="7"/>
      <c r="E1024" s="7"/>
    </row>
    <row r="1025" customFormat="false" ht="12.8" hidden="false" customHeight="false" outlineLevel="0" collapsed="false">
      <c r="A1025" t="inlineStr">
        <is>
          <t xml:space="preserve">DEVANAGARI_0929</t>
        </is>
      </c>
      <c r="B1025" t="inlineStr">
        <is>
          <t xml:space="preserve">929</t>
        </is>
      </c>
      <c r="C1025" s="7"/>
      <c r="D1025" s="7"/>
      <c r="E1025" s="7"/>
    </row>
    <row r="1026" customFormat="false" ht="12.8" hidden="false" customHeight="false" outlineLevel="0" collapsed="false">
      <c r="A1026" t="inlineStr">
        <is>
          <t xml:space="preserve">DEVANAGARI_092A</t>
        </is>
      </c>
      <c r="B1026" t="inlineStr">
        <is>
          <t xml:space="preserve">92A</t>
        </is>
      </c>
      <c r="C1026" s="7"/>
      <c r="D1026" s="7"/>
      <c r="E1026" s="7"/>
    </row>
    <row r="1027" customFormat="false" ht="12.8" hidden="false" customHeight="false" outlineLevel="0" collapsed="false">
      <c r="A1027" t="inlineStr">
        <is>
          <t xml:space="preserve">DEVANAGARI_092B</t>
        </is>
      </c>
      <c r="B1027" t="inlineStr">
        <is>
          <t xml:space="preserve">92B</t>
        </is>
      </c>
      <c r="C1027" s="7"/>
      <c r="D1027" s="7"/>
      <c r="E1027" s="7"/>
    </row>
    <row r="1028" customFormat="false" ht="12.8" hidden="false" customHeight="false" outlineLevel="0" collapsed="false">
      <c r="A1028" t="inlineStr">
        <is>
          <t xml:space="preserve">DEVANAGARI_092C</t>
        </is>
      </c>
      <c r="B1028" t="inlineStr">
        <is>
          <t xml:space="preserve">92C</t>
        </is>
      </c>
      <c r="C1028" s="7"/>
      <c r="D1028" s="7"/>
      <c r="E1028" s="7"/>
    </row>
    <row r="1029" customFormat="false" ht="12.8" hidden="false" customHeight="false" outlineLevel="0" collapsed="false">
      <c r="A1029" t="inlineStr">
        <is>
          <t xml:space="preserve">DEVANAGARI_092D</t>
        </is>
      </c>
      <c r="B1029" t="inlineStr">
        <is>
          <t xml:space="preserve">92D</t>
        </is>
      </c>
      <c r="C1029" s="7"/>
      <c r="D1029" s="7"/>
      <c r="E1029" s="7"/>
    </row>
    <row r="1030" customFormat="false" ht="12.8" hidden="false" customHeight="false" outlineLevel="0" collapsed="false">
      <c r="A1030" t="inlineStr">
        <is>
          <t xml:space="preserve">DEVANAGARI_092E</t>
        </is>
      </c>
      <c r="B1030" t="inlineStr">
        <is>
          <t xml:space="preserve">92E</t>
        </is>
      </c>
      <c r="C1030" s="7"/>
      <c r="D1030" s="7"/>
      <c r="E1030" s="7"/>
    </row>
    <row r="1031" customFormat="false" ht="12.8" hidden="false" customHeight="false" outlineLevel="0" collapsed="false">
      <c r="A1031" t="inlineStr">
        <is>
          <t xml:space="preserve">DEVANAGARI_092F</t>
        </is>
      </c>
      <c r="B1031" t="inlineStr">
        <is>
          <t xml:space="preserve">92F</t>
        </is>
      </c>
      <c r="C1031" s="7"/>
      <c r="D1031" s="7"/>
      <c r="E1031" s="7"/>
    </row>
    <row r="1032" customFormat="false" ht="12.8" hidden="false" customHeight="false" outlineLevel="0" collapsed="false">
      <c r="A1032" t="inlineStr">
        <is>
          <t xml:space="preserve">DEVANAGARI_0930</t>
        </is>
      </c>
      <c r="B1032" t="inlineStr">
        <is>
          <t xml:space="preserve">930</t>
        </is>
      </c>
      <c r="C1032" s="7"/>
      <c r="D1032" s="7"/>
      <c r="E1032" s="7"/>
    </row>
    <row r="1033" customFormat="false" ht="12.8" hidden="false" customHeight="false" outlineLevel="0" collapsed="false">
      <c r="A1033" t="inlineStr">
        <is>
          <t xml:space="preserve">DEVANAGARI_0931</t>
        </is>
      </c>
      <c r="B1033" t="inlineStr">
        <is>
          <t xml:space="preserve">931</t>
        </is>
      </c>
      <c r="C1033" s="7"/>
      <c r="D1033" s="7"/>
      <c r="E1033" s="7"/>
    </row>
    <row r="1034" customFormat="false" ht="12.8" hidden="false" customHeight="false" outlineLevel="0" collapsed="false">
      <c r="A1034" t="inlineStr">
        <is>
          <t xml:space="preserve">DEVANAGARI_0932</t>
        </is>
      </c>
      <c r="B1034" t="inlineStr">
        <is>
          <t xml:space="preserve">932</t>
        </is>
      </c>
      <c r="C1034" s="7"/>
      <c r="D1034" s="7"/>
      <c r="E1034" s="7"/>
    </row>
    <row r="1035" customFormat="false" ht="12.8" hidden="false" customHeight="false" outlineLevel="0" collapsed="false">
      <c r="A1035" t="inlineStr">
        <is>
          <t xml:space="preserve">DEVANAGARI_0933</t>
        </is>
      </c>
      <c r="B1035" t="inlineStr">
        <is>
          <t xml:space="preserve">933</t>
        </is>
      </c>
      <c r="C1035" s="7"/>
      <c r="D1035" s="7"/>
      <c r="E1035" s="7"/>
    </row>
    <row r="1036" customFormat="false" ht="12.8" hidden="false" customHeight="false" outlineLevel="0" collapsed="false">
      <c r="A1036" t="inlineStr">
        <is>
          <t xml:space="preserve">DEVANAGARI_0934</t>
        </is>
      </c>
      <c r="B1036" t="inlineStr">
        <is>
          <t xml:space="preserve">934</t>
        </is>
      </c>
      <c r="C1036" s="7"/>
      <c r="D1036" s="7"/>
      <c r="E1036" s="7"/>
    </row>
    <row r="1037" customFormat="false" ht="12.8" hidden="false" customHeight="false" outlineLevel="0" collapsed="false">
      <c r="A1037" t="inlineStr">
        <is>
          <t xml:space="preserve">DEVANAGARI_0935</t>
        </is>
      </c>
      <c r="B1037" t="inlineStr">
        <is>
          <t xml:space="preserve">935</t>
        </is>
      </c>
      <c r="C1037" s="7"/>
      <c r="D1037" s="7"/>
      <c r="E1037" s="7"/>
    </row>
    <row r="1038" customFormat="false" ht="12.8" hidden="false" customHeight="false" outlineLevel="0" collapsed="false">
      <c r="A1038" t="inlineStr">
        <is>
          <t xml:space="preserve">DEVANAGARI_0936</t>
        </is>
      </c>
      <c r="B1038" t="inlineStr">
        <is>
          <t xml:space="preserve">936</t>
        </is>
      </c>
      <c r="C1038" s="7"/>
      <c r="D1038" s="7"/>
      <c r="E1038" s="7"/>
    </row>
    <row r="1039" customFormat="false" ht="12.8" hidden="false" customHeight="false" outlineLevel="0" collapsed="false">
      <c r="A1039" t="inlineStr">
        <is>
          <t xml:space="preserve">DEVANAGARI_0937</t>
        </is>
      </c>
      <c r="B1039" t="inlineStr">
        <is>
          <t xml:space="preserve">937</t>
        </is>
      </c>
      <c r="C1039" s="7"/>
      <c r="D1039" s="7"/>
      <c r="E1039" s="7"/>
    </row>
    <row r="1040" customFormat="false" ht="12.8" hidden="false" customHeight="false" outlineLevel="0" collapsed="false">
      <c r="A1040" t="inlineStr">
        <is>
          <t xml:space="preserve">DEVANAGARI_0938</t>
        </is>
      </c>
      <c r="B1040" t="inlineStr">
        <is>
          <t xml:space="preserve">938</t>
        </is>
      </c>
      <c r="C1040" s="7"/>
      <c r="D1040" s="7"/>
      <c r="E1040" s="7"/>
    </row>
    <row r="1041" customFormat="false" ht="12.8" hidden="false" customHeight="false" outlineLevel="0" collapsed="false">
      <c r="A1041" t="inlineStr">
        <is>
          <t xml:space="preserve">DEVANAGARI_0939</t>
        </is>
      </c>
      <c r="B1041" t="inlineStr">
        <is>
          <t xml:space="preserve">939</t>
        </is>
      </c>
      <c r="C1041" s="7"/>
      <c r="D1041" s="7"/>
      <c r="E1041" s="7"/>
    </row>
    <row r="1042" customFormat="false" ht="12.8" hidden="false" customHeight="false" outlineLevel="0" collapsed="false">
      <c r="A1042" t="inlineStr">
        <is>
          <t xml:space="preserve">DEVANAGARI_093C</t>
        </is>
      </c>
      <c r="B1042" t="inlineStr">
        <is>
          <t xml:space="preserve">93C</t>
        </is>
      </c>
      <c r="C1042" s="7"/>
      <c r="D1042" s="7"/>
      <c r="E1042" s="7"/>
    </row>
    <row r="1043" customFormat="false" ht="12.8" hidden="false" customHeight="false" outlineLevel="0" collapsed="false">
      <c r="A1043" t="inlineStr">
        <is>
          <t xml:space="preserve">DEVANAGARI_093E</t>
        </is>
      </c>
      <c r="B1043" t="inlineStr">
        <is>
          <t xml:space="preserve">93E</t>
        </is>
      </c>
      <c r="C1043" s="7"/>
      <c r="D1043" s="7"/>
      <c r="E1043" s="7"/>
    </row>
    <row r="1044" customFormat="false" ht="12.8" hidden="false" customHeight="false" outlineLevel="0" collapsed="false">
      <c r="A1044" t="inlineStr">
        <is>
          <t xml:space="preserve">DEVANAGARI_093F</t>
        </is>
      </c>
      <c r="B1044" t="inlineStr">
        <is>
          <t xml:space="preserve">93F</t>
        </is>
      </c>
      <c r="C1044" s="7"/>
      <c r="D1044" s="7"/>
      <c r="E1044" s="7"/>
    </row>
    <row r="1045" customFormat="false" ht="12.8" hidden="false" customHeight="false" outlineLevel="0" collapsed="false">
      <c r="A1045" t="inlineStr">
        <is>
          <t xml:space="preserve">DEVANAGARI_0940</t>
        </is>
      </c>
      <c r="B1045" t="inlineStr">
        <is>
          <t xml:space="preserve">940</t>
        </is>
      </c>
      <c r="C1045" s="7"/>
      <c r="D1045" s="7"/>
      <c r="E1045" s="7"/>
    </row>
    <row r="1046" customFormat="false" ht="12.8" hidden="false" customHeight="false" outlineLevel="0" collapsed="false">
      <c r="A1046" t="inlineStr">
        <is>
          <t xml:space="preserve">DEVANAGARI_0941</t>
        </is>
      </c>
      <c r="B1046" t="inlineStr">
        <is>
          <t xml:space="preserve">941</t>
        </is>
      </c>
      <c r="C1046" s="7"/>
      <c r="D1046" s="7"/>
      <c r="E1046" s="7"/>
    </row>
    <row r="1047" customFormat="false" ht="12.8" hidden="false" customHeight="false" outlineLevel="0" collapsed="false">
      <c r="A1047" t="inlineStr">
        <is>
          <t xml:space="preserve">DEVANAGARI_0942</t>
        </is>
      </c>
      <c r="B1047" t="inlineStr">
        <is>
          <t xml:space="preserve">942</t>
        </is>
      </c>
      <c r="C1047" s="7"/>
      <c r="D1047" s="7"/>
      <c r="E1047" s="7"/>
    </row>
    <row r="1048" customFormat="false" ht="12.8" hidden="false" customHeight="false" outlineLevel="0" collapsed="false">
      <c r="A1048" t="inlineStr">
        <is>
          <t xml:space="preserve">DEVANAGARI_0943</t>
        </is>
      </c>
      <c r="B1048" t="inlineStr">
        <is>
          <t xml:space="preserve">943</t>
        </is>
      </c>
      <c r="C1048" s="7"/>
      <c r="D1048" s="7"/>
      <c r="E1048" s="7"/>
    </row>
    <row r="1049" customFormat="false" ht="12.8" hidden="false" customHeight="false" outlineLevel="0" collapsed="false">
      <c r="A1049" t="inlineStr">
        <is>
          <t xml:space="preserve">DEVANAGARI_0945</t>
        </is>
      </c>
      <c r="B1049" t="inlineStr">
        <is>
          <t xml:space="preserve">945</t>
        </is>
      </c>
      <c r="C1049" s="7"/>
      <c r="D1049" s="7"/>
      <c r="E1049" s="7"/>
    </row>
    <row r="1050" customFormat="false" ht="12.8" hidden="false" customHeight="false" outlineLevel="0" collapsed="false">
      <c r="A1050" t="inlineStr">
        <is>
          <t xml:space="preserve">DEVANAGARI_0946</t>
        </is>
      </c>
      <c r="B1050" t="inlineStr">
        <is>
          <t xml:space="preserve">946</t>
        </is>
      </c>
      <c r="C1050" s="7"/>
      <c r="D1050" s="7"/>
      <c r="E1050" s="7"/>
    </row>
    <row r="1051" customFormat="false" ht="12.8" hidden="false" customHeight="false" outlineLevel="0" collapsed="false">
      <c r="A1051" t="inlineStr">
        <is>
          <t xml:space="preserve">DEVANAGARI_0947</t>
        </is>
      </c>
      <c r="B1051" t="inlineStr">
        <is>
          <t xml:space="preserve">947</t>
        </is>
      </c>
      <c r="C1051" s="7"/>
      <c r="D1051" s="7"/>
      <c r="E1051" s="7"/>
    </row>
    <row r="1052" customFormat="false" ht="12.8" hidden="false" customHeight="false" outlineLevel="0" collapsed="false">
      <c r="A1052" t="inlineStr">
        <is>
          <t xml:space="preserve">DEVANAGARI_0948</t>
        </is>
      </c>
      <c r="B1052" t="inlineStr">
        <is>
          <t xml:space="preserve">948</t>
        </is>
      </c>
      <c r="C1052" s="7"/>
      <c r="D1052" s="7"/>
      <c r="E1052" s="7"/>
    </row>
    <row r="1053" customFormat="false" ht="12.8" hidden="false" customHeight="false" outlineLevel="0" collapsed="false">
      <c r="A1053" t="inlineStr">
        <is>
          <t xml:space="preserve">DEVANAGARI_094A</t>
        </is>
      </c>
      <c r="B1053" t="inlineStr">
        <is>
          <t xml:space="preserve">94A</t>
        </is>
      </c>
      <c r="C1053" s="7"/>
      <c r="D1053" s="7"/>
      <c r="E1053" s="7"/>
    </row>
    <row r="1054" customFormat="false" ht="12.8" hidden="false" customHeight="false" outlineLevel="0" collapsed="false">
      <c r="A1054" t="inlineStr">
        <is>
          <t xml:space="preserve">DEVANAGARI_094B</t>
        </is>
      </c>
      <c r="B1054" t="inlineStr">
        <is>
          <t xml:space="preserve">94B</t>
        </is>
      </c>
      <c r="C1054" s="7"/>
      <c r="D1054" s="7"/>
      <c r="E1054" s="7"/>
    </row>
    <row r="1055" customFormat="false" ht="12.8" hidden="false" customHeight="false" outlineLevel="0" collapsed="false">
      <c r="A1055" t="inlineStr">
        <is>
          <t xml:space="preserve">DEVANAGARI_094C</t>
        </is>
      </c>
      <c r="B1055" t="inlineStr">
        <is>
          <t xml:space="preserve">94C</t>
        </is>
      </c>
      <c r="C1055" s="7"/>
      <c r="D1055" s="7"/>
      <c r="E1055" s="7"/>
    </row>
    <row r="1056" customFormat="false" ht="12.8" hidden="false" customHeight="false" outlineLevel="0" collapsed="false">
      <c r="A1056" t="inlineStr">
        <is>
          <t xml:space="preserve">DEVANAGARI_094D</t>
        </is>
      </c>
      <c r="B1056" t="inlineStr">
        <is>
          <t xml:space="preserve">94D</t>
        </is>
      </c>
      <c r="C1056" s="7"/>
      <c r="D1056" s="7"/>
      <c r="E1056" s="7"/>
    </row>
    <row r="1057" customFormat="false" ht="12.8" hidden="false" customHeight="false" outlineLevel="0" collapsed="false">
      <c r="A1057" t="inlineStr">
        <is>
          <t xml:space="preserve">DEVANAGARI_095F</t>
        </is>
      </c>
      <c r="B1057" t="inlineStr">
        <is>
          <t xml:space="preserve">95F</t>
        </is>
      </c>
      <c r="C1057" s="7"/>
      <c r="D1057" s="7"/>
      <c r="E1057" s="7"/>
    </row>
    <row r="1058" customFormat="false" ht="12.8" hidden="false" customHeight="false" outlineLevel="0" collapsed="false">
      <c r="A1058" t="inlineStr">
        <is>
          <t xml:space="preserve">DEVANAGARI_0964</t>
        </is>
      </c>
      <c r="B1058" t="inlineStr">
        <is>
          <t xml:space="preserve">964</t>
        </is>
      </c>
      <c r="C1058" s="7"/>
      <c r="D1058" s="7"/>
      <c r="E1058" s="7"/>
    </row>
    <row r="1059" customFormat="false" ht="12.8" hidden="false" customHeight="false" outlineLevel="0" collapsed="false">
      <c r="A1059" t="inlineStr">
        <is>
          <t xml:space="preserve">DEVANAGARI_0966</t>
        </is>
      </c>
      <c r="B1059" t="inlineStr">
        <is>
          <t xml:space="preserve">966</t>
        </is>
      </c>
      <c r="C1059" s="7"/>
      <c r="D1059" s="7"/>
      <c r="E1059" s="7"/>
    </row>
    <row r="1060" customFormat="false" ht="12.8" hidden="false" customHeight="false" outlineLevel="0" collapsed="false">
      <c r="A1060" t="inlineStr">
        <is>
          <t xml:space="preserve">DEVANAGARI_0967</t>
        </is>
      </c>
      <c r="B1060" t="inlineStr">
        <is>
          <t xml:space="preserve">967</t>
        </is>
      </c>
      <c r="C1060" s="7"/>
      <c r="D1060" s="7"/>
      <c r="E1060" s="7"/>
    </row>
    <row r="1061" customFormat="false" ht="12.8" hidden="false" customHeight="false" outlineLevel="0" collapsed="false">
      <c r="A1061" t="inlineStr">
        <is>
          <t xml:space="preserve">DEVANAGARI_0968</t>
        </is>
      </c>
      <c r="B1061" t="inlineStr">
        <is>
          <t xml:space="preserve">968</t>
        </is>
      </c>
      <c r="C1061" s="7"/>
      <c r="D1061" s="7"/>
      <c r="E1061" s="7"/>
    </row>
    <row r="1062" customFormat="false" ht="12.8" hidden="false" customHeight="false" outlineLevel="0" collapsed="false">
      <c r="A1062" t="inlineStr">
        <is>
          <t xml:space="preserve">DEVANAGARI_0969</t>
        </is>
      </c>
      <c r="B1062" t="inlineStr">
        <is>
          <t xml:space="preserve">969</t>
        </is>
      </c>
      <c r="C1062" s="7"/>
      <c r="D1062" s="7"/>
      <c r="E1062" s="7"/>
    </row>
    <row r="1063" customFormat="false" ht="12.8" hidden="false" customHeight="false" outlineLevel="0" collapsed="false">
      <c r="A1063" t="inlineStr">
        <is>
          <t xml:space="preserve">DEVANAGARI_096A</t>
        </is>
      </c>
      <c r="B1063" t="inlineStr">
        <is>
          <t xml:space="preserve">96A</t>
        </is>
      </c>
      <c r="C1063" s="7"/>
      <c r="D1063" s="7"/>
      <c r="E1063" s="7"/>
    </row>
    <row r="1064" customFormat="false" ht="12.8" hidden="false" customHeight="false" outlineLevel="0" collapsed="false">
      <c r="A1064" t="inlineStr">
        <is>
          <t xml:space="preserve">DEVANAGARI_096B</t>
        </is>
      </c>
      <c r="B1064" t="inlineStr">
        <is>
          <t xml:space="preserve">96B</t>
        </is>
      </c>
      <c r="C1064" s="7"/>
      <c r="D1064" s="7"/>
      <c r="E1064" s="7"/>
    </row>
    <row r="1065" customFormat="false" ht="12.8" hidden="false" customHeight="false" outlineLevel="0" collapsed="false">
      <c r="A1065" t="inlineStr">
        <is>
          <t xml:space="preserve">DEVANAGARI_096C</t>
        </is>
      </c>
      <c r="B1065" t="inlineStr">
        <is>
          <t xml:space="preserve">96C</t>
        </is>
      </c>
      <c r="C1065" s="7"/>
      <c r="D1065" s="7"/>
      <c r="E1065" s="7"/>
    </row>
    <row r="1066" customFormat="false" ht="12.8" hidden="false" customHeight="false" outlineLevel="0" collapsed="false">
      <c r="A1066" t="inlineStr">
        <is>
          <t xml:space="preserve">DEVANAGARI_096D</t>
        </is>
      </c>
      <c r="B1066" t="inlineStr">
        <is>
          <t xml:space="preserve">96D</t>
        </is>
      </c>
      <c r="C1066" s="7"/>
      <c r="D1066" s="7"/>
      <c r="E1066" s="7"/>
    </row>
    <row r="1067" customFormat="false" ht="12.8" hidden="false" customHeight="false" outlineLevel="0" collapsed="false">
      <c r="A1067" t="inlineStr">
        <is>
          <t xml:space="preserve">DEVANAGARI_096E</t>
        </is>
      </c>
      <c r="B1067" t="inlineStr">
        <is>
          <t xml:space="preserve">96E</t>
        </is>
      </c>
      <c r="C1067" s="7"/>
      <c r="D1067" s="7"/>
      <c r="E1067" s="7"/>
    </row>
    <row r="1068" customFormat="false" ht="12.8" hidden="false" customHeight="false" outlineLevel="0" collapsed="false">
      <c r="A1068" t="inlineStr">
        <is>
          <t xml:space="preserve">DEVANAGARI_096F</t>
        </is>
      </c>
      <c r="B1068" t="inlineStr">
        <is>
          <t xml:space="preserve">96F</t>
        </is>
      </c>
      <c r="C1068" s="7"/>
      <c r="D1068" s="7"/>
      <c r="E1068" s="7"/>
    </row>
    <row r="1069" customFormat="false" ht="12.8" hidden="false" customHeight="false" outlineLevel="0" collapsed="false">
      <c r="A1069" t="inlineStr">
        <is>
          <t xml:space="preserve">DEVANAGARI_0972</t>
        </is>
      </c>
      <c r="B1069" t="inlineStr">
        <is>
          <t xml:space="preserve">972</t>
        </is>
      </c>
      <c r="C1069" s="7"/>
      <c r="D1069" s="7"/>
      <c r="E1069" s="7"/>
    </row>
    <row r="1070" customFormat="false" ht="12.8" hidden="false" customHeight="false" outlineLevel="0" collapsed="false">
      <c r="A1070" t="inlineStr">
        <is>
          <t xml:space="preserve">ARABIC_HEH_GOAL_HAMZA</t>
        </is>
      </c>
      <c r="B1070" t="inlineStr">
        <is>
          <t xml:space="preserve">6C2</t>
        </is>
      </c>
      <c r="C1070" s="7"/>
      <c r="D1070" s="7"/>
      <c r="E1070" s="7"/>
    </row>
    <row r="1071" customFormat="false" ht="12.8" hidden="false" customHeight="false" outlineLevel="0" collapsed="false">
      <c r="A1071" t="inlineStr">
        <is>
          <t xml:space="preserve">ARABIC_TEH_MARBUTA_GOAL</t>
        </is>
      </c>
      <c r="B1071" t="inlineStr">
        <is>
          <t xml:space="preserve">6C3</t>
        </is>
      </c>
      <c r="C1071" s="7"/>
      <c r="D1071" s="7"/>
      <c r="E1071" s="7"/>
    </row>
    <row r="1072" customFormat="false" ht="12.8" hidden="false" customHeight="false" outlineLevel="0" collapsed="false">
      <c r="A1072" t="inlineStr">
        <is>
          <t xml:space="preserve">ARABIC_YEH_BARREE_HAMZA</t>
        </is>
      </c>
      <c r="B1072" t="inlineStr">
        <is>
          <t xml:space="preserve">6D3</t>
        </is>
      </c>
      <c r="C1072" s="7"/>
      <c r="D1072" s="7"/>
      <c r="E1072" s="7"/>
    </row>
    <row r="1073" customFormat="false" ht="12.8" hidden="false" customHeight="false" outlineLevel="0" collapsed="false">
      <c r="A1073" t="inlineStr">
        <is>
          <t xml:space="preserve">ARABIC_FULL_STOP</t>
        </is>
      </c>
      <c r="B1073" t="inlineStr">
        <is>
          <t xml:space="preserve">6D4</t>
        </is>
      </c>
      <c r="C1073" s="7"/>
      <c r="D1073" s="7"/>
      <c r="E1073" s="7"/>
    </row>
    <row r="1074" customFormat="false" ht="12.8" hidden="false" customHeight="false" outlineLevel="0" collapsed="false">
      <c r="A1074" t="inlineStr">
        <is>
          <t xml:space="preserve">DEVANAGARI_0949</t>
        </is>
      </c>
      <c r="B1074" t="inlineStr">
        <is>
          <t xml:space="preserve">949</t>
        </is>
      </c>
      <c r="C1074" s="7"/>
      <c r="D1074" s="7"/>
      <c r="E1074" s="7"/>
    </row>
    <row r="1075" customFormat="false" ht="12.8" hidden="false" customHeight="false" outlineLevel="0" collapsed="false">
      <c r="A1075" t="inlineStr">
        <is>
          <t xml:space="preserve">ARABIC_EXT_INDIC_0</t>
        </is>
      </c>
      <c r="B1075" t="inlineStr">
        <is>
          <t xml:space="preserve">6F0</t>
        </is>
      </c>
      <c r="C1075" s="7"/>
      <c r="D1075" s="7"/>
      <c r="E1075" s="7"/>
    </row>
    <row r="1076" customFormat="false" ht="12.8" hidden="false" customHeight="false" outlineLevel="0" collapsed="false">
      <c r="A1076" t="inlineStr">
        <is>
          <t xml:space="preserve">ARABIC_EXT_INDIC_1</t>
        </is>
      </c>
      <c r="B1076" t="inlineStr">
        <is>
          <t xml:space="preserve">6F1</t>
        </is>
      </c>
      <c r="C1076" s="7"/>
      <c r="D1076" s="7"/>
      <c r="E1076" s="7"/>
    </row>
    <row r="1077" customFormat="false" ht="12.8" hidden="false" customHeight="false" outlineLevel="0" collapsed="false">
      <c r="A1077" t="inlineStr">
        <is>
          <t xml:space="preserve">ARABIC_EXT_INDIC_2</t>
        </is>
      </c>
      <c r="B1077" t="inlineStr">
        <is>
          <t xml:space="preserve">6F2</t>
        </is>
      </c>
      <c r="C1077" s="7"/>
      <c r="D1077" s="7"/>
      <c r="E1077" s="7"/>
    </row>
    <row r="1078" customFormat="false" ht="12.8" hidden="false" customHeight="false" outlineLevel="0" collapsed="false">
      <c r="A1078" t="inlineStr">
        <is>
          <t xml:space="preserve">ARABIC_EXT_INDIC_3</t>
        </is>
      </c>
      <c r="B1078" t="inlineStr">
        <is>
          <t xml:space="preserve">6F3</t>
        </is>
      </c>
      <c r="C1078" s="7"/>
      <c r="D1078" s="7"/>
      <c r="E1078" s="7"/>
    </row>
    <row r="1079" customFormat="false" ht="12.8" hidden="false" customHeight="false" outlineLevel="0" collapsed="false">
      <c r="A1079" t="inlineStr">
        <is>
          <t xml:space="preserve">ARABIC_EXT_INDIC_4</t>
        </is>
      </c>
      <c r="B1079" t="inlineStr">
        <is>
          <t xml:space="preserve">6F4</t>
        </is>
      </c>
      <c r="C1079" s="7"/>
      <c r="D1079" s="7"/>
      <c r="E1079" s="7"/>
    </row>
    <row r="1080" customFormat="false" ht="12.8" hidden="false" customHeight="false" outlineLevel="0" collapsed="false">
      <c r="A1080" t="inlineStr">
        <is>
          <t xml:space="preserve">ARABIC_EXT_INDIC_5</t>
        </is>
      </c>
      <c r="B1080" t="inlineStr">
        <is>
          <t xml:space="preserve">6F5</t>
        </is>
      </c>
      <c r="C1080" s="7"/>
      <c r="D1080" s="7"/>
      <c r="E1080" s="7"/>
    </row>
    <row r="1081" customFormat="false" ht="12.8" hidden="false" customHeight="false" outlineLevel="0" collapsed="false">
      <c r="A1081" t="inlineStr">
        <is>
          <t xml:space="preserve">ARABIC_EXT_INDIC_6</t>
        </is>
      </c>
      <c r="B1081" t="inlineStr">
        <is>
          <t xml:space="preserve">6F6</t>
        </is>
      </c>
      <c r="C1081" s="7"/>
      <c r="D1081" s="7"/>
      <c r="E1081" s="7"/>
    </row>
    <row r="1082" customFormat="false" ht="12.8" hidden="false" customHeight="false" outlineLevel="0" collapsed="false">
      <c r="A1082" t="inlineStr">
        <is>
          <t xml:space="preserve">ARABIC_EXT_INDIC_7</t>
        </is>
      </c>
      <c r="B1082" t="inlineStr">
        <is>
          <t xml:space="preserve">6F7</t>
        </is>
      </c>
      <c r="C1082" s="7"/>
      <c r="D1082" s="7"/>
      <c r="E1082" s="7"/>
    </row>
    <row r="1083" customFormat="false" ht="12.8" hidden="false" customHeight="false" outlineLevel="0" collapsed="false">
      <c r="A1083" t="inlineStr">
        <is>
          <t xml:space="preserve">ARABIC_EXT_INDIC_8</t>
        </is>
      </c>
      <c r="B1083" t="inlineStr">
        <is>
          <t xml:space="preserve">6F8</t>
        </is>
      </c>
      <c r="C1083" s="7"/>
      <c r="D1083" s="7"/>
      <c r="E1083" s="7"/>
    </row>
    <row r="1084" customFormat="false" ht="12.8" hidden="false" customHeight="false" outlineLevel="0" collapsed="false">
      <c r="A1084" t="inlineStr">
        <is>
          <t xml:space="preserve">ARABIC_EXT_INDIC_9</t>
        </is>
      </c>
      <c r="B1084" t="inlineStr">
        <is>
          <t xml:space="preserve">6F9</t>
        </is>
      </c>
      <c r="C1084" s="7"/>
      <c r="D1084" s="7"/>
      <c r="E1084" s="7"/>
    </row>
    <row r="1085" customFormat="false" ht="12.8" hidden="false" customHeight="false" outlineLevel="0" collapsed="false">
      <c r="A1085" t="inlineStr">
        <is>
          <t xml:space="preserve">DEVA_DC_0901</t>
        </is>
      </c>
      <c r="B1085" t="inlineStr">
        <is>
          <t xml:space="preserve">E100</t>
        </is>
      </c>
      <c r="C1085" s="7"/>
      <c r="D1085" s="7"/>
      <c r="E1085" s="7"/>
    </row>
    <row r="1086" customFormat="false" ht="12.8" hidden="false" customHeight="false" outlineLevel="0" collapsed="false">
      <c r="A1086" t="inlineStr">
        <is>
          <t xml:space="preserve">DEVA_DC_0902</t>
        </is>
      </c>
      <c r="B1086" t="inlineStr">
        <is>
          <t xml:space="preserve">E101</t>
        </is>
      </c>
      <c r="C1086" s="7"/>
      <c r="D1086" s="7"/>
      <c r="E1086" s="7"/>
    </row>
    <row r="1087" customFormat="false" ht="12.8" hidden="false" customHeight="false" outlineLevel="0" collapsed="false">
      <c r="A1087" t="inlineStr">
        <is>
          <t xml:space="preserve">DEVA_DC_0903</t>
        </is>
      </c>
      <c r="B1087" t="inlineStr">
        <is>
          <t xml:space="preserve">E102</t>
        </is>
      </c>
      <c r="C1087" s="7"/>
      <c r="D1087" s="7"/>
      <c r="E1087" s="7"/>
    </row>
    <row r="1088" customFormat="false" ht="12.8" hidden="false" customHeight="false" outlineLevel="0" collapsed="false">
      <c r="A1088" t="inlineStr">
        <is>
          <t xml:space="preserve">DEVA_DC_093C</t>
        </is>
      </c>
      <c r="B1088" t="inlineStr">
        <is>
          <t xml:space="preserve">E103</t>
        </is>
      </c>
      <c r="C1088" s="7"/>
      <c r="D1088" s="7"/>
      <c r="E1088" s="7"/>
    </row>
    <row r="1089" customFormat="false" ht="12.8" hidden="false" customHeight="false" outlineLevel="0" collapsed="false">
      <c r="A1089" t="inlineStr">
        <is>
          <t xml:space="preserve">DEVA_DC_093E</t>
        </is>
      </c>
      <c r="B1089" t="inlineStr">
        <is>
          <t xml:space="preserve">E104</t>
        </is>
      </c>
      <c r="C1089" s="7"/>
      <c r="D1089" s="7"/>
      <c r="E1089" s="7"/>
    </row>
    <row r="1090" customFormat="false" ht="12.8" hidden="false" customHeight="false" outlineLevel="0" collapsed="false">
      <c r="A1090" t="inlineStr">
        <is>
          <t xml:space="preserve">DEVA_DC_093F</t>
        </is>
      </c>
      <c r="B1090" t="inlineStr">
        <is>
          <t xml:space="preserve">E105</t>
        </is>
      </c>
      <c r="C1090" s="7"/>
      <c r="D1090" s="7"/>
      <c r="E1090" s="7"/>
    </row>
    <row r="1091" customFormat="false" ht="12.8" hidden="false" customHeight="false" outlineLevel="0" collapsed="false">
      <c r="A1091" t="inlineStr">
        <is>
          <t xml:space="preserve">DEVA_DC_0940</t>
        </is>
      </c>
      <c r="B1091" t="inlineStr">
        <is>
          <t xml:space="preserve">E106</t>
        </is>
      </c>
      <c r="C1091" s="7"/>
      <c r="D1091" s="7"/>
      <c r="E1091" s="7"/>
    </row>
    <row r="1092" customFormat="false" ht="12.8" hidden="false" customHeight="false" outlineLevel="0" collapsed="false">
      <c r="A1092" t="inlineStr">
        <is>
          <t xml:space="preserve">DEVA_DC_0941</t>
        </is>
      </c>
      <c r="B1092" t="inlineStr">
        <is>
          <t xml:space="preserve">E107</t>
        </is>
      </c>
      <c r="C1092" s="7"/>
      <c r="D1092" s="7"/>
      <c r="E1092" s="7"/>
    </row>
    <row r="1093" customFormat="false" ht="12.8" hidden="false" customHeight="false" outlineLevel="0" collapsed="false">
      <c r="A1093" t="inlineStr">
        <is>
          <t xml:space="preserve">DEVA_DC_0942</t>
        </is>
      </c>
      <c r="B1093" t="inlineStr">
        <is>
          <t xml:space="preserve">E108</t>
        </is>
      </c>
      <c r="C1093" s="7"/>
      <c r="D1093" s="7"/>
      <c r="E1093" s="7"/>
    </row>
    <row r="1094" customFormat="false" ht="12.8" hidden="false" customHeight="false" outlineLevel="0" collapsed="false">
      <c r="A1094" t="inlineStr">
        <is>
          <t xml:space="preserve">DEVA_DC_0943</t>
        </is>
      </c>
      <c r="B1094" t="inlineStr">
        <is>
          <t xml:space="preserve">E109</t>
        </is>
      </c>
      <c r="C1094" s="7"/>
      <c r="D1094" s="7"/>
      <c r="E1094" s="7"/>
    </row>
    <row r="1095" customFormat="false" ht="12.8" hidden="false" customHeight="false" outlineLevel="0" collapsed="false">
      <c r="A1095" t="inlineStr">
        <is>
          <t xml:space="preserve">DEVA_DC_0944</t>
        </is>
      </c>
      <c r="B1095" t="inlineStr">
        <is>
          <t xml:space="preserve">E10A</t>
        </is>
      </c>
      <c r="C1095" s="7"/>
      <c r="D1095" s="7"/>
      <c r="E1095" s="7"/>
    </row>
    <row r="1096" customFormat="false" ht="12.8" hidden="false" customHeight="false" outlineLevel="0" collapsed="false">
      <c r="A1096" t="inlineStr">
        <is>
          <t xml:space="preserve">DEVA_DC_0945</t>
        </is>
      </c>
      <c r="B1096" t="inlineStr">
        <is>
          <t xml:space="preserve">E10B</t>
        </is>
      </c>
      <c r="C1096" s="7"/>
      <c r="D1096" s="7"/>
      <c r="E1096" s="7"/>
    </row>
    <row r="1097" customFormat="false" ht="12.8" hidden="false" customHeight="false" outlineLevel="0" collapsed="false">
      <c r="A1097" t="inlineStr">
        <is>
          <t xml:space="preserve">DEVA_DC_0946</t>
        </is>
      </c>
      <c r="B1097" t="inlineStr">
        <is>
          <t xml:space="preserve">E10C</t>
        </is>
      </c>
      <c r="C1097" s="7"/>
      <c r="D1097" s="7"/>
      <c r="E1097" s="7"/>
    </row>
    <row r="1098" customFormat="false" ht="12.8" hidden="false" customHeight="false" outlineLevel="0" collapsed="false">
      <c r="A1098" t="inlineStr">
        <is>
          <t xml:space="preserve">DEVA_DC_0947</t>
        </is>
      </c>
      <c r="B1098" t="inlineStr">
        <is>
          <t xml:space="preserve">E10D</t>
        </is>
      </c>
      <c r="C1098" s="7"/>
      <c r="D1098" s="7"/>
      <c r="E1098" s="7"/>
    </row>
    <row r="1099" customFormat="false" ht="12.8" hidden="false" customHeight="false" outlineLevel="0" collapsed="false">
      <c r="A1099" t="inlineStr">
        <is>
          <t xml:space="preserve">DEVA_DC_0948</t>
        </is>
      </c>
      <c r="B1099" t="inlineStr">
        <is>
          <t xml:space="preserve">E10E</t>
        </is>
      </c>
      <c r="C1099" s="7"/>
      <c r="D1099" s="7"/>
      <c r="E1099" s="7"/>
    </row>
    <row r="1100" customFormat="false" ht="12.8" hidden="false" customHeight="false" outlineLevel="0" collapsed="false">
      <c r="A1100" t="inlineStr">
        <is>
          <t xml:space="preserve">DEVA_DC_0949</t>
        </is>
      </c>
      <c r="B1100" t="inlineStr">
        <is>
          <t xml:space="preserve">E10F</t>
        </is>
      </c>
      <c r="C1100" s="7"/>
      <c r="D1100" s="7"/>
      <c r="E1100" s="7"/>
    </row>
    <row r="1101" customFormat="false" ht="12.8" hidden="false" customHeight="false" outlineLevel="0" collapsed="false">
      <c r="A1101" t="inlineStr">
        <is>
          <t xml:space="preserve">DEVA_DC_094A</t>
        </is>
      </c>
      <c r="B1101" t="inlineStr">
        <is>
          <t xml:space="preserve">E110</t>
        </is>
      </c>
      <c r="C1101" s="7"/>
      <c r="D1101" s="7"/>
      <c r="E1101" s="7"/>
    </row>
    <row r="1102" customFormat="false" ht="12.8" hidden="false" customHeight="false" outlineLevel="0" collapsed="false">
      <c r="A1102" t="inlineStr">
        <is>
          <t xml:space="preserve">DEVA_DC_094B</t>
        </is>
      </c>
      <c r="B1102" t="inlineStr">
        <is>
          <t xml:space="preserve">E111</t>
        </is>
      </c>
      <c r="C1102" s="7"/>
      <c r="D1102" s="7"/>
      <c r="E1102" s="7"/>
    </row>
    <row r="1103" customFormat="false" ht="12.8" hidden="false" customHeight="false" outlineLevel="0" collapsed="false">
      <c r="A1103" t="inlineStr">
        <is>
          <t xml:space="preserve">DEVA_DC_094C</t>
        </is>
      </c>
      <c r="B1103" t="inlineStr">
        <is>
          <t xml:space="preserve">E112</t>
        </is>
      </c>
      <c r="C1103" s="7"/>
      <c r="D1103" s="7"/>
      <c r="E1103" s="7"/>
    </row>
    <row r="1104" customFormat="false" ht="12.8" hidden="false" customHeight="false" outlineLevel="0" collapsed="false">
      <c r="A1104" t="inlineStr">
        <is>
          <t xml:space="preserve">DEVA_DC_094D</t>
        </is>
      </c>
      <c r="B1104" t="inlineStr">
        <is>
          <t xml:space="preserve">E113</t>
        </is>
      </c>
      <c r="C1104" s="7"/>
      <c r="D1104" s="7"/>
      <c r="E1104" s="7"/>
    </row>
    <row r="1105" customFormat="false" ht="12.8" hidden="false" customHeight="false" outlineLevel="0" collapsed="false">
      <c r="A1105" t="inlineStr">
        <is>
          <t xml:space="preserve">BENGALI_0993</t>
        </is>
      </c>
      <c r="B1105" t="inlineStr">
        <is>
          <t xml:space="preserve">0993</t>
        </is>
      </c>
    </row>
    <row r="1106" customFormat="false" ht="12.8" hidden="false" customHeight="false" outlineLevel="0" collapsed="false">
      <c r="A1106" t="inlineStr">
        <is>
          <t xml:space="preserve">BENGALI_09AE</t>
        </is>
      </c>
      <c r="B1106" t="inlineStr">
        <is>
          <t xml:space="preserve">09AE</t>
        </is>
      </c>
    </row>
    <row r="1107" customFormat="false" ht="12.8" hidden="false" customHeight="false" outlineLevel="0" collapsed="false">
      <c r="A1107" t="inlineStr">
        <is>
          <t xml:space="preserve">BENGALI_09A3</t>
        </is>
      </c>
      <c r="B1107" t="inlineStr">
        <is>
          <t xml:space="preserve">09A3</t>
        </is>
      </c>
    </row>
    <row r="1108" customFormat="false" ht="12.8" hidden="false" customHeight="false" outlineLevel="0" collapsed="false">
      <c r="A1108" t="inlineStr">
        <is>
          <t xml:space="preserve">BENGALI_0985</t>
        </is>
      </c>
      <c r="B1108" t="inlineStr">
        <is>
          <t xml:space="preserve">0985</t>
        </is>
      </c>
    </row>
    <row r="1109" customFormat="false" ht="12.8" hidden="false" customHeight="false" outlineLevel="0" collapsed="false">
      <c r="A1109" t="inlineStr">
        <is>
          <t xml:space="preserve">BENGALI_0986</t>
        </is>
      </c>
      <c r="B1109" t="inlineStr">
        <is>
          <t xml:space="preserve">0986</t>
        </is>
      </c>
    </row>
    <row r="1110" customFormat="false" ht="12.8" hidden="false" customHeight="false" outlineLevel="0" collapsed="false">
      <c r="A1110" t="inlineStr">
        <is>
          <t xml:space="preserve">BENGALI_0987</t>
        </is>
      </c>
      <c r="B1110" t="inlineStr">
        <is>
          <t xml:space="preserve">0987</t>
        </is>
      </c>
    </row>
    <row r="1111" customFormat="false" ht="12.8" hidden="false" customHeight="false" outlineLevel="0" collapsed="false">
      <c r="A1111" t="inlineStr">
        <is>
          <t xml:space="preserve">BENGALI_0989</t>
        </is>
      </c>
      <c r="B1111" t="inlineStr">
        <is>
          <t xml:space="preserve">0989</t>
        </is>
      </c>
    </row>
    <row r="1112" customFormat="false" ht="12.8" hidden="false" customHeight="false" outlineLevel="0" collapsed="false">
      <c r="A1112" t="inlineStr">
        <is>
          <t xml:space="preserve">BENGALI_09AA</t>
        </is>
      </c>
      <c r="B1112" t="inlineStr">
        <is>
          <t xml:space="preserve">09AA</t>
        </is>
      </c>
    </row>
    <row r="1113" customFormat="false" ht="12.8" hidden="false" customHeight="false" outlineLevel="0" collapsed="false">
      <c r="A1113" t="inlineStr">
        <is>
          <t xml:space="preserve">BENGALI_09AB</t>
        </is>
      </c>
      <c r="B1113" t="inlineStr">
        <is>
          <t xml:space="preserve">09AB</t>
        </is>
      </c>
    </row>
    <row r="1114" customFormat="false" ht="12.8" hidden="false" customHeight="false" outlineLevel="0" collapsed="false">
      <c r="A1114" t="inlineStr">
        <is>
          <t xml:space="preserve">BENGALI_0997</t>
        </is>
      </c>
      <c r="B1114" t="inlineStr">
        <is>
          <t xml:space="preserve">0997</t>
        </is>
      </c>
    </row>
    <row r="1115" customFormat="false" ht="12.8" hidden="false" customHeight="false" outlineLevel="0" collapsed="false">
      <c r="A1115" t="inlineStr">
        <is>
          <t xml:space="preserve">BENGALI_0998</t>
        </is>
      </c>
      <c r="B1115" t="inlineStr">
        <is>
          <t xml:space="preserve">0998</t>
        </is>
      </c>
    </row>
    <row r="1116" customFormat="false" ht="12.8" hidden="false" customHeight="false" outlineLevel="0" collapsed="false">
      <c r="A1116" t="inlineStr">
        <is>
          <t xml:space="preserve">BENGALI_09B0</t>
        </is>
      </c>
      <c r="B1116" t="inlineStr">
        <is>
          <t xml:space="preserve">09B0</t>
        </is>
      </c>
    </row>
    <row r="1117" customFormat="false" ht="12.8" hidden="false" customHeight="false" outlineLevel="0" collapsed="false">
      <c r="A1117" t="inlineStr">
        <is>
          <t xml:space="preserve">BENGALI_0995</t>
        </is>
      </c>
      <c r="B1117" t="inlineStr">
        <is>
          <t xml:space="preserve">0995</t>
        </is>
      </c>
    </row>
    <row r="1118" customFormat="false" ht="12.8" hidden="false" customHeight="false" outlineLevel="0" collapsed="false">
      <c r="A1118" t="inlineStr">
        <is>
          <t xml:space="preserve">BENGALI_0996</t>
        </is>
      </c>
      <c r="B1118" t="inlineStr">
        <is>
          <t xml:space="preserve">0996</t>
        </is>
      </c>
    </row>
    <row r="1119" customFormat="false" ht="12.8" hidden="false" customHeight="false" outlineLevel="0" collapsed="false">
      <c r="A1119" t="inlineStr">
        <is>
          <t xml:space="preserve">BENGALI_09A4</t>
        </is>
      </c>
      <c r="B1119" t="inlineStr">
        <is>
          <t xml:space="preserve">09A4</t>
        </is>
      </c>
    </row>
    <row r="1120" customFormat="false" ht="12.8" hidden="false" customHeight="false" outlineLevel="0" collapsed="false">
      <c r="A1120" t="inlineStr">
        <is>
          <t xml:space="preserve">BENGALI_09A5</t>
        </is>
      </c>
      <c r="B1120" t="inlineStr">
        <is>
          <t xml:space="preserve">09A5</t>
        </is>
      </c>
    </row>
    <row r="1121" customFormat="false" ht="12.8" hidden="false" customHeight="false" outlineLevel="0" collapsed="false">
      <c r="A1121" t="inlineStr">
        <is>
          <t xml:space="preserve">BENGALI_09B8</t>
        </is>
      </c>
      <c r="B1121" t="inlineStr">
        <is>
          <t xml:space="preserve">09B8</t>
        </is>
      </c>
    </row>
    <row r="1122" customFormat="false" ht="12.8" hidden="false" customHeight="false" outlineLevel="0" collapsed="false">
      <c r="A1122" t="inlineStr">
        <is>
          <t xml:space="preserve">BENGALI_09B6</t>
        </is>
      </c>
      <c r="B1122" t="inlineStr">
        <is>
          <t xml:space="preserve">09B6</t>
        </is>
      </c>
    </row>
    <row r="1123" customFormat="false" ht="12.8" hidden="false" customHeight="false" outlineLevel="0" collapsed="false">
      <c r="A1123" t="inlineStr">
        <is>
          <t xml:space="preserve">BENGALI_09B2</t>
        </is>
      </c>
      <c r="B1123" t="inlineStr">
        <is>
          <t xml:space="preserve">09B2</t>
        </is>
      </c>
    </row>
    <row r="1124" customFormat="false" ht="12.8" hidden="false" customHeight="false" outlineLevel="0" collapsed="false">
      <c r="A1124" t="inlineStr">
        <is>
          <t xml:space="preserve">BENGALI_09A6</t>
        </is>
      </c>
      <c r="B1124" t="inlineStr">
        <is>
          <t xml:space="preserve">09A6</t>
        </is>
      </c>
    </row>
    <row r="1125" customFormat="false" ht="12.8" hidden="false" customHeight="false" outlineLevel="0" collapsed="false">
      <c r="A1125" t="inlineStr">
        <is>
          <t xml:space="preserve">BENGALI_09A7</t>
        </is>
      </c>
      <c r="B1125" t="inlineStr">
        <is>
          <t xml:space="preserve">09A7</t>
        </is>
      </c>
    </row>
    <row r="1126" customFormat="false" ht="12.8" hidden="false" customHeight="false" outlineLevel="0" collapsed="false">
      <c r="A1126" t="inlineStr">
        <is>
          <t xml:space="preserve">BENGALI_099C</t>
        </is>
      </c>
      <c r="B1126" t="inlineStr">
        <is>
          <t xml:space="preserve">099C</t>
        </is>
      </c>
    </row>
    <row r="1127" customFormat="false" ht="12.8" hidden="false" customHeight="false" outlineLevel="0" collapsed="false">
      <c r="A1127" t="inlineStr">
        <is>
          <t xml:space="preserve">BENGALI_099D</t>
        </is>
      </c>
      <c r="B1127" t="inlineStr">
        <is>
          <t xml:space="preserve">099D</t>
        </is>
      </c>
    </row>
    <row r="1128" customFormat="false" ht="12.8" hidden="false" customHeight="false" outlineLevel="0" collapsed="false">
      <c r="A1128" t="inlineStr">
        <is>
          <t xml:space="preserve">BENGALI_0994</t>
        </is>
      </c>
      <c r="B1128" t="inlineStr">
        <is>
          <t xml:space="preserve">0994</t>
        </is>
      </c>
    </row>
    <row r="1129" customFormat="false" ht="12.8" hidden="false" customHeight="false" outlineLevel="0" collapsed="false">
      <c r="A1129" t="inlineStr">
        <is>
          <t xml:space="preserve">BENGALI_0988</t>
        </is>
      </c>
      <c r="B1129" t="inlineStr">
        <is>
          <t xml:space="preserve">0988</t>
        </is>
      </c>
    </row>
    <row r="1130" customFormat="false" ht="12.8" hidden="false" customHeight="false" outlineLevel="0" collapsed="false">
      <c r="A1130" t="inlineStr">
        <is>
          <t xml:space="preserve">BENGALI_098F</t>
        </is>
      </c>
      <c r="B1130" t="inlineStr">
        <is>
          <t xml:space="preserve">098F</t>
        </is>
      </c>
    </row>
    <row r="1131" customFormat="false" ht="12.8" hidden="false" customHeight="false" outlineLevel="0" collapsed="false">
      <c r="A1131" t="inlineStr">
        <is>
          <t xml:space="preserve">BENGALI_098A</t>
        </is>
      </c>
      <c r="B1131" t="inlineStr">
        <is>
          <t xml:space="preserve">098A</t>
        </is>
      </c>
    </row>
    <row r="1132" customFormat="false" ht="12.8" hidden="false" customHeight="false" outlineLevel="0" collapsed="false">
      <c r="A1132" t="inlineStr">
        <is>
          <t xml:space="preserve">BENGALI_09B9</t>
        </is>
      </c>
      <c r="B1132" t="inlineStr">
        <is>
          <t xml:space="preserve">09B9</t>
        </is>
      </c>
    </row>
    <row r="1133" customFormat="false" ht="12.8" hidden="false" customHeight="false" outlineLevel="0" collapsed="false">
      <c r="A1133" t="inlineStr">
        <is>
          <t xml:space="preserve">BENGALI_0999</t>
        </is>
      </c>
      <c r="B1133" t="inlineStr">
        <is>
          <t xml:space="preserve">0999</t>
        </is>
      </c>
    </row>
    <row r="1134" customFormat="false" ht="12.8" hidden="false" customHeight="false" outlineLevel="0" collapsed="false">
      <c r="A1134" t="inlineStr">
        <is>
          <t xml:space="preserve">BENGALI_09A8</t>
        </is>
      </c>
      <c r="B1134" t="inlineStr">
        <is>
          <t xml:space="preserve">09A8</t>
        </is>
      </c>
    </row>
    <row r="1135" customFormat="false" ht="12.8" hidden="false" customHeight="false" outlineLevel="0" collapsed="false">
      <c r="A1135" t="inlineStr">
        <is>
          <t xml:space="preserve">BENGALI_0990</t>
        </is>
      </c>
      <c r="B1135" t="inlineStr">
        <is>
          <t xml:space="preserve">0990</t>
        </is>
      </c>
    </row>
    <row r="1136" customFormat="false" ht="12.8" hidden="false" customHeight="false" outlineLevel="0" collapsed="false">
      <c r="A1136" t="inlineStr">
        <is>
          <t xml:space="preserve">BENGALI_09AC</t>
        </is>
      </c>
      <c r="B1136" t="inlineStr">
        <is>
          <t xml:space="preserve">09AC</t>
        </is>
      </c>
    </row>
    <row r="1137" customFormat="false" ht="12.8" hidden="false" customHeight="false" outlineLevel="0" collapsed="false">
      <c r="A1137" t="inlineStr">
        <is>
          <t xml:space="preserve">BENGALI_09AD</t>
        </is>
      </c>
      <c r="B1137" t="inlineStr">
        <is>
          <t xml:space="preserve">09AD</t>
        </is>
      </c>
    </row>
    <row r="1138" customFormat="false" ht="12.8" hidden="false" customHeight="false" outlineLevel="0" collapsed="false">
      <c r="A1138" t="inlineStr">
        <is>
          <t xml:space="preserve">BENGALI_09E7</t>
        </is>
      </c>
      <c r="B1138" t="inlineStr">
        <is>
          <t xml:space="preserve">09E7</t>
        </is>
      </c>
    </row>
    <row r="1139" customFormat="false" ht="12.8" hidden="false" customHeight="false" outlineLevel="0" collapsed="false">
      <c r="A1139" t="inlineStr">
        <is>
          <t xml:space="preserve">BENGALI_09E8</t>
        </is>
      </c>
      <c r="B1139" t="inlineStr">
        <is>
          <t xml:space="preserve">09E8</t>
        </is>
      </c>
    </row>
    <row r="1140" customFormat="false" ht="12.8" hidden="false" customHeight="false" outlineLevel="0" collapsed="false">
      <c r="A1140" t="inlineStr">
        <is>
          <t xml:space="preserve">BENGALI_09E9</t>
        </is>
      </c>
      <c r="B1140" t="inlineStr">
        <is>
          <t xml:space="preserve">09E9</t>
        </is>
      </c>
    </row>
    <row r="1141" customFormat="false" ht="12.8" hidden="false" customHeight="false" outlineLevel="0" collapsed="false">
      <c r="A1141" t="inlineStr">
        <is>
          <t xml:space="preserve">BENGALI_09EA</t>
        </is>
      </c>
      <c r="B1141" t="inlineStr">
        <is>
          <t xml:space="preserve">09EA</t>
        </is>
      </c>
    </row>
    <row r="1142" customFormat="false" ht="12.8" hidden="false" customHeight="false" outlineLevel="0" collapsed="false">
      <c r="A1142" t="inlineStr">
        <is>
          <t xml:space="preserve">BENGALI_09EB</t>
        </is>
      </c>
      <c r="B1142" t="inlineStr">
        <is>
          <t xml:space="preserve">09EB</t>
        </is>
      </c>
    </row>
    <row r="1143" customFormat="false" ht="12.8" hidden="false" customHeight="false" outlineLevel="0" collapsed="false">
      <c r="A1143" t="inlineStr">
        <is>
          <t xml:space="preserve">BENGALI_09EC</t>
        </is>
      </c>
      <c r="B1143" t="inlineStr">
        <is>
          <t xml:space="preserve">09EC</t>
        </is>
      </c>
    </row>
    <row r="1144" customFormat="false" ht="12.8" hidden="false" customHeight="false" outlineLevel="0" collapsed="false">
      <c r="A1144" t="inlineStr">
        <is>
          <t xml:space="preserve">BENGALI_09ED</t>
        </is>
      </c>
      <c r="B1144" t="inlineStr">
        <is>
          <t xml:space="preserve">09ED</t>
        </is>
      </c>
    </row>
    <row r="1145" customFormat="false" ht="12.8" hidden="false" customHeight="false" outlineLevel="0" collapsed="false">
      <c r="A1145" t="inlineStr">
        <is>
          <t xml:space="preserve">BENGALI_09EE</t>
        </is>
      </c>
      <c r="B1145" t="inlineStr">
        <is>
          <t xml:space="preserve">09EE</t>
        </is>
      </c>
    </row>
    <row r="1146" customFormat="false" ht="12.8" hidden="false" customHeight="false" outlineLevel="0" collapsed="false">
      <c r="A1146" t="inlineStr">
        <is>
          <t xml:space="preserve">BENGALI_09EF</t>
        </is>
      </c>
      <c r="B1146" t="inlineStr">
        <is>
          <t xml:space="preserve">09EF</t>
        </is>
      </c>
    </row>
    <row r="1147" customFormat="false" ht="12.8" hidden="false" customHeight="false" outlineLevel="0" collapsed="false">
      <c r="A1147" t="inlineStr">
        <is>
          <t xml:space="preserve">BENGALI_09E6</t>
        </is>
      </c>
      <c r="B1147" t="inlineStr">
        <is>
          <t xml:space="preserve">09E6</t>
        </is>
      </c>
    </row>
    <row r="1148" customFormat="false" ht="12.8" hidden="false" customHeight="false" outlineLevel="0" collapsed="false">
      <c r="A1148" t="inlineStr">
        <is>
          <t xml:space="preserve">BENGALI_098B</t>
        </is>
      </c>
      <c r="B1148" t="inlineStr">
        <is>
          <t xml:space="preserve">098B</t>
        </is>
      </c>
    </row>
    <row r="1149" customFormat="false" ht="12.8" hidden="false" customHeight="false" outlineLevel="0" collapsed="false">
      <c r="A1149" t="inlineStr">
        <is>
          <t xml:space="preserve">BENGALI_09A1</t>
        </is>
      </c>
      <c r="B1149" t="inlineStr">
        <is>
          <t xml:space="preserve">09A1</t>
        </is>
      </c>
    </row>
    <row r="1150" customFormat="false" ht="12.8" hidden="false" customHeight="false" outlineLevel="0" collapsed="false">
      <c r="A1150" t="inlineStr">
        <is>
          <t xml:space="preserve">BENGALI_09A2</t>
        </is>
      </c>
      <c r="B1150" t="inlineStr">
        <is>
          <t xml:space="preserve">09A2</t>
        </is>
      </c>
    </row>
    <row r="1151" customFormat="false" ht="12.8" hidden="false" customHeight="false" outlineLevel="0" collapsed="false">
      <c r="A1151" t="inlineStr">
        <is>
          <t xml:space="preserve">BENGALI_099E</t>
        </is>
      </c>
      <c r="B1151" t="inlineStr">
        <is>
          <t xml:space="preserve">099E</t>
        </is>
      </c>
    </row>
    <row r="1152" customFormat="false" ht="12.8" hidden="false" customHeight="false" outlineLevel="0" collapsed="false">
      <c r="A1152" t="inlineStr">
        <is>
          <t xml:space="preserve">BENGALI_099A</t>
        </is>
      </c>
      <c r="B1152" t="inlineStr">
        <is>
          <t xml:space="preserve">099A</t>
        </is>
      </c>
    </row>
    <row r="1153" customFormat="false" ht="12.8" hidden="false" customHeight="false" outlineLevel="0" collapsed="false">
      <c r="A1153" t="inlineStr">
        <is>
          <t xml:space="preserve">BENGALI_099B</t>
        </is>
      </c>
      <c r="B1153" t="inlineStr">
        <is>
          <t xml:space="preserve">099B</t>
        </is>
      </c>
    </row>
    <row r="1154" customFormat="false" ht="12.8" hidden="false" customHeight="false" outlineLevel="0" collapsed="false">
      <c r="A1154" t="inlineStr">
        <is>
          <t xml:space="preserve">BENGALI_099F</t>
        </is>
      </c>
      <c r="B1154" t="inlineStr">
        <is>
          <t xml:space="preserve">099F</t>
        </is>
      </c>
    </row>
    <row r="1155" customFormat="false" ht="12.8" hidden="false" customHeight="false" outlineLevel="0" collapsed="false">
      <c r="A1155" t="inlineStr">
        <is>
          <t xml:space="preserve">BENGALI_09A0</t>
        </is>
      </c>
      <c r="B1155" t="inlineStr">
        <is>
          <t xml:space="preserve">09A0</t>
        </is>
      </c>
    </row>
    <row r="1156" customFormat="false" ht="12.8" hidden="false" customHeight="false" outlineLevel="0" collapsed="false">
      <c r="A1156" t="inlineStr">
        <is>
          <t xml:space="preserve">BENGALI_09B7</t>
        </is>
      </c>
      <c r="B1156" t="inlineStr">
        <is>
          <t xml:space="preserve">09B7</t>
        </is>
      </c>
    </row>
    <row r="1157" customFormat="false" ht="12.8" hidden="false" customHeight="false" outlineLevel="0" collapsed="false">
      <c r="A1157" t="inlineStr">
        <is>
          <t xml:space="preserve">BENGALI_09AF</t>
        </is>
      </c>
      <c r="B1157" t="inlineStr">
        <is>
          <t xml:space="preserve">09AF</t>
        </is>
      </c>
    </row>
    <row r="1158" customFormat="false" ht="12.8" hidden="false" customHeight="false" outlineLevel="0" collapsed="false">
      <c r="A1158" t="inlineStr">
        <is>
          <t xml:space="preserve">BENGALI_09DF</t>
        </is>
      </c>
      <c r="B1158" t="inlineStr">
        <is>
          <t xml:space="preserve">09DF</t>
        </is>
      </c>
    </row>
    <row r="1159" customFormat="false" ht="12.8" hidden="false" customHeight="false" outlineLevel="0" collapsed="false">
      <c r="A1159" t="inlineStr">
        <is>
          <t xml:space="preserve">BENG_DC_0981</t>
        </is>
      </c>
      <c r="B1159" t="inlineStr">
        <is>
          <t xml:space="preserve">E120</t>
        </is>
      </c>
    </row>
    <row r="1160" customFormat="false" ht="12.8" hidden="false" customHeight="false" outlineLevel="0" collapsed="false">
      <c r="A1160" t="inlineStr">
        <is>
          <t xml:space="preserve">BENG_DC_0982</t>
        </is>
      </c>
      <c r="B1160" t="inlineStr">
        <is>
          <t xml:space="preserve">E121</t>
        </is>
      </c>
    </row>
    <row r="1161" customFormat="false" ht="12.8" hidden="false" customHeight="false" outlineLevel="0" collapsed="false">
      <c r="A1161" t="inlineStr">
        <is>
          <t xml:space="preserve">BENG_DC_0983</t>
        </is>
      </c>
      <c r="B1161" t="inlineStr">
        <is>
          <t xml:space="preserve">E122</t>
        </is>
      </c>
    </row>
    <row r="1162" customFormat="false" ht="12.8" hidden="false" customHeight="false" outlineLevel="0" collapsed="false">
      <c r="A1162" t="inlineStr">
        <is>
          <t xml:space="preserve">BENG_DC_09BC</t>
        </is>
      </c>
      <c r="B1162" t="inlineStr">
        <is>
          <t xml:space="preserve">E123</t>
        </is>
      </c>
    </row>
    <row r="1163" customFormat="false" ht="12.8" hidden="false" customHeight="false" outlineLevel="0" collapsed="false">
      <c r="A1163" t="inlineStr">
        <is>
          <t xml:space="preserve">BENG_DC_09BE</t>
        </is>
      </c>
      <c r="B1163" t="inlineStr">
        <is>
          <t xml:space="preserve">E124</t>
        </is>
      </c>
    </row>
    <row r="1164" customFormat="false" ht="12.8" hidden="false" customHeight="false" outlineLevel="0" collapsed="false">
      <c r="A1164" t="inlineStr">
        <is>
          <t xml:space="preserve">BENG_DC_09BF</t>
        </is>
      </c>
      <c r="B1164" t="inlineStr">
        <is>
          <t xml:space="preserve">E125</t>
        </is>
      </c>
    </row>
    <row r="1165" customFormat="false" ht="12.8" hidden="false" customHeight="false" outlineLevel="0" collapsed="false">
      <c r="A1165" t="inlineStr">
        <is>
          <t xml:space="preserve">BENG_DC_09C0</t>
        </is>
      </c>
      <c r="B1165" t="inlineStr">
        <is>
          <t xml:space="preserve">E126</t>
        </is>
      </c>
    </row>
    <row r="1166" customFormat="false" ht="12.8" hidden="false" customHeight="false" outlineLevel="0" collapsed="false">
      <c r="A1166" t="inlineStr">
        <is>
          <t xml:space="preserve">BENG_DC_09C1</t>
        </is>
      </c>
      <c r="B1166" t="inlineStr">
        <is>
          <t xml:space="preserve">E127</t>
        </is>
      </c>
    </row>
    <row r="1167" customFormat="false" ht="12.8" hidden="false" customHeight="false" outlineLevel="0" collapsed="false">
      <c r="A1167" t="inlineStr">
        <is>
          <t xml:space="preserve">BENG_DC_09C2</t>
        </is>
      </c>
      <c r="B1167" t="inlineStr">
        <is>
          <t xml:space="preserve">E128</t>
        </is>
      </c>
    </row>
    <row r="1168" customFormat="false" ht="12.8" hidden="false" customHeight="false" outlineLevel="0" collapsed="false">
      <c r="A1168" t="inlineStr">
        <is>
          <t xml:space="preserve">BENG_DC_09C3</t>
        </is>
      </c>
      <c r="B1168" t="inlineStr">
        <is>
          <t xml:space="preserve">E129</t>
        </is>
      </c>
    </row>
    <row r="1169" customFormat="false" ht="12.8" hidden="false" customHeight="false" outlineLevel="0" collapsed="false">
      <c r="A1169" t="inlineStr">
        <is>
          <t xml:space="preserve">BENG_DC_09C7</t>
        </is>
      </c>
      <c r="B1169" t="inlineStr">
        <is>
          <t xml:space="preserve">E12A</t>
        </is>
      </c>
    </row>
    <row r="1170" customFormat="false" ht="12.8" hidden="false" customHeight="false" outlineLevel="0" collapsed="false">
      <c r="A1170" t="inlineStr">
        <is>
          <t xml:space="preserve">BENG_DC_09C8</t>
        </is>
      </c>
      <c r="B1170" t="inlineStr">
        <is>
          <t xml:space="preserve">E12B</t>
        </is>
      </c>
    </row>
    <row r="1171" customFormat="false" ht="12.8" hidden="false" customHeight="false" outlineLevel="0" collapsed="false">
      <c r="A1171" t="inlineStr">
        <is>
          <t xml:space="preserve">BENG_DC_09CB</t>
        </is>
      </c>
      <c r="B1171" t="inlineStr">
        <is>
          <t xml:space="preserve">E12C</t>
        </is>
      </c>
    </row>
    <row r="1172" customFormat="false" ht="12.8" hidden="false" customHeight="false" outlineLevel="0" collapsed="false">
      <c r="A1172" t="inlineStr">
        <is>
          <t xml:space="preserve">BENG_DC_09CC</t>
        </is>
      </c>
      <c r="B1172" t="inlineStr">
        <is>
          <t xml:space="preserve">E12D</t>
        </is>
      </c>
    </row>
    <row r="1173" customFormat="false" ht="12.8" hidden="false" customHeight="false" outlineLevel="0" collapsed="false">
      <c r="A1173" t="inlineStr">
        <is>
          <t xml:space="preserve">BENG_DC_09CD</t>
        </is>
      </c>
      <c r="B1173" t="inlineStr">
        <is>
          <t xml:space="preserve">E12E</t>
        </is>
      </c>
    </row>
    <row r="1174" customFormat="false" ht="12.8" hidden="false" customHeight="false" outlineLevel="0" collapsed="false">
      <c r="A1174" t="inlineStr">
        <is>
          <t xml:space="preserve">TELUGU_0C13</t>
        </is>
      </c>
      <c r="B1174" t="inlineStr">
        <is>
          <t xml:space="preserve">0C13</t>
        </is>
      </c>
    </row>
    <row r="1175" customFormat="false" ht="12.8" hidden="false" customHeight="false" outlineLevel="0" collapsed="false">
      <c r="A1175" t="inlineStr">
        <is>
          <t xml:space="preserve">TELUGU_0C35</t>
        </is>
      </c>
      <c r="B1175" t="inlineStr">
        <is>
          <t xml:space="preserve">0C35</t>
        </is>
      </c>
    </row>
    <row r="1176" customFormat="false" ht="12.8" hidden="false" customHeight="false" outlineLevel="0" collapsed="false">
      <c r="A1176" t="inlineStr">
        <is>
          <t xml:space="preserve">TELUGU_0C34</t>
        </is>
      </c>
      <c r="B1176" t="inlineStr">
        <is>
          <t xml:space="preserve">0C34</t>
        </is>
      </c>
    </row>
    <row r="1177" customFormat="false" ht="12.8" hidden="false" customHeight="false" outlineLevel="0" collapsed="false">
      <c r="A1177" t="inlineStr">
        <is>
          <t xml:space="preserve">TELUGU_0C2E</t>
        </is>
      </c>
      <c r="B1177" t="inlineStr">
        <is>
          <t xml:space="preserve">0C2E</t>
        </is>
      </c>
    </row>
    <row r="1178" customFormat="false" ht="12.8" hidden="false" customHeight="false" outlineLevel="0" collapsed="false">
      <c r="A1178" t="inlineStr">
        <is>
          <t xml:space="preserve">TELUGU_0C23</t>
        </is>
      </c>
      <c r="B1178" t="inlineStr">
        <is>
          <t xml:space="preserve">0C23</t>
        </is>
      </c>
    </row>
    <row r="1179" customFormat="false" ht="12.8" hidden="false" customHeight="false" outlineLevel="0" collapsed="false">
      <c r="A1179" t="inlineStr">
        <is>
          <t xml:space="preserve">TELUGU_0C05</t>
        </is>
      </c>
      <c r="B1179" t="inlineStr">
        <is>
          <t xml:space="preserve">0C05</t>
        </is>
      </c>
    </row>
    <row r="1180" customFormat="false" ht="12.8" hidden="false" customHeight="false" outlineLevel="0" collapsed="false">
      <c r="A1180" t="inlineStr">
        <is>
          <t xml:space="preserve">TELUGU_0C06</t>
        </is>
      </c>
      <c r="B1180" t="inlineStr">
        <is>
          <t xml:space="preserve">0C06</t>
        </is>
      </c>
    </row>
    <row r="1181" customFormat="false" ht="12.8" hidden="false" customHeight="false" outlineLevel="0" collapsed="false">
      <c r="A1181" t="inlineStr">
        <is>
          <t xml:space="preserve">TELUGU_0C07</t>
        </is>
      </c>
      <c r="B1181" t="inlineStr">
        <is>
          <t xml:space="preserve">0C07</t>
        </is>
      </c>
    </row>
    <row r="1182" customFormat="false" ht="12.8" hidden="false" customHeight="false" outlineLevel="0" collapsed="false">
      <c r="A1182" t="inlineStr">
        <is>
          <t xml:space="preserve">TELUGU_0C09</t>
        </is>
      </c>
      <c r="B1182" t="inlineStr">
        <is>
          <t xml:space="preserve">0C09</t>
        </is>
      </c>
    </row>
    <row r="1183" customFormat="false" ht="12.8" hidden="false" customHeight="false" outlineLevel="0" collapsed="false">
      <c r="A1183" t="inlineStr">
        <is>
          <t xml:space="preserve">TELUGU_0C2A</t>
        </is>
      </c>
      <c r="B1183" t="inlineStr">
        <is>
          <t xml:space="preserve">0C2A</t>
        </is>
      </c>
    </row>
    <row r="1184" customFormat="false" ht="12.8" hidden="false" customHeight="false" outlineLevel="0" collapsed="false">
      <c r="A1184" t="inlineStr">
        <is>
          <t xml:space="preserve">TELUGU_0C2B</t>
        </is>
      </c>
      <c r="B1184" t="inlineStr">
        <is>
          <t xml:space="preserve">0C2B</t>
        </is>
      </c>
    </row>
    <row r="1185" customFormat="false" ht="12.8" hidden="false" customHeight="false" outlineLevel="0" collapsed="false">
      <c r="A1185" t="inlineStr">
        <is>
          <t xml:space="preserve">TELUGU_0C17</t>
        </is>
      </c>
      <c r="B1185" t="inlineStr">
        <is>
          <t xml:space="preserve">0C17</t>
        </is>
      </c>
    </row>
    <row r="1186" customFormat="false" ht="12.8" hidden="false" customHeight="false" outlineLevel="0" collapsed="false">
      <c r="A1186" t="inlineStr">
        <is>
          <t xml:space="preserve">TELUGU_0C18</t>
        </is>
      </c>
      <c r="B1186" t="inlineStr">
        <is>
          <t xml:space="preserve">0C18</t>
        </is>
      </c>
    </row>
    <row r="1187" customFormat="false" ht="12.8" hidden="false" customHeight="false" outlineLevel="0" collapsed="false">
      <c r="A1187" t="inlineStr">
        <is>
          <t xml:space="preserve">TELUGU_0C30</t>
        </is>
      </c>
      <c r="B1187" t="inlineStr">
        <is>
          <t xml:space="preserve">0C30</t>
        </is>
      </c>
    </row>
    <row r="1188" customFormat="false" ht="12.8" hidden="false" customHeight="false" outlineLevel="0" collapsed="false">
      <c r="A1188" t="inlineStr">
        <is>
          <t xml:space="preserve">TELUGU_0C31</t>
        </is>
      </c>
      <c r="B1188" t="inlineStr">
        <is>
          <t xml:space="preserve">0C31</t>
        </is>
      </c>
    </row>
    <row r="1189" customFormat="false" ht="12.8" hidden="false" customHeight="false" outlineLevel="0" collapsed="false">
      <c r="A1189" t="inlineStr">
        <is>
          <t xml:space="preserve">TELUGU_0C15</t>
        </is>
      </c>
      <c r="B1189" t="inlineStr">
        <is>
          <t xml:space="preserve">0C15</t>
        </is>
      </c>
    </row>
    <row r="1190" customFormat="false" ht="12.8" hidden="false" customHeight="false" outlineLevel="0" collapsed="false">
      <c r="A1190" t="inlineStr">
        <is>
          <t xml:space="preserve">TELUGU_0C16</t>
        </is>
      </c>
      <c r="B1190" t="inlineStr">
        <is>
          <t xml:space="preserve">0C16</t>
        </is>
      </c>
    </row>
    <row r="1191" customFormat="false" ht="12.8" hidden="false" customHeight="false" outlineLevel="0" collapsed="false">
      <c r="A1191" t="inlineStr">
        <is>
          <t xml:space="preserve">TELUGU_0C24</t>
        </is>
      </c>
      <c r="B1191" t="inlineStr">
        <is>
          <t xml:space="preserve">0C24</t>
        </is>
      </c>
    </row>
    <row r="1192" customFormat="false" ht="12.8" hidden="false" customHeight="false" outlineLevel="0" collapsed="false">
      <c r="A1192" t="inlineStr">
        <is>
          <t xml:space="preserve">TELUGU_0C25</t>
        </is>
      </c>
      <c r="B1192" t="inlineStr">
        <is>
          <t xml:space="preserve">0C25</t>
        </is>
      </c>
    </row>
    <row r="1193" customFormat="false" ht="12.8" hidden="false" customHeight="false" outlineLevel="0" collapsed="false">
      <c r="A1193" t="inlineStr">
        <is>
          <t xml:space="preserve">TELUGU_0C38</t>
        </is>
      </c>
      <c r="B1193" t="inlineStr">
        <is>
          <t xml:space="preserve">0C38</t>
        </is>
      </c>
    </row>
    <row r="1194" customFormat="false" ht="12.8" hidden="false" customHeight="false" outlineLevel="0" collapsed="false">
      <c r="A1194" t="inlineStr">
        <is>
          <t xml:space="preserve">TELUGU_0C36</t>
        </is>
      </c>
      <c r="B1194" t="inlineStr">
        <is>
          <t xml:space="preserve">0C36</t>
        </is>
      </c>
    </row>
    <row r="1195" customFormat="false" ht="12.8" hidden="false" customHeight="false" outlineLevel="0" collapsed="false">
      <c r="A1195" t="inlineStr">
        <is>
          <t xml:space="preserve">TELUGU_0C32</t>
        </is>
      </c>
      <c r="B1195" t="inlineStr">
        <is>
          <t xml:space="preserve">0C32</t>
        </is>
      </c>
    </row>
    <row r="1196" customFormat="false" ht="12.8" hidden="false" customHeight="false" outlineLevel="0" collapsed="false">
      <c r="A1196" t="inlineStr">
        <is>
          <t xml:space="preserve">TELUGU_0C33</t>
        </is>
      </c>
      <c r="B1196" t="inlineStr">
        <is>
          <t xml:space="preserve">0C33</t>
        </is>
      </c>
    </row>
    <row r="1197" customFormat="false" ht="12.8" hidden="false" customHeight="false" outlineLevel="0" collapsed="false">
      <c r="A1197" t="inlineStr">
        <is>
          <t xml:space="preserve">TELUGU_0C26</t>
        </is>
      </c>
      <c r="B1197" t="inlineStr">
        <is>
          <t xml:space="preserve">0C26</t>
        </is>
      </c>
    </row>
    <row r="1198" customFormat="false" ht="12.8" hidden="false" customHeight="false" outlineLevel="0" collapsed="false">
      <c r="A1198" t="inlineStr">
        <is>
          <t xml:space="preserve">TELUGU_0C27</t>
        </is>
      </c>
      <c r="B1198" t="inlineStr">
        <is>
          <t xml:space="preserve">0C27</t>
        </is>
      </c>
    </row>
    <row r="1199" customFormat="false" ht="12.8" hidden="false" customHeight="false" outlineLevel="0" collapsed="false">
      <c r="A1199" t="inlineStr">
        <is>
          <t xml:space="preserve">TELUGU_0C1C</t>
        </is>
      </c>
      <c r="B1199" t="inlineStr">
        <is>
          <t xml:space="preserve">0C1C</t>
        </is>
      </c>
    </row>
    <row r="1200" customFormat="false" ht="12.8" hidden="false" customHeight="false" outlineLevel="0" collapsed="false">
      <c r="A1200" t="inlineStr">
        <is>
          <t xml:space="preserve">TELUGU_0C1D</t>
        </is>
      </c>
      <c r="B1200" t="inlineStr">
        <is>
          <t xml:space="preserve">0C1D</t>
        </is>
      </c>
    </row>
    <row r="1201" customFormat="false" ht="12.8" hidden="false" customHeight="false" outlineLevel="0" collapsed="false">
      <c r="A1201" t="inlineStr">
        <is>
          <t xml:space="preserve">TELUGU_0C14</t>
        </is>
      </c>
      <c r="B1201" t="inlineStr">
        <is>
          <t xml:space="preserve">0C14</t>
        </is>
      </c>
    </row>
    <row r="1202" customFormat="false" ht="12.8" hidden="false" customHeight="false" outlineLevel="0" collapsed="false">
      <c r="A1202" t="inlineStr">
        <is>
          <t xml:space="preserve">TELUGU_0C08</t>
        </is>
      </c>
      <c r="B1202" t="inlineStr">
        <is>
          <t xml:space="preserve">0C08</t>
        </is>
      </c>
    </row>
    <row r="1203" customFormat="false" ht="12.8" hidden="false" customHeight="false" outlineLevel="0" collapsed="false">
      <c r="A1203" t="inlineStr">
        <is>
          <t xml:space="preserve">TELUGU_0C0F</t>
        </is>
      </c>
      <c r="B1203" t="inlineStr">
        <is>
          <t xml:space="preserve">0C0F</t>
        </is>
      </c>
    </row>
    <row r="1204" customFormat="false" ht="12.8" hidden="false" customHeight="false" outlineLevel="0" collapsed="false">
      <c r="A1204" t="inlineStr">
        <is>
          <t xml:space="preserve">TELUGU_0C0A</t>
        </is>
      </c>
      <c r="B1204" t="inlineStr">
        <is>
          <t xml:space="preserve">0C0A</t>
        </is>
      </c>
    </row>
    <row r="1205" customFormat="false" ht="12.8" hidden="false" customHeight="false" outlineLevel="0" collapsed="false">
      <c r="A1205" t="inlineStr">
        <is>
          <t xml:space="preserve">TELUGU_0C39</t>
        </is>
      </c>
      <c r="B1205" t="inlineStr">
        <is>
          <t xml:space="preserve">0C39</t>
        </is>
      </c>
    </row>
    <row r="1206" customFormat="false" ht="12.8" hidden="false" customHeight="false" outlineLevel="0" collapsed="false">
      <c r="A1206" t="inlineStr">
        <is>
          <t xml:space="preserve">TELUGU_0C19</t>
        </is>
      </c>
      <c r="B1206" t="inlineStr">
        <is>
          <t xml:space="preserve">0C19</t>
        </is>
      </c>
    </row>
    <row r="1207" customFormat="false" ht="12.8" hidden="false" customHeight="false" outlineLevel="0" collapsed="false">
      <c r="A1207" t="inlineStr">
        <is>
          <t xml:space="preserve">TELUGU_0C28</t>
        </is>
      </c>
      <c r="B1207" t="inlineStr">
        <is>
          <t xml:space="preserve">0C28</t>
        </is>
      </c>
    </row>
    <row r="1208" customFormat="false" ht="12.8" hidden="false" customHeight="false" outlineLevel="0" collapsed="false">
      <c r="A1208" t="inlineStr">
        <is>
          <t xml:space="preserve">TELUGU_0C10</t>
        </is>
      </c>
      <c r="B1208" t="inlineStr">
        <is>
          <t xml:space="preserve">0C10</t>
        </is>
      </c>
    </row>
    <row r="1209" customFormat="false" ht="12.8" hidden="false" customHeight="false" outlineLevel="0" collapsed="false">
      <c r="A1209" t="inlineStr">
        <is>
          <t xml:space="preserve">TELUGU_0C2C</t>
        </is>
      </c>
      <c r="B1209" t="inlineStr">
        <is>
          <t xml:space="preserve">0C2C</t>
        </is>
      </c>
    </row>
    <row r="1210" customFormat="false" ht="12.8" hidden="false" customHeight="false" outlineLevel="0" collapsed="false">
      <c r="A1210" t="inlineStr">
        <is>
          <t xml:space="preserve">TELUGU_0C2D</t>
        </is>
      </c>
      <c r="B1210" t="inlineStr">
        <is>
          <t xml:space="preserve">0C2D</t>
        </is>
      </c>
    </row>
    <row r="1211" customFormat="false" ht="12.8" hidden="false" customHeight="false" outlineLevel="0" collapsed="false">
      <c r="A1211" t="inlineStr">
        <is>
          <t xml:space="preserve">TELUGU_0C0E</t>
        </is>
      </c>
      <c r="B1211" t="inlineStr">
        <is>
          <t xml:space="preserve">0C0E</t>
        </is>
      </c>
    </row>
    <row r="1212" customFormat="false" ht="12.8" hidden="false" customHeight="false" outlineLevel="0" collapsed="false">
      <c r="A1212" t="inlineStr">
        <is>
          <t xml:space="preserve">TELUGU_0C67</t>
        </is>
      </c>
      <c r="B1212" t="inlineStr">
        <is>
          <t xml:space="preserve">0C67</t>
        </is>
      </c>
    </row>
    <row r="1213" customFormat="false" ht="12.8" hidden="false" customHeight="false" outlineLevel="0" collapsed="false">
      <c r="A1213" t="inlineStr">
        <is>
          <t xml:space="preserve">TELUGU_0C68</t>
        </is>
      </c>
      <c r="B1213" t="inlineStr">
        <is>
          <t xml:space="preserve">0C68</t>
        </is>
      </c>
    </row>
    <row r="1214" customFormat="false" ht="12.8" hidden="false" customHeight="false" outlineLevel="0" collapsed="false">
      <c r="A1214" t="inlineStr">
        <is>
          <t xml:space="preserve">TELUGU_0C69</t>
        </is>
      </c>
      <c r="B1214" t="inlineStr">
        <is>
          <t xml:space="preserve">0C69</t>
        </is>
      </c>
    </row>
    <row r="1215" customFormat="false" ht="12.8" hidden="false" customHeight="false" outlineLevel="0" collapsed="false">
      <c r="A1215" t="inlineStr">
        <is>
          <t xml:space="preserve">TELUGU_0C6A</t>
        </is>
      </c>
      <c r="B1215" t="inlineStr">
        <is>
          <t xml:space="preserve">0C6A</t>
        </is>
      </c>
    </row>
    <row r="1216" customFormat="false" ht="12.8" hidden="false" customHeight="false" outlineLevel="0" collapsed="false">
      <c r="A1216" t="inlineStr">
        <is>
          <t xml:space="preserve">TELUGU_0C6B</t>
        </is>
      </c>
      <c r="B1216" t="inlineStr">
        <is>
          <t xml:space="preserve">0C6B</t>
        </is>
      </c>
    </row>
    <row r="1217" customFormat="false" ht="12.8" hidden="false" customHeight="false" outlineLevel="0" collapsed="false">
      <c r="A1217" t="inlineStr">
        <is>
          <t xml:space="preserve">TELUGU_0C6C</t>
        </is>
      </c>
      <c r="B1217" t="inlineStr">
        <is>
          <t xml:space="preserve">0C6C</t>
        </is>
      </c>
    </row>
    <row r="1218" customFormat="false" ht="12.8" hidden="false" customHeight="false" outlineLevel="0" collapsed="false">
      <c r="A1218" t="inlineStr">
        <is>
          <t xml:space="preserve">TELUGU_0C6D</t>
        </is>
      </c>
      <c r="B1218" t="inlineStr">
        <is>
          <t xml:space="preserve">0C6D</t>
        </is>
      </c>
    </row>
    <row r="1219" customFormat="false" ht="12.8" hidden="false" customHeight="false" outlineLevel="0" collapsed="false">
      <c r="A1219" t="inlineStr">
        <is>
          <t xml:space="preserve">TELUGU_0C6E</t>
        </is>
      </c>
      <c r="B1219" t="inlineStr">
        <is>
          <t xml:space="preserve">0C6E</t>
        </is>
      </c>
    </row>
    <row r="1220" customFormat="false" ht="12.8" hidden="false" customHeight="false" outlineLevel="0" collapsed="false">
      <c r="A1220" t="inlineStr">
        <is>
          <t xml:space="preserve">TELUGU_0C6F</t>
        </is>
      </c>
      <c r="B1220" t="inlineStr">
        <is>
          <t xml:space="preserve">0C6F</t>
        </is>
      </c>
    </row>
    <row r="1221" customFormat="false" ht="12.8" hidden="false" customHeight="false" outlineLevel="0" collapsed="false">
      <c r="A1221" t="inlineStr">
        <is>
          <t xml:space="preserve">TELUGU_0C66</t>
        </is>
      </c>
      <c r="B1221" t="inlineStr">
        <is>
          <t xml:space="preserve">0C66</t>
        </is>
      </c>
    </row>
    <row r="1222" customFormat="false" ht="12.8" hidden="false" customHeight="false" outlineLevel="0" collapsed="false">
      <c r="A1222" t="inlineStr">
        <is>
          <t xml:space="preserve">TELUGU_0C0B</t>
        </is>
      </c>
      <c r="B1222" t="inlineStr">
        <is>
          <t xml:space="preserve">0C0B</t>
        </is>
      </c>
    </row>
    <row r="1223" customFormat="false" ht="12.8" hidden="false" customHeight="false" outlineLevel="0" collapsed="false">
      <c r="A1223" t="inlineStr">
        <is>
          <t xml:space="preserve">TELUGU_0C21</t>
        </is>
      </c>
      <c r="B1223" t="inlineStr">
        <is>
          <t xml:space="preserve">0C21</t>
        </is>
      </c>
    </row>
    <row r="1224" customFormat="false" ht="12.8" hidden="false" customHeight="false" outlineLevel="0" collapsed="false">
      <c r="A1224" t="inlineStr">
        <is>
          <t xml:space="preserve">TELUGU_0C22</t>
        </is>
      </c>
      <c r="B1224" t="inlineStr">
        <is>
          <t xml:space="preserve">0C22</t>
        </is>
      </c>
    </row>
    <row r="1225" customFormat="false" ht="12.8" hidden="false" customHeight="false" outlineLevel="0" collapsed="false">
      <c r="A1225" t="inlineStr">
        <is>
          <t xml:space="preserve">TELUGU_0C1E</t>
        </is>
      </c>
      <c r="B1225" t="inlineStr">
        <is>
          <t xml:space="preserve">0C1E</t>
        </is>
      </c>
    </row>
    <row r="1226" customFormat="false" ht="12.8" hidden="false" customHeight="false" outlineLevel="0" collapsed="false">
      <c r="A1226" t="inlineStr">
        <is>
          <t xml:space="preserve">TELUGU_0C1A</t>
        </is>
      </c>
      <c r="B1226" t="inlineStr">
        <is>
          <t xml:space="preserve">0C1A</t>
        </is>
      </c>
    </row>
    <row r="1227" customFormat="false" ht="12.8" hidden="false" customHeight="false" outlineLevel="0" collapsed="false">
      <c r="A1227" t="inlineStr">
        <is>
          <t xml:space="preserve">TELUGU_0C1B</t>
        </is>
      </c>
      <c r="B1227" t="inlineStr">
        <is>
          <t xml:space="preserve">0C1B</t>
        </is>
      </c>
    </row>
    <row r="1228" customFormat="false" ht="12.8" hidden="false" customHeight="false" outlineLevel="0" collapsed="false">
      <c r="A1228" t="inlineStr">
        <is>
          <t xml:space="preserve">TELUGU_0C1F</t>
        </is>
      </c>
      <c r="B1228" t="inlineStr">
        <is>
          <t xml:space="preserve">0C1F</t>
        </is>
      </c>
    </row>
    <row r="1229" customFormat="false" ht="12.8" hidden="false" customHeight="false" outlineLevel="0" collapsed="false">
      <c r="A1229" t="inlineStr">
        <is>
          <t xml:space="preserve">TELUGU_0C20</t>
        </is>
      </c>
      <c r="B1229" t="inlineStr">
        <is>
          <t xml:space="preserve">0C20</t>
        </is>
      </c>
    </row>
    <row r="1230" customFormat="false" ht="12.8" hidden="false" customHeight="false" outlineLevel="0" collapsed="false">
      <c r="A1230" t="inlineStr">
        <is>
          <t xml:space="preserve">TELUGU_0C12</t>
        </is>
      </c>
      <c r="B1230" t="inlineStr">
        <is>
          <t xml:space="preserve">0C12</t>
        </is>
      </c>
    </row>
    <row r="1231" customFormat="false" ht="12.8" hidden="false" customHeight="false" outlineLevel="0" collapsed="false">
      <c r="A1231" t="inlineStr">
        <is>
          <t xml:space="preserve">TELUGU_0C37</t>
        </is>
      </c>
      <c r="B1231" t="inlineStr">
        <is>
          <t xml:space="preserve">0C37</t>
        </is>
      </c>
    </row>
    <row r="1232" customFormat="false" ht="12.8" hidden="false" customHeight="false" outlineLevel="0" collapsed="false">
      <c r="A1232" t="inlineStr">
        <is>
          <t xml:space="preserve">TELUGU_0C2F</t>
        </is>
      </c>
      <c r="B1232" t="inlineStr">
        <is>
          <t xml:space="preserve">0C2F</t>
        </is>
      </c>
    </row>
    <row r="1233" customFormat="false" ht="12.8" hidden="false" customHeight="false" outlineLevel="0" collapsed="false">
      <c r="A1233" t="inlineStr">
        <is>
          <t xml:space="preserve">TELU_DC_0C01</t>
        </is>
      </c>
      <c r="B1233" t="inlineStr">
        <is>
          <t xml:space="preserve">E140</t>
        </is>
      </c>
    </row>
    <row r="1234" customFormat="false" ht="12.8" hidden="false" customHeight="false" outlineLevel="0" collapsed="false">
      <c r="A1234" t="inlineStr">
        <is>
          <t xml:space="preserve">TELU_DC_0C02</t>
        </is>
      </c>
      <c r="B1234" t="inlineStr">
        <is>
          <t xml:space="preserve">E141</t>
        </is>
      </c>
    </row>
    <row r="1235" customFormat="false" ht="12.8" hidden="false" customHeight="false" outlineLevel="0" collapsed="false">
      <c r="A1235" t="inlineStr">
        <is>
          <t xml:space="preserve">TELU_DC_0C03</t>
        </is>
      </c>
      <c r="B1235" t="inlineStr">
        <is>
          <t xml:space="preserve">E142</t>
        </is>
      </c>
    </row>
    <row r="1236" customFormat="false" ht="12.8" hidden="false" customHeight="false" outlineLevel="0" collapsed="false">
      <c r="A1236" t="inlineStr">
        <is>
          <t xml:space="preserve">TELU_DC_0C3C</t>
        </is>
      </c>
      <c r="B1236" t="inlineStr">
        <is>
          <t xml:space="preserve">E143</t>
        </is>
      </c>
    </row>
    <row r="1237" customFormat="false" ht="12.8" hidden="false" customHeight="false" outlineLevel="0" collapsed="false">
      <c r="A1237" t="inlineStr">
        <is>
          <t xml:space="preserve">TELU_DC_0C3E</t>
        </is>
      </c>
      <c r="B1237" t="inlineStr">
        <is>
          <t xml:space="preserve">E144</t>
        </is>
      </c>
    </row>
    <row r="1238" customFormat="false" ht="12.8" hidden="false" customHeight="false" outlineLevel="0" collapsed="false">
      <c r="A1238" t="inlineStr">
        <is>
          <t xml:space="preserve">TELU_DC_0C3F</t>
        </is>
      </c>
      <c r="B1238" t="inlineStr">
        <is>
          <t xml:space="preserve">E145</t>
        </is>
      </c>
    </row>
    <row r="1239" customFormat="false" ht="12.8" hidden="false" customHeight="false" outlineLevel="0" collapsed="false">
      <c r="A1239" t="inlineStr">
        <is>
          <t xml:space="preserve">TELU_DC_0C40</t>
        </is>
      </c>
      <c r="B1239" t="inlineStr">
        <is>
          <t xml:space="preserve">E146</t>
        </is>
      </c>
    </row>
    <row r="1240" customFormat="false" ht="12.8" hidden="false" customHeight="false" outlineLevel="0" collapsed="false">
      <c r="A1240" t="inlineStr">
        <is>
          <t xml:space="preserve">TELU_DC_0C41</t>
        </is>
      </c>
      <c r="B1240" t="inlineStr">
        <is>
          <t xml:space="preserve">E147</t>
        </is>
      </c>
    </row>
    <row r="1241" customFormat="false" ht="12.8" hidden="false" customHeight="false" outlineLevel="0" collapsed="false">
      <c r="A1241" t="inlineStr">
        <is>
          <t xml:space="preserve">TELU_DC_0C42</t>
        </is>
      </c>
      <c r="B1241" t="inlineStr">
        <is>
          <t xml:space="preserve">E148</t>
        </is>
      </c>
    </row>
    <row r="1242" customFormat="false" ht="12.8" hidden="false" customHeight="false" outlineLevel="0" collapsed="false">
      <c r="A1242" t="inlineStr">
        <is>
          <t xml:space="preserve">TELU_DC_0C43</t>
        </is>
      </c>
      <c r="B1242" t="inlineStr">
        <is>
          <t xml:space="preserve">E149</t>
        </is>
      </c>
    </row>
    <row r="1243" customFormat="false" ht="12.8" hidden="false" customHeight="false" outlineLevel="0" collapsed="false">
      <c r="A1243" t="inlineStr">
        <is>
          <t xml:space="preserve">TELU_DC_0C46</t>
        </is>
      </c>
      <c r="B1243" t="inlineStr">
        <is>
          <t xml:space="preserve">E14A</t>
        </is>
      </c>
    </row>
    <row r="1244" customFormat="false" ht="12.8" hidden="false" customHeight="false" outlineLevel="0" collapsed="false">
      <c r="A1244" t="inlineStr">
        <is>
          <t xml:space="preserve">TELU_DC_0C47</t>
        </is>
      </c>
      <c r="B1244" t="inlineStr">
        <is>
          <t xml:space="preserve">E14B</t>
        </is>
      </c>
    </row>
    <row r="1245" customFormat="false" ht="12.8" hidden="false" customHeight="false" outlineLevel="0" collapsed="false">
      <c r="A1245" t="inlineStr">
        <is>
          <t xml:space="preserve">TELU_DC_0C48</t>
        </is>
      </c>
      <c r="B1245" t="inlineStr">
        <is>
          <t xml:space="preserve">E14C</t>
        </is>
      </c>
    </row>
    <row r="1246" customFormat="false" ht="12.8" hidden="false" customHeight="false" outlineLevel="0" collapsed="false">
      <c r="A1246" t="inlineStr">
        <is>
          <t xml:space="preserve">TELU_DC_0C4A</t>
        </is>
      </c>
      <c r="B1246" t="inlineStr">
        <is>
          <t xml:space="preserve">E14D</t>
        </is>
      </c>
    </row>
    <row r="1247" customFormat="false" ht="12.8" hidden="false" customHeight="false" outlineLevel="0" collapsed="false">
      <c r="A1247" t="inlineStr">
        <is>
          <t xml:space="preserve">TELU_DC_0C4B</t>
        </is>
      </c>
      <c r="B1247" t="inlineStr">
        <is>
          <t xml:space="preserve">E14E</t>
        </is>
      </c>
    </row>
    <row r="1248" customFormat="false" ht="12.8" hidden="false" customHeight="false" outlineLevel="0" collapsed="false">
      <c r="A1248" t="inlineStr">
        <is>
          <t xml:space="preserve">TELU_DC_0C4C</t>
        </is>
      </c>
      <c r="B1248" t="inlineStr">
        <is>
          <t xml:space="preserve">E14F</t>
        </is>
      </c>
    </row>
    <row r="1249" customFormat="false" ht="12.8" hidden="false" customHeight="false" outlineLevel="0" collapsed="false">
      <c r="A1249" t="inlineStr">
        <is>
          <t xml:space="preserve">TELU_DC_0C4D</t>
        </is>
      </c>
      <c r="B1249" t="inlineStr">
        <is>
          <t xml:space="preserve">E150</t>
        </is>
      </c>
    </row>
    <row r="1250" customFormat="false" ht="12.8" hidden="false" customHeight="false" outlineLevel="0" collapsed="false">
      <c r="A1250" t="inlineStr">
        <is>
          <t xml:space="preserve">TAMIL_0B93</t>
        </is>
      </c>
      <c r="B1250" t="inlineStr">
        <is>
          <t xml:space="preserve">0B93</t>
        </is>
      </c>
    </row>
    <row r="1251" customFormat="false" ht="12.8" hidden="false" customHeight="false" outlineLevel="0" collapsed="false">
      <c r="A1251" t="inlineStr">
        <is>
          <t xml:space="preserve">TAMIL_0BB5</t>
        </is>
      </c>
      <c r="B1251" t="inlineStr">
        <is>
          <t xml:space="preserve">0BB5</t>
        </is>
      </c>
    </row>
    <row r="1252" customFormat="false" ht="12.8" hidden="false" customHeight="false" outlineLevel="0" collapsed="false">
      <c r="A1252" t="inlineStr">
        <is>
          <t xml:space="preserve">TAMIL_0BB4</t>
        </is>
      </c>
      <c r="B1252" t="inlineStr">
        <is>
          <t xml:space="preserve">0BB4</t>
        </is>
      </c>
    </row>
    <row r="1253" customFormat="false" ht="12.8" hidden="false" customHeight="false" outlineLevel="0" collapsed="false">
      <c r="A1253" t="inlineStr">
        <is>
          <t xml:space="preserve">TAMIL_0BAE</t>
        </is>
      </c>
      <c r="B1253" t="inlineStr">
        <is>
          <t xml:space="preserve">0BAE</t>
        </is>
      </c>
    </row>
    <row r="1254" customFormat="false" ht="12.8" hidden="false" customHeight="false" outlineLevel="0" collapsed="false">
      <c r="A1254" t="inlineStr">
        <is>
          <t xml:space="preserve">TAMIL_0BA3</t>
        </is>
      </c>
      <c r="B1254" t="inlineStr">
        <is>
          <t xml:space="preserve">0BA3</t>
        </is>
      </c>
    </row>
    <row r="1255" customFormat="false" ht="12.8" hidden="false" customHeight="false" outlineLevel="0" collapsed="false">
      <c r="A1255" t="inlineStr">
        <is>
          <t xml:space="preserve">TAMIL_0B85</t>
        </is>
      </c>
      <c r="B1255" t="inlineStr">
        <is>
          <t xml:space="preserve">0B85</t>
        </is>
      </c>
    </row>
    <row r="1256" customFormat="false" ht="12.8" hidden="false" customHeight="false" outlineLevel="0" collapsed="false">
      <c r="A1256" t="inlineStr">
        <is>
          <t xml:space="preserve">TAMIL_0B86</t>
        </is>
      </c>
      <c r="B1256" t="inlineStr">
        <is>
          <t xml:space="preserve">0B86</t>
        </is>
      </c>
    </row>
    <row r="1257" customFormat="false" ht="12.8" hidden="false" customHeight="false" outlineLevel="0" collapsed="false">
      <c r="A1257" t="inlineStr">
        <is>
          <t xml:space="preserve">TAMIL_0B87</t>
        </is>
      </c>
      <c r="B1257" t="inlineStr">
        <is>
          <t xml:space="preserve">0B87</t>
        </is>
      </c>
    </row>
    <row r="1258" customFormat="false" ht="12.8" hidden="false" customHeight="false" outlineLevel="0" collapsed="false">
      <c r="A1258" t="inlineStr">
        <is>
          <t xml:space="preserve">TAMIL_0B89</t>
        </is>
      </c>
      <c r="B1258" t="inlineStr">
        <is>
          <t xml:space="preserve">0B89</t>
        </is>
      </c>
    </row>
    <row r="1259" customFormat="false" ht="12.8" hidden="false" customHeight="false" outlineLevel="0" collapsed="false">
      <c r="A1259" t="inlineStr">
        <is>
          <t xml:space="preserve">TAMIL_0BAA</t>
        </is>
      </c>
      <c r="B1259" t="inlineStr">
        <is>
          <t xml:space="preserve">0BAA</t>
        </is>
      </c>
    </row>
    <row r="1260" customFormat="false" ht="12.8" hidden="false" customHeight="false" outlineLevel="0" collapsed="false">
      <c r="A1260" t="inlineStr">
        <is>
          <t xml:space="preserve">TAMIL_0BB0</t>
        </is>
      </c>
      <c r="B1260" t="inlineStr">
        <is>
          <t xml:space="preserve">0BB0</t>
        </is>
      </c>
    </row>
    <row r="1261" customFormat="false" ht="12.8" hidden="false" customHeight="false" outlineLevel="0" collapsed="false">
      <c r="A1261" t="inlineStr">
        <is>
          <t xml:space="preserve">TAMIL_0BB1</t>
        </is>
      </c>
      <c r="B1261" t="inlineStr">
        <is>
          <t xml:space="preserve">0BB1</t>
        </is>
      </c>
    </row>
    <row r="1262" customFormat="false" ht="12.8" hidden="false" customHeight="false" outlineLevel="0" collapsed="false">
      <c r="A1262" t="inlineStr">
        <is>
          <t xml:space="preserve">TAMIL_0B95</t>
        </is>
      </c>
      <c r="B1262" t="inlineStr">
        <is>
          <t xml:space="preserve">0B95</t>
        </is>
      </c>
    </row>
    <row r="1263" customFormat="false" ht="12.8" hidden="false" customHeight="false" outlineLevel="0" collapsed="false">
      <c r="A1263" t="inlineStr">
        <is>
          <t xml:space="preserve">TAMIL_0BA4</t>
        </is>
      </c>
      <c r="B1263" t="inlineStr">
        <is>
          <t xml:space="preserve">0BA4</t>
        </is>
      </c>
    </row>
    <row r="1264" customFormat="false" ht="12.8" hidden="false" customHeight="false" outlineLevel="0" collapsed="false">
      <c r="A1264" t="inlineStr">
        <is>
          <t xml:space="preserve">TAMIL_0BB8</t>
        </is>
      </c>
      <c r="B1264" t="inlineStr">
        <is>
          <t xml:space="preserve">0BB8</t>
        </is>
      </c>
    </row>
    <row r="1265" customFormat="false" ht="12.8" hidden="false" customHeight="false" outlineLevel="0" collapsed="false">
      <c r="A1265" t="inlineStr">
        <is>
          <t xml:space="preserve">TAMIL_0BB6</t>
        </is>
      </c>
      <c r="B1265" t="inlineStr">
        <is>
          <t xml:space="preserve">0BB6</t>
        </is>
      </c>
    </row>
    <row r="1266" customFormat="false" ht="12.8" hidden="false" customHeight="false" outlineLevel="0" collapsed="false">
      <c r="A1266" t="inlineStr">
        <is>
          <t xml:space="preserve">TAMIL_0BB2</t>
        </is>
      </c>
      <c r="B1266" t="inlineStr">
        <is>
          <t xml:space="preserve">0BB2</t>
        </is>
      </c>
    </row>
    <row r="1267" customFormat="false" ht="12.8" hidden="false" customHeight="false" outlineLevel="0" collapsed="false">
      <c r="A1267" t="inlineStr">
        <is>
          <t xml:space="preserve">TAMIL_0BB3</t>
        </is>
      </c>
      <c r="B1267" t="inlineStr">
        <is>
          <t xml:space="preserve">0BB3</t>
        </is>
      </c>
    </row>
    <row r="1268" customFormat="false" ht="12.8" hidden="false" customHeight="false" outlineLevel="0" collapsed="false">
      <c r="A1268" t="inlineStr">
        <is>
          <t xml:space="preserve">TAMIL_0B9C</t>
        </is>
      </c>
      <c r="B1268" t="inlineStr">
        <is>
          <t xml:space="preserve">0B9C</t>
        </is>
      </c>
    </row>
    <row r="1269" customFormat="false" ht="12.8" hidden="false" customHeight="false" outlineLevel="0" collapsed="false">
      <c r="A1269" t="inlineStr">
        <is>
          <t xml:space="preserve">TAMIL_0B94</t>
        </is>
      </c>
      <c r="B1269" t="inlineStr">
        <is>
          <t xml:space="preserve">0B94</t>
        </is>
      </c>
    </row>
    <row r="1270" customFormat="false" ht="12.8" hidden="false" customHeight="false" outlineLevel="0" collapsed="false">
      <c r="A1270" t="inlineStr">
        <is>
          <t xml:space="preserve">TAMIL_0B88</t>
        </is>
      </c>
      <c r="B1270" t="inlineStr">
        <is>
          <t xml:space="preserve">0B88</t>
        </is>
      </c>
    </row>
    <row r="1271" customFormat="false" ht="12.8" hidden="false" customHeight="false" outlineLevel="0" collapsed="false">
      <c r="A1271" t="inlineStr">
        <is>
          <t xml:space="preserve">TAMIL_0B8F</t>
        </is>
      </c>
      <c r="B1271" t="inlineStr">
        <is>
          <t xml:space="preserve">0B8F</t>
        </is>
      </c>
    </row>
    <row r="1272" customFormat="false" ht="12.8" hidden="false" customHeight="false" outlineLevel="0" collapsed="false">
      <c r="A1272" t="inlineStr">
        <is>
          <t xml:space="preserve">TAMIL_0B8A</t>
        </is>
      </c>
      <c r="B1272" t="inlineStr">
        <is>
          <t xml:space="preserve">0B8A</t>
        </is>
      </c>
    </row>
    <row r="1273" customFormat="false" ht="12.8" hidden="false" customHeight="false" outlineLevel="0" collapsed="false">
      <c r="A1273" t="inlineStr">
        <is>
          <t xml:space="preserve">TAMIL_0BB9</t>
        </is>
      </c>
      <c r="B1273" t="inlineStr">
        <is>
          <t xml:space="preserve">0BB9</t>
        </is>
      </c>
    </row>
    <row r="1274" customFormat="false" ht="12.8" hidden="false" customHeight="false" outlineLevel="0" collapsed="false">
      <c r="A1274" t="inlineStr">
        <is>
          <t xml:space="preserve">TAMIL_0B99</t>
        </is>
      </c>
      <c r="B1274" t="inlineStr">
        <is>
          <t xml:space="preserve">0B99</t>
        </is>
      </c>
    </row>
    <row r="1275" customFormat="false" ht="12.8" hidden="false" customHeight="false" outlineLevel="0" collapsed="false">
      <c r="A1275" t="inlineStr">
        <is>
          <t xml:space="preserve">TAMIL_0BA8</t>
        </is>
      </c>
      <c r="B1275" t="inlineStr">
        <is>
          <t xml:space="preserve">0BA8</t>
        </is>
      </c>
    </row>
    <row r="1276" customFormat="false" ht="12.8" hidden="false" customHeight="false" outlineLevel="0" collapsed="false">
      <c r="A1276" t="inlineStr">
        <is>
          <t xml:space="preserve">TAMIL_0BA9</t>
        </is>
      </c>
      <c r="B1276" t="inlineStr">
        <is>
          <t xml:space="preserve">0BA9</t>
        </is>
      </c>
    </row>
    <row r="1277" customFormat="false" ht="12.8" hidden="false" customHeight="false" outlineLevel="0" collapsed="false">
      <c r="A1277" t="inlineStr">
        <is>
          <t xml:space="preserve">TAMIL_0B90</t>
        </is>
      </c>
      <c r="B1277" t="inlineStr">
        <is>
          <t xml:space="preserve">0B90</t>
        </is>
      </c>
    </row>
    <row r="1278" customFormat="false" ht="12.8" hidden="false" customHeight="false" outlineLevel="0" collapsed="false">
      <c r="A1278" t="inlineStr">
        <is>
          <t xml:space="preserve">TAMIL_0B8E</t>
        </is>
      </c>
      <c r="B1278" t="inlineStr">
        <is>
          <t xml:space="preserve">0B8E</t>
        </is>
      </c>
    </row>
    <row r="1279" customFormat="false" ht="12.8" hidden="false" customHeight="false" outlineLevel="0" collapsed="false">
      <c r="A1279" t="inlineStr">
        <is>
          <t xml:space="preserve">TAMIL_0BE7</t>
        </is>
      </c>
      <c r="B1279" t="inlineStr">
        <is>
          <t xml:space="preserve">0BE7</t>
        </is>
      </c>
    </row>
    <row r="1280" customFormat="false" ht="12.8" hidden="false" customHeight="false" outlineLevel="0" collapsed="false">
      <c r="A1280" t="inlineStr">
        <is>
          <t xml:space="preserve">TAMIL_0BE8</t>
        </is>
      </c>
      <c r="B1280" t="inlineStr">
        <is>
          <t xml:space="preserve">0BE8</t>
        </is>
      </c>
    </row>
    <row r="1281" customFormat="false" ht="12.8" hidden="false" customHeight="false" outlineLevel="0" collapsed="false">
      <c r="A1281" t="inlineStr">
        <is>
          <t xml:space="preserve">TAMIL_0BE9</t>
        </is>
      </c>
      <c r="B1281" t="inlineStr">
        <is>
          <t xml:space="preserve">0BE9</t>
        </is>
      </c>
    </row>
    <row r="1282" customFormat="false" ht="12.8" hidden="false" customHeight="false" outlineLevel="0" collapsed="false">
      <c r="A1282" t="inlineStr">
        <is>
          <t xml:space="preserve">TAMIL_0BEA</t>
        </is>
      </c>
      <c r="B1282" t="inlineStr">
        <is>
          <t xml:space="preserve">0BEA</t>
        </is>
      </c>
    </row>
    <row r="1283" customFormat="false" ht="12.8" hidden="false" customHeight="false" outlineLevel="0" collapsed="false">
      <c r="A1283" t="inlineStr">
        <is>
          <t xml:space="preserve">TAMIL_0BEB</t>
        </is>
      </c>
      <c r="B1283" t="inlineStr">
        <is>
          <t xml:space="preserve">0BEB</t>
        </is>
      </c>
    </row>
    <row r="1284" customFormat="false" ht="12.8" hidden="false" customHeight="false" outlineLevel="0" collapsed="false">
      <c r="A1284" t="inlineStr">
        <is>
          <t xml:space="preserve">TAMIL_0BEC</t>
        </is>
      </c>
      <c r="B1284" t="inlineStr">
        <is>
          <t xml:space="preserve">0BEC</t>
        </is>
      </c>
    </row>
    <row r="1285" customFormat="false" ht="12.8" hidden="false" customHeight="false" outlineLevel="0" collapsed="false">
      <c r="A1285" t="inlineStr">
        <is>
          <t xml:space="preserve">TAMIL_0BED</t>
        </is>
      </c>
      <c r="B1285" t="inlineStr">
        <is>
          <t xml:space="preserve">0BED</t>
        </is>
      </c>
    </row>
    <row r="1286" customFormat="false" ht="12.8" hidden="false" customHeight="false" outlineLevel="0" collapsed="false">
      <c r="A1286" t="inlineStr">
        <is>
          <t xml:space="preserve">TAMIL_0BEE</t>
        </is>
      </c>
      <c r="B1286" t="inlineStr">
        <is>
          <t xml:space="preserve">0BEE</t>
        </is>
      </c>
    </row>
    <row r="1287" customFormat="false" ht="12.8" hidden="false" customHeight="false" outlineLevel="0" collapsed="false">
      <c r="A1287" t="inlineStr">
        <is>
          <t xml:space="preserve">TAMIL_0BEF</t>
        </is>
      </c>
      <c r="B1287" t="inlineStr">
        <is>
          <t xml:space="preserve">0BEF</t>
        </is>
      </c>
    </row>
    <row r="1288" customFormat="false" ht="12.8" hidden="false" customHeight="false" outlineLevel="0" collapsed="false">
      <c r="A1288" t="inlineStr">
        <is>
          <t xml:space="preserve">TAMIL_0BE6</t>
        </is>
      </c>
      <c r="B1288" t="inlineStr">
        <is>
          <t xml:space="preserve">0BE6</t>
        </is>
      </c>
    </row>
    <row r="1289" customFormat="false" ht="12.8" hidden="false" customHeight="false" outlineLevel="0" collapsed="false">
      <c r="A1289" t="inlineStr">
        <is>
          <t xml:space="preserve">TAMIL_0B9E</t>
        </is>
      </c>
      <c r="B1289" t="inlineStr">
        <is>
          <t xml:space="preserve">0B9E</t>
        </is>
      </c>
    </row>
    <row r="1290" customFormat="false" ht="12.8" hidden="false" customHeight="false" outlineLevel="0" collapsed="false">
      <c r="A1290" t="inlineStr">
        <is>
          <t xml:space="preserve">TAMIL_0B9A</t>
        </is>
      </c>
      <c r="B1290" t="inlineStr">
        <is>
          <t xml:space="preserve">0B9A</t>
        </is>
      </c>
    </row>
    <row r="1291" customFormat="false" ht="12.8" hidden="false" customHeight="false" outlineLevel="0" collapsed="false">
      <c r="A1291" t="inlineStr">
        <is>
          <t xml:space="preserve">TAMIL_0B9F</t>
        </is>
      </c>
      <c r="B1291" t="inlineStr">
        <is>
          <t xml:space="preserve">0B9F</t>
        </is>
      </c>
    </row>
    <row r="1292" customFormat="false" ht="12.8" hidden="false" customHeight="false" outlineLevel="0" collapsed="false">
      <c r="A1292" t="inlineStr">
        <is>
          <t xml:space="preserve">TAMIL_0B92</t>
        </is>
      </c>
      <c r="B1292" t="inlineStr">
        <is>
          <t xml:space="preserve">0B92</t>
        </is>
      </c>
    </row>
    <row r="1293" customFormat="false" ht="12.8" hidden="false" customHeight="false" outlineLevel="0" collapsed="false">
      <c r="A1293" t="inlineStr">
        <is>
          <t xml:space="preserve">TAMIL_0BB7</t>
        </is>
      </c>
      <c r="B1293" t="inlineStr">
        <is>
          <t xml:space="preserve">0BB7</t>
        </is>
      </c>
    </row>
    <row r="1294" customFormat="false" ht="12.8" hidden="false" customHeight="false" outlineLevel="0" collapsed="false">
      <c r="A1294" t="inlineStr">
        <is>
          <t xml:space="preserve">TAMIL_0BAF</t>
        </is>
      </c>
      <c r="B1294" t="inlineStr">
        <is>
          <t xml:space="preserve">0BAF</t>
        </is>
      </c>
    </row>
    <row r="1295" customFormat="false" ht="12.8" hidden="false" customHeight="false" outlineLevel="0" collapsed="false">
      <c r="A1295" t="inlineStr">
        <is>
          <t xml:space="preserve">TAML_DC_0B82</t>
        </is>
      </c>
      <c r="B1295" t="inlineStr">
        <is>
          <t xml:space="preserve">E160</t>
        </is>
      </c>
    </row>
    <row r="1296" customFormat="false" ht="12.8" hidden="false" customHeight="false" outlineLevel="0" collapsed="false">
      <c r="A1296" t="inlineStr">
        <is>
          <t xml:space="preserve">TAML_DC_0B83</t>
        </is>
      </c>
      <c r="B1296" t="inlineStr">
        <is>
          <t xml:space="preserve">E161</t>
        </is>
      </c>
    </row>
    <row r="1297" customFormat="false" ht="12.8" hidden="false" customHeight="false" outlineLevel="0" collapsed="false">
      <c r="A1297" t="inlineStr">
        <is>
          <t xml:space="preserve">TAML_DC_0BBE</t>
        </is>
      </c>
      <c r="B1297" t="inlineStr">
        <is>
          <t xml:space="preserve">E162</t>
        </is>
      </c>
    </row>
    <row r="1298" customFormat="false" ht="12.8" hidden="false" customHeight="false" outlineLevel="0" collapsed="false">
      <c r="A1298" t="inlineStr">
        <is>
          <t xml:space="preserve">TAML_DC_0BBF</t>
        </is>
      </c>
      <c r="B1298" t="inlineStr">
        <is>
          <t xml:space="preserve">E163</t>
        </is>
      </c>
    </row>
    <row r="1299" customFormat="false" ht="12.8" hidden="false" customHeight="false" outlineLevel="0" collapsed="false">
      <c r="A1299" t="inlineStr">
        <is>
          <t xml:space="preserve">TAML_DC_0BC0</t>
        </is>
      </c>
      <c r="B1299" t="inlineStr">
        <is>
          <t xml:space="preserve">E164</t>
        </is>
      </c>
    </row>
    <row r="1300" customFormat="false" ht="12.8" hidden="false" customHeight="false" outlineLevel="0" collapsed="false">
      <c r="A1300" t="inlineStr">
        <is>
          <t xml:space="preserve">TAML_DC_0BC1</t>
        </is>
      </c>
      <c r="B1300" t="inlineStr">
        <is>
          <t xml:space="preserve">E165</t>
        </is>
      </c>
    </row>
    <row r="1301" customFormat="false" ht="12.8" hidden="false" customHeight="false" outlineLevel="0" collapsed="false">
      <c r="A1301" t="inlineStr">
        <is>
          <t xml:space="preserve">TAML_DC_0BC2</t>
        </is>
      </c>
      <c r="B1301" t="inlineStr">
        <is>
          <t xml:space="preserve">E166</t>
        </is>
      </c>
    </row>
    <row r="1302" customFormat="false" ht="12.8" hidden="false" customHeight="false" outlineLevel="0" collapsed="false">
      <c r="A1302" t="inlineStr">
        <is>
          <t xml:space="preserve">TAML_DC_0BC6</t>
        </is>
      </c>
      <c r="B1302" t="inlineStr">
        <is>
          <t xml:space="preserve">E167</t>
        </is>
      </c>
    </row>
    <row r="1303" customFormat="false" ht="12.8" hidden="false" customHeight="false" outlineLevel="0" collapsed="false">
      <c r="A1303" t="inlineStr">
        <is>
          <t xml:space="preserve">TAML_DC_0BC7</t>
        </is>
      </c>
      <c r="B1303" t="inlineStr">
        <is>
          <t xml:space="preserve">E168</t>
        </is>
      </c>
    </row>
    <row r="1304" customFormat="false" ht="12.8" hidden="false" customHeight="false" outlineLevel="0" collapsed="false">
      <c r="A1304" t="inlineStr">
        <is>
          <t xml:space="preserve">TAML_DC_0BC8</t>
        </is>
      </c>
      <c r="B1304" t="inlineStr">
        <is>
          <t xml:space="preserve">E169</t>
        </is>
      </c>
    </row>
    <row r="1305" customFormat="false" ht="12.8" hidden="false" customHeight="false" outlineLevel="0" collapsed="false">
      <c r="A1305" t="inlineStr">
        <is>
          <t xml:space="preserve">TAML_DC_0BCA</t>
        </is>
      </c>
      <c r="B1305" t="inlineStr">
        <is>
          <t xml:space="preserve">E16A</t>
        </is>
      </c>
    </row>
    <row r="1306" customFormat="false" ht="12.8" hidden="false" customHeight="false" outlineLevel="0" collapsed="false">
      <c r="A1306" t="inlineStr">
        <is>
          <t xml:space="preserve">TAML_DC_0BCB</t>
        </is>
      </c>
      <c r="B1306" t="inlineStr">
        <is>
          <t xml:space="preserve">E16B</t>
        </is>
      </c>
    </row>
    <row r="1307" customFormat="false" ht="12.8" hidden="false" customHeight="false" outlineLevel="0" collapsed="false">
      <c r="A1307" t="inlineStr">
        <is>
          <t xml:space="preserve">TAML_DC_0BCC</t>
        </is>
      </c>
      <c r="B1307" t="inlineStr">
        <is>
          <t xml:space="preserve">E16C</t>
        </is>
      </c>
    </row>
    <row r="1308" customFormat="false" ht="12.8" hidden="false" customHeight="false" outlineLevel="0" collapsed="false">
      <c r="A1308" t="inlineStr">
        <is>
          <t xml:space="preserve">TAML_DC_0BCD</t>
        </is>
      </c>
      <c r="B1308" t="inlineStr">
        <is>
          <t xml:space="preserve">E16D</t>
        </is>
      </c>
    </row>
    <row r="1309" customFormat="false" ht="12.8" hidden="false" customHeight="false" outlineLevel="0" collapsed="false">
      <c r="A1309" t="inlineStr">
        <is>
          <t xml:space="preserve">THAI_0E45</t>
        </is>
      </c>
      <c r="B1309" t="inlineStr">
        <is>
          <t xml:space="preserve">0E45</t>
        </is>
      </c>
    </row>
    <row r="1310" customFormat="false" ht="12.8" hidden="false" customHeight="false" outlineLevel="0" collapsed="false">
      <c r="A1310" t="inlineStr">
        <is>
          <t xml:space="preserve">THAI_0E51</t>
        </is>
      </c>
      <c r="B1310" t="inlineStr">
        <is>
          <t xml:space="preserve">0E51</t>
        </is>
      </c>
    </row>
    <row r="1311" customFormat="false" ht="12.8" hidden="false" customHeight="false" outlineLevel="0" collapsed="false">
      <c r="A1311" t="inlineStr">
        <is>
          <t xml:space="preserve">THAI_0E52</t>
        </is>
      </c>
      <c r="B1311" t="inlineStr">
        <is>
          <t xml:space="preserve">0E52</t>
        </is>
      </c>
    </row>
    <row r="1312" customFormat="false" ht="12.8" hidden="false" customHeight="false" outlineLevel="0" collapsed="false">
      <c r="A1312" t="inlineStr">
        <is>
          <t xml:space="preserve">THAI_0E20</t>
        </is>
      </c>
      <c r="B1312" t="inlineStr">
        <is>
          <t xml:space="preserve">0E20</t>
        </is>
      </c>
    </row>
    <row r="1313" customFormat="false" ht="12.8" hidden="false" customHeight="false" outlineLevel="0" collapsed="false">
      <c r="A1313" t="inlineStr">
        <is>
          <t xml:space="preserve">THAI_0E53</t>
        </is>
      </c>
      <c r="B1313" t="inlineStr">
        <is>
          <t xml:space="preserve">0E53</t>
        </is>
      </c>
    </row>
    <row r="1314" customFormat="false" ht="12.8" hidden="false" customHeight="false" outlineLevel="0" collapsed="false">
      <c r="A1314" t="inlineStr">
        <is>
          <t xml:space="preserve">THAI_0E16</t>
        </is>
      </c>
      <c r="B1314" t="inlineStr">
        <is>
          <t xml:space="preserve">0E16</t>
        </is>
      </c>
    </row>
    <row r="1315" customFormat="false" ht="12.8" hidden="false" customHeight="false" outlineLevel="0" collapsed="false">
      <c r="A1315" t="inlineStr">
        <is>
          <t xml:space="preserve">THAI_0E54</t>
        </is>
      </c>
      <c r="B1315" t="inlineStr">
        <is>
          <t xml:space="preserve">0E54</t>
        </is>
      </c>
    </row>
    <row r="1316" customFormat="false" ht="12.8" hidden="false" customHeight="false" outlineLevel="0" collapsed="false">
      <c r="A1316" t="inlineStr">
        <is>
          <t xml:space="preserve">THAI_0E3F</t>
        </is>
      </c>
      <c r="B1316" t="inlineStr">
        <is>
          <t xml:space="preserve">0E3F</t>
        </is>
      </c>
    </row>
    <row r="1317" customFormat="false" ht="12.8" hidden="false" customHeight="false" outlineLevel="0" collapsed="false">
      <c r="A1317" t="inlineStr">
        <is>
          <t xml:space="preserve">THAI_0E04</t>
        </is>
      </c>
      <c r="B1317" t="inlineStr">
        <is>
          <t xml:space="preserve">0E04</t>
        </is>
      </c>
    </row>
    <row r="1318" customFormat="false" ht="12.8" hidden="false" customHeight="false" outlineLevel="0" collapsed="false">
      <c r="A1318" t="inlineStr">
        <is>
          <t xml:space="preserve">THAI_0E55</t>
        </is>
      </c>
      <c r="B1318" t="inlineStr">
        <is>
          <t xml:space="preserve">0E55</t>
        </is>
      </c>
    </row>
    <row r="1319" customFormat="false" ht="12.8" hidden="false" customHeight="false" outlineLevel="0" collapsed="false">
      <c r="A1319" t="inlineStr">
        <is>
          <t xml:space="preserve">THAI_0E15</t>
        </is>
      </c>
      <c r="B1319" t="inlineStr">
        <is>
          <t xml:space="preserve">0E15</t>
        </is>
      </c>
    </row>
    <row r="1320" customFormat="false" ht="12.8" hidden="false" customHeight="false" outlineLevel="0" collapsed="false">
      <c r="A1320" t="inlineStr">
        <is>
          <t xml:space="preserve">THAI_0E56</t>
        </is>
      </c>
      <c r="B1320" t="inlineStr">
        <is>
          <t xml:space="preserve">0E56</t>
        </is>
      </c>
    </row>
    <row r="1321" customFormat="false" ht="12.8" hidden="false" customHeight="false" outlineLevel="0" collapsed="false">
      <c r="A1321" t="inlineStr">
        <is>
          <t xml:space="preserve">THAI_0E08</t>
        </is>
      </c>
      <c r="B1321" t="inlineStr">
        <is>
          <t xml:space="preserve">0E08</t>
        </is>
      </c>
    </row>
    <row r="1322" customFormat="false" ht="12.8" hidden="false" customHeight="false" outlineLevel="0" collapsed="false">
      <c r="A1322" t="inlineStr">
        <is>
          <t xml:space="preserve">THAI_0E57</t>
        </is>
      </c>
      <c r="B1322" t="inlineStr">
        <is>
          <t xml:space="preserve">0E57</t>
        </is>
      </c>
    </row>
    <row r="1323" customFormat="false" ht="12.8" hidden="false" customHeight="false" outlineLevel="0" collapsed="false">
      <c r="A1323" t="inlineStr">
        <is>
          <t xml:space="preserve">THAI_0E02</t>
        </is>
      </c>
      <c r="B1323" t="inlineStr">
        <is>
          <t xml:space="preserve">0E02</t>
        </is>
      </c>
    </row>
    <row r="1324" customFormat="false" ht="12.8" hidden="false" customHeight="false" outlineLevel="0" collapsed="false">
      <c r="A1324" t="inlineStr">
        <is>
          <t xml:space="preserve">THAI_0E58</t>
        </is>
      </c>
      <c r="B1324" t="inlineStr">
        <is>
          <t xml:space="preserve">0E58</t>
        </is>
      </c>
    </row>
    <row r="1325" customFormat="false" ht="12.8" hidden="false" customHeight="false" outlineLevel="0" collapsed="false">
      <c r="A1325" t="inlineStr">
        <is>
          <t xml:space="preserve">THAI_0E0A</t>
        </is>
      </c>
      <c r="B1325" t="inlineStr">
        <is>
          <t xml:space="preserve">0E0A</t>
        </is>
      </c>
    </row>
    <row r="1326" customFormat="false" ht="12.8" hidden="false" customHeight="false" outlineLevel="0" collapsed="false">
      <c r="A1326" t="inlineStr">
        <is>
          <t xml:space="preserve">THAI_0E59</t>
        </is>
      </c>
      <c r="B1326" t="inlineStr">
        <is>
          <t xml:space="preserve">0E59</t>
        </is>
      </c>
    </row>
    <row r="1327" customFormat="false" ht="12.8" hidden="false" customHeight="false" outlineLevel="0" collapsed="false">
      <c r="A1327" t="inlineStr">
        <is>
          <t xml:space="preserve">THAI_0E46</t>
        </is>
      </c>
      <c r="B1327" t="inlineStr">
        <is>
          <t xml:space="preserve">0E46</t>
        </is>
      </c>
    </row>
    <row r="1328" customFormat="false" ht="12.8" hidden="false" customHeight="false" outlineLevel="0" collapsed="false">
      <c r="A1328" t="inlineStr">
        <is>
          <t xml:space="preserve">THAI_0E50</t>
        </is>
      </c>
      <c r="B1328" t="inlineStr">
        <is>
          <t xml:space="preserve">0E50</t>
        </is>
      </c>
    </row>
    <row r="1329" customFormat="false" ht="12.8" hidden="false" customHeight="false" outlineLevel="0" collapsed="false">
      <c r="A1329" t="inlineStr">
        <is>
          <t xml:space="preserve">THAI_0E44</t>
        </is>
      </c>
      <c r="B1329" t="inlineStr">
        <is>
          <t xml:space="preserve">0E44</t>
        </is>
      </c>
    </row>
    <row r="1330" customFormat="false" ht="12.8" hidden="false" customHeight="false" outlineLevel="0" collapsed="false">
      <c r="A1330" t="inlineStr">
        <is>
          <t xml:space="preserve">THAI_0E33</t>
        </is>
      </c>
      <c r="B1330" t="inlineStr">
        <is>
          <t xml:space="preserve">0E33</t>
        </is>
      </c>
    </row>
    <row r="1331" customFormat="false" ht="12.8" hidden="false" customHeight="false" outlineLevel="0" collapsed="false">
      <c r="A1331" t="inlineStr">
        <is>
          <t xml:space="preserve">THAI_0E0E</t>
        </is>
      </c>
      <c r="B1331" t="inlineStr">
        <is>
          <t xml:space="preserve">0E0E</t>
        </is>
      </c>
    </row>
    <row r="1332" customFormat="false" ht="12.8" hidden="false" customHeight="false" outlineLevel="0" collapsed="false">
      <c r="A1332" t="inlineStr">
        <is>
          <t xml:space="preserve">THAI_0E1E</t>
        </is>
      </c>
      <c r="B1332" t="inlineStr">
        <is>
          <t xml:space="preserve">0E1E</t>
        </is>
      </c>
    </row>
    <row r="1333" customFormat="false" ht="12.8" hidden="false" customHeight="false" outlineLevel="0" collapsed="false">
      <c r="A1333" t="inlineStr">
        <is>
          <t xml:space="preserve">THAI_0E11</t>
        </is>
      </c>
      <c r="B1333" t="inlineStr">
        <is>
          <t xml:space="preserve">0E11</t>
        </is>
      </c>
    </row>
    <row r="1334" customFormat="false" ht="12.8" hidden="false" customHeight="false" outlineLevel="0" collapsed="false">
      <c r="A1334" t="inlineStr">
        <is>
          <t xml:space="preserve">THAI_0E30</t>
        </is>
      </c>
      <c r="B1334" t="inlineStr">
        <is>
          <t xml:space="preserve">0E30</t>
        </is>
      </c>
    </row>
    <row r="1335" customFormat="false" ht="12.8" hidden="false" customHeight="false" outlineLevel="0" collapsed="false">
      <c r="A1335" t="inlineStr">
        <is>
          <t xml:space="preserve">THAI_0E18</t>
        </is>
      </c>
      <c r="B1335" t="inlineStr">
        <is>
          <t xml:space="preserve">0E18</t>
        </is>
      </c>
    </row>
    <row r="1336" customFormat="false" ht="12.8" hidden="false" customHeight="false" outlineLevel="0" collapsed="false">
      <c r="A1336" t="inlineStr">
        <is>
          <t xml:space="preserve">THAI_0E23</t>
        </is>
      </c>
      <c r="B1336" t="inlineStr">
        <is>
          <t xml:space="preserve">0E23</t>
        </is>
      </c>
    </row>
    <row r="1337" customFormat="false" ht="12.8" hidden="false" customHeight="false" outlineLevel="0" collapsed="false">
      <c r="A1337" t="inlineStr">
        <is>
          <t xml:space="preserve">THAI_0E13</t>
        </is>
      </c>
      <c r="B1337" t="inlineStr">
        <is>
          <t xml:space="preserve">0E13</t>
        </is>
      </c>
    </row>
    <row r="1338" customFormat="false" ht="12.8" hidden="false" customHeight="false" outlineLevel="0" collapsed="false">
      <c r="A1338" t="inlineStr">
        <is>
          <t xml:space="preserve">THAI_0E19</t>
        </is>
      </c>
      <c r="B1338" t="inlineStr">
        <is>
          <t xml:space="preserve">0E19</t>
        </is>
      </c>
    </row>
    <row r="1339" customFormat="false" ht="12.8" hidden="false" customHeight="false" outlineLevel="0" collapsed="false">
      <c r="A1339" t="inlineStr">
        <is>
          <t xml:space="preserve">THAI_0E2F</t>
        </is>
      </c>
      <c r="B1339" t="inlineStr">
        <is>
          <t xml:space="preserve">0E2F</t>
        </is>
      </c>
    </row>
    <row r="1340" customFormat="false" ht="12.8" hidden="false" customHeight="false" outlineLevel="0" collapsed="false">
      <c r="A1340" t="inlineStr">
        <is>
          <t xml:space="preserve">THAI_0E22</t>
        </is>
      </c>
      <c r="B1340" t="inlineStr">
        <is>
          <t xml:space="preserve">0E22</t>
        </is>
      </c>
    </row>
    <row r="1341" customFormat="false" ht="12.8" hidden="false" customHeight="false" outlineLevel="0" collapsed="false">
      <c r="A1341" t="inlineStr">
        <is>
          <t xml:space="preserve">THAI_0E0D</t>
        </is>
      </c>
      <c r="B1341" t="inlineStr">
        <is>
          <t xml:space="preserve">0E0D</t>
        </is>
      </c>
    </row>
    <row r="1342" customFormat="false" ht="12.8" hidden="false" customHeight="false" outlineLevel="0" collapsed="false">
      <c r="A1342" t="inlineStr">
        <is>
          <t xml:space="preserve">THAI_0E1A</t>
        </is>
      </c>
      <c r="B1342" t="inlineStr">
        <is>
          <t xml:space="preserve">0E1A</t>
        </is>
      </c>
    </row>
    <row r="1343" customFormat="false" ht="12.8" hidden="false" customHeight="false" outlineLevel="0" collapsed="false">
      <c r="A1343" t="inlineStr">
        <is>
          <t xml:space="preserve">THAI_0E10</t>
        </is>
      </c>
      <c r="B1343" t="inlineStr">
        <is>
          <t xml:space="preserve">0E10</t>
        </is>
      </c>
    </row>
    <row r="1344" customFormat="false" ht="12.8" hidden="false" customHeight="false" outlineLevel="0" collapsed="false">
      <c r="A1344" t="inlineStr">
        <is>
          <t xml:space="preserve">THAI_0E25</t>
        </is>
      </c>
      <c r="B1344" t="inlineStr">
        <is>
          <t xml:space="preserve">0E25</t>
        </is>
      </c>
    </row>
    <row r="1345" customFormat="false" ht="12.8" hidden="false" customHeight="false" outlineLevel="0" collapsed="false">
      <c r="A1345" t="inlineStr">
        <is>
          <t xml:space="preserve">THAI_0E1F</t>
        </is>
      </c>
      <c r="B1345" t="inlineStr">
        <is>
          <t xml:space="preserve">0E1F</t>
        </is>
      </c>
    </row>
    <row r="1346" customFormat="false" ht="12.8" hidden="false" customHeight="false" outlineLevel="0" collapsed="false">
      <c r="A1346" t="inlineStr">
        <is>
          <t xml:space="preserve">THAI_0E24</t>
        </is>
      </c>
      <c r="B1346" t="inlineStr">
        <is>
          <t xml:space="preserve">0E24</t>
        </is>
      </c>
    </row>
    <row r="1347" customFormat="false" ht="12.8" hidden="false" customHeight="false" outlineLevel="0" collapsed="false">
      <c r="A1347" t="inlineStr">
        <is>
          <t xml:space="preserve">THAI_0E2B</t>
        </is>
      </c>
      <c r="B1347" t="inlineStr">
        <is>
          <t xml:space="preserve">0E2B</t>
        </is>
      </c>
    </row>
    <row r="1348" customFormat="false" ht="12.8" hidden="false" customHeight="false" outlineLevel="0" collapsed="false">
      <c r="A1348" t="inlineStr">
        <is>
          <t xml:space="preserve">THAI_0E06</t>
        </is>
      </c>
      <c r="B1348" t="inlineStr">
        <is>
          <t xml:space="preserve">0E06</t>
        </is>
      </c>
    </row>
    <row r="1349" customFormat="false" ht="12.8" hidden="false" customHeight="false" outlineLevel="0" collapsed="false">
      <c r="A1349" t="inlineStr">
        <is>
          <t xml:space="preserve">THAI_0E01</t>
        </is>
      </c>
      <c r="B1349" t="inlineStr">
        <is>
          <t xml:space="preserve">0E01</t>
        </is>
      </c>
    </row>
    <row r="1350" customFormat="false" ht="12.8" hidden="false" customHeight="false" outlineLevel="0" collapsed="false">
      <c r="A1350" t="inlineStr">
        <is>
          <t xml:space="preserve">THAI_0E0F</t>
        </is>
      </c>
      <c r="B1350" t="inlineStr">
        <is>
          <t xml:space="preserve">0E0F</t>
        </is>
      </c>
    </row>
    <row r="1351" customFormat="false" ht="12.8" hidden="false" customHeight="false" outlineLevel="0" collapsed="false">
      <c r="A1351" t="inlineStr">
        <is>
          <t xml:space="preserve">THAI_0E14</t>
        </is>
      </c>
      <c r="B1351" t="inlineStr">
        <is>
          <t xml:space="preserve">0E14</t>
        </is>
      </c>
    </row>
    <row r="1352" customFormat="false" ht="12.8" hidden="false" customHeight="false" outlineLevel="0" collapsed="false">
      <c r="A1352" t="inlineStr">
        <is>
          <t xml:space="preserve">THAI_0E42</t>
        </is>
      </c>
      <c r="B1352" t="inlineStr">
        <is>
          <t xml:space="preserve">0E42</t>
        </is>
      </c>
    </row>
    <row r="1353" customFormat="false" ht="12.8" hidden="false" customHeight="false" outlineLevel="0" collapsed="false">
      <c r="A1353" t="inlineStr">
        <is>
          <t xml:space="preserve">THAI_0E40</t>
        </is>
      </c>
      <c r="B1353" t="inlineStr">
        <is>
          <t xml:space="preserve">0E40</t>
        </is>
      </c>
    </row>
    <row r="1354" customFormat="false" ht="12.8" hidden="false" customHeight="false" outlineLevel="0" collapsed="false">
      <c r="A1354" t="inlineStr">
        <is>
          <t xml:space="preserve">THAI_0E0C</t>
        </is>
      </c>
      <c r="B1354" t="inlineStr">
        <is>
          <t xml:space="preserve">0E0C</t>
        </is>
      </c>
    </row>
    <row r="1355" customFormat="false" ht="12.8" hidden="false" customHeight="false" outlineLevel="0" collapsed="false">
      <c r="A1355" t="inlineStr">
        <is>
          <t xml:space="preserve">THAI_0E32</t>
        </is>
      </c>
      <c r="B1355" t="inlineStr">
        <is>
          <t xml:space="preserve">0E32</t>
        </is>
      </c>
    </row>
    <row r="1356" customFormat="false" ht="12.8" hidden="false" customHeight="false" outlineLevel="0" collapsed="false">
      <c r="A1356" t="inlineStr">
        <is>
          <t xml:space="preserve">THAI_0E29</t>
        </is>
      </c>
      <c r="B1356" t="inlineStr">
        <is>
          <t xml:space="preserve">0E29</t>
        </is>
      </c>
    </row>
    <row r="1357" customFormat="false" ht="12.8" hidden="false" customHeight="false" outlineLevel="0" collapsed="false">
      <c r="A1357" t="inlineStr">
        <is>
          <t xml:space="preserve">THAI_0E2A</t>
        </is>
      </c>
      <c r="B1357" t="inlineStr">
        <is>
          <t xml:space="preserve">0E2A</t>
        </is>
      </c>
    </row>
    <row r="1358" customFormat="false" ht="12.8" hidden="false" customHeight="false" outlineLevel="0" collapsed="false">
      <c r="A1358" t="inlineStr">
        <is>
          <t xml:space="preserve">THAI_0E28</t>
        </is>
      </c>
      <c r="B1358" t="inlineStr">
        <is>
          <t xml:space="preserve">0E28</t>
        </is>
      </c>
    </row>
    <row r="1359" customFormat="false" ht="12.8" hidden="false" customHeight="false" outlineLevel="0" collapsed="false">
      <c r="A1359" t="inlineStr">
        <is>
          <t xml:space="preserve">THAI_0E27</t>
        </is>
      </c>
      <c r="B1359" t="inlineStr">
        <is>
          <t xml:space="preserve">0E27</t>
        </is>
      </c>
    </row>
    <row r="1360" customFormat="false" ht="12.8" hidden="false" customHeight="false" outlineLevel="0" collapsed="false">
      <c r="A1360" t="inlineStr">
        <is>
          <t xml:space="preserve">THAI_0E0B</t>
        </is>
      </c>
      <c r="B1360" t="inlineStr">
        <is>
          <t xml:space="preserve">0E0B</t>
        </is>
      </c>
    </row>
    <row r="1361" customFormat="false" ht="12.8" hidden="false" customHeight="false" outlineLevel="0" collapsed="false">
      <c r="A1361" t="inlineStr">
        <is>
          <t xml:space="preserve">THAI_0E07</t>
        </is>
      </c>
      <c r="B1361" t="inlineStr">
        <is>
          <t xml:space="preserve">0E07</t>
        </is>
      </c>
    </row>
    <row r="1362" customFormat="false" ht="12.8" hidden="false" customHeight="false" outlineLevel="0" collapsed="false">
      <c r="A1362" t="inlineStr">
        <is>
          <t xml:space="preserve">THAI_0E03</t>
        </is>
      </c>
      <c r="B1362" t="inlineStr">
        <is>
          <t xml:space="preserve">0E03</t>
        </is>
      </c>
    </row>
    <row r="1363" customFormat="false" ht="12.8" hidden="false" customHeight="false" outlineLevel="0" collapsed="false">
      <c r="A1363" t="inlineStr">
        <is>
          <t xml:space="preserve">THAI_0E05</t>
        </is>
      </c>
      <c r="B1363" t="inlineStr">
        <is>
          <t xml:space="preserve">0E05</t>
        </is>
      </c>
    </row>
    <row r="1364" customFormat="false" ht="12.8" hidden="false" customHeight="false" outlineLevel="0" collapsed="false">
      <c r="A1364" t="inlineStr">
        <is>
          <t xml:space="preserve">THAI_0E1C</t>
        </is>
      </c>
      <c r="B1364" t="inlineStr">
        <is>
          <t xml:space="preserve">0E1C</t>
        </is>
      </c>
    </row>
    <row r="1365" customFormat="false" ht="12.8" hidden="false" customHeight="false" outlineLevel="0" collapsed="false">
      <c r="A1365" t="inlineStr">
        <is>
          <t xml:space="preserve">THAI_0E1B</t>
        </is>
      </c>
      <c r="B1365" t="inlineStr">
        <is>
          <t xml:space="preserve">0E1B</t>
        </is>
      </c>
    </row>
    <row r="1366" customFormat="false" ht="12.8" hidden="false" customHeight="false" outlineLevel="0" collapsed="false">
      <c r="A1366" t="inlineStr">
        <is>
          <t xml:space="preserve">THAI_0E41</t>
        </is>
      </c>
      <c r="B1366" t="inlineStr">
        <is>
          <t xml:space="preserve">0E41</t>
        </is>
      </c>
    </row>
    <row r="1367" customFormat="false" ht="12.8" hidden="false" customHeight="false" outlineLevel="0" collapsed="false">
      <c r="A1367" t="inlineStr">
        <is>
          <t xml:space="preserve">THAI_0E09</t>
        </is>
      </c>
      <c r="B1367" t="inlineStr">
        <is>
          <t xml:space="preserve">0E09</t>
        </is>
      </c>
    </row>
    <row r="1368" customFormat="false" ht="12.8" hidden="false" customHeight="false" outlineLevel="0" collapsed="false">
      <c r="A1368" t="inlineStr">
        <is>
          <t xml:space="preserve">THAI_0E2D</t>
        </is>
      </c>
      <c r="B1368" t="inlineStr">
        <is>
          <t xml:space="preserve">0E2D</t>
        </is>
      </c>
    </row>
    <row r="1369" customFormat="false" ht="12.8" hidden="false" customHeight="false" outlineLevel="0" collapsed="false">
      <c r="A1369" t="inlineStr">
        <is>
          <t xml:space="preserve">THAI_0E2E</t>
        </is>
      </c>
      <c r="B1369" t="inlineStr">
        <is>
          <t xml:space="preserve">0E2E</t>
        </is>
      </c>
    </row>
    <row r="1370" customFormat="false" ht="12.8" hidden="false" customHeight="false" outlineLevel="0" collapsed="false">
      <c r="A1370" t="inlineStr">
        <is>
          <t xml:space="preserve">THAI_0E17</t>
        </is>
      </c>
      <c r="B1370" t="inlineStr">
        <is>
          <t xml:space="preserve">0E17</t>
        </is>
      </c>
    </row>
    <row r="1371" customFormat="false" ht="12.8" hidden="false" customHeight="false" outlineLevel="0" collapsed="false">
      <c r="A1371" t="inlineStr">
        <is>
          <t xml:space="preserve">THAI_0E21</t>
        </is>
      </c>
      <c r="B1371" t="inlineStr">
        <is>
          <t xml:space="preserve">0E21</t>
        </is>
      </c>
    </row>
    <row r="1372" customFormat="false" ht="12.8" hidden="false" customHeight="false" outlineLevel="0" collapsed="false">
      <c r="A1372" t="inlineStr">
        <is>
          <t xml:space="preserve">THAI_0E12</t>
        </is>
      </c>
      <c r="B1372" t="inlineStr">
        <is>
          <t xml:space="preserve">0E12</t>
        </is>
      </c>
    </row>
    <row r="1373" customFormat="false" ht="12.8" hidden="false" customHeight="false" outlineLevel="0" collapsed="false">
      <c r="A1373" t="inlineStr">
        <is>
          <t xml:space="preserve">THAI_0E43</t>
        </is>
      </c>
      <c r="B1373" t="inlineStr">
        <is>
          <t xml:space="preserve">0E43</t>
        </is>
      </c>
    </row>
    <row r="1374" customFormat="false" ht="12.8" hidden="false" customHeight="false" outlineLevel="0" collapsed="false">
      <c r="A1374" t="inlineStr">
        <is>
          <t xml:space="preserve">THAI_0E2C</t>
        </is>
      </c>
      <c r="B1374" t="inlineStr">
        <is>
          <t xml:space="preserve">0E2C</t>
        </is>
      </c>
    </row>
    <row r="1375" customFormat="false" ht="12.8" hidden="false" customHeight="false" outlineLevel="0" collapsed="false">
      <c r="A1375" t="inlineStr">
        <is>
          <t xml:space="preserve">THAI_0E1D</t>
        </is>
      </c>
      <c r="B1375" t="inlineStr">
        <is>
          <t xml:space="preserve">0E1D</t>
        </is>
      </c>
    </row>
    <row r="1376" customFormat="false" ht="12.8" hidden="false" customHeight="false" outlineLevel="0" collapsed="false">
      <c r="A1376" t="inlineStr">
        <is>
          <t xml:space="preserve">THAI_0E26</t>
        </is>
      </c>
      <c r="B1376" t="inlineStr">
        <is>
          <t xml:space="preserve">0E26</t>
        </is>
      </c>
    </row>
    <row r="1377" customFormat="false" ht="12.8" hidden="false" customHeight="false" outlineLevel="0" collapsed="false">
      <c r="A1377" t="inlineStr">
        <is>
          <t xml:space="preserve">THAI_DC_0E31</t>
        </is>
      </c>
      <c r="B1377" t="inlineStr">
        <is>
          <t xml:space="preserve">E180</t>
        </is>
      </c>
    </row>
    <row r="1378" customFormat="false" ht="12.8" hidden="false" customHeight="false" outlineLevel="0" collapsed="false">
      <c r="A1378" t="inlineStr">
        <is>
          <t xml:space="preserve">THAI_DC_0E34</t>
        </is>
      </c>
      <c r="B1378" t="inlineStr">
        <is>
          <t xml:space="preserve">E181</t>
        </is>
      </c>
    </row>
    <row r="1379" customFormat="false" ht="12.8" hidden="false" customHeight="false" outlineLevel="0" collapsed="false">
      <c r="A1379" t="inlineStr">
        <is>
          <t xml:space="preserve">THAI_DC_0E35</t>
        </is>
      </c>
      <c r="B1379" t="inlineStr">
        <is>
          <t xml:space="preserve">E182</t>
        </is>
      </c>
    </row>
    <row r="1380" customFormat="false" ht="12.8" hidden="false" customHeight="false" outlineLevel="0" collapsed="false">
      <c r="A1380" t="inlineStr">
        <is>
          <t xml:space="preserve">THAI_DC_0E36</t>
        </is>
      </c>
      <c r="B1380" t="inlineStr">
        <is>
          <t xml:space="preserve">E183</t>
        </is>
      </c>
    </row>
    <row r="1381" customFormat="false" ht="12.8" hidden="false" customHeight="false" outlineLevel="0" collapsed="false">
      <c r="A1381" t="inlineStr">
        <is>
          <t xml:space="preserve">THAI_DC_0E37</t>
        </is>
      </c>
      <c r="B1381" t="inlineStr">
        <is>
          <t xml:space="preserve">E184</t>
        </is>
      </c>
    </row>
    <row r="1382" customFormat="false" ht="12.8" hidden="false" customHeight="false" outlineLevel="0" collapsed="false">
      <c r="A1382" t="inlineStr">
        <is>
          <t xml:space="preserve">THAI_DC_0E38</t>
        </is>
      </c>
      <c r="B1382" t="inlineStr">
        <is>
          <t xml:space="preserve">E185</t>
        </is>
      </c>
    </row>
    <row r="1383" customFormat="false" ht="12.8" hidden="false" customHeight="false" outlineLevel="0" collapsed="false">
      <c r="A1383" t="inlineStr">
        <is>
          <t xml:space="preserve">THAI_DC_0E39</t>
        </is>
      </c>
      <c r="B1383" t="inlineStr">
        <is>
          <t xml:space="preserve">E186</t>
        </is>
      </c>
    </row>
    <row r="1384" customFormat="false" ht="12.8" hidden="false" customHeight="false" outlineLevel="0" collapsed="false">
      <c r="A1384" t="inlineStr">
        <is>
          <t xml:space="preserve">THAI_DC_0E3A</t>
        </is>
      </c>
      <c r="B1384" t="inlineStr">
        <is>
          <t xml:space="preserve">E187</t>
        </is>
      </c>
    </row>
    <row r="1385" customFormat="false" ht="12.8" hidden="false" customHeight="false" outlineLevel="0" collapsed="false">
      <c r="A1385" t="inlineStr">
        <is>
          <t xml:space="preserve">THAI_DC_0E47</t>
        </is>
      </c>
      <c r="B1385" t="inlineStr">
        <is>
          <t xml:space="preserve">E188</t>
        </is>
      </c>
    </row>
    <row r="1386" customFormat="false" ht="12.8" hidden="false" customHeight="false" outlineLevel="0" collapsed="false">
      <c r="A1386" t="inlineStr">
        <is>
          <t xml:space="preserve">THAI_DC_0E48</t>
        </is>
      </c>
      <c r="B1386" t="inlineStr">
        <is>
          <t xml:space="preserve">E189</t>
        </is>
      </c>
    </row>
    <row r="1387" customFormat="false" ht="12.8" hidden="false" customHeight="false" outlineLevel="0" collapsed="false">
      <c r="A1387" t="inlineStr">
        <is>
          <t xml:space="preserve">THAI_DC_0E49</t>
        </is>
      </c>
      <c r="B1387" t="inlineStr">
        <is>
          <t xml:space="preserve">E18A</t>
        </is>
      </c>
    </row>
    <row r="1388" customFormat="false" ht="12.8" hidden="false" customHeight="false" outlineLevel="0" collapsed="false">
      <c r="A1388" t="inlineStr">
        <is>
          <t xml:space="preserve">THAI_DC_0E4A</t>
        </is>
      </c>
      <c r="B1388" t="inlineStr">
        <is>
          <t xml:space="preserve">E18B</t>
        </is>
      </c>
    </row>
    <row r="1389" customFormat="false" ht="12.8" hidden="false" customHeight="false" outlineLevel="0" collapsed="false">
      <c r="A1389" t="inlineStr">
        <is>
          <t xml:space="preserve">THAI_DC_0E4B</t>
        </is>
      </c>
      <c r="B1389" t="inlineStr">
        <is>
          <t xml:space="preserve">E18C</t>
        </is>
      </c>
    </row>
    <row r="1390" customFormat="false" ht="12.8" hidden="false" customHeight="false" outlineLevel="0" collapsed="false">
      <c r="A1390" t="inlineStr">
        <is>
          <t xml:space="preserve">THAI_DC_0E4C</t>
        </is>
      </c>
      <c r="B1390" t="inlineStr">
        <is>
          <t xml:space="preserve">E18D</t>
        </is>
      </c>
    </row>
    <row r="1391" customFormat="false" ht="12.8" hidden="false" customHeight="false" outlineLevel="0" collapsed="false">
      <c r="A1391" t="inlineStr">
        <is>
          <t xml:space="preserve">THAI_DC_0E4D</t>
        </is>
      </c>
      <c r="B1391" t="inlineStr">
        <is>
          <t xml:space="preserve">E18E</t>
        </is>
      </c>
    </row>
    <row r="1392" customFormat="false" ht="12.8" hidden="false" customHeight="false" outlineLevel="0" collapsed="false">
      <c r="A1392" t="inlineStr">
        <is>
          <t xml:space="preserve">GEORGIAN_10E5</t>
        </is>
      </c>
      <c r="B1392" t="inlineStr">
        <is>
          <t xml:space="preserve">10E5</t>
        </is>
      </c>
    </row>
    <row r="1393" customFormat="false" ht="12.8" hidden="false" customHeight="false" outlineLevel="0" collapsed="false">
      <c r="A1393" t="inlineStr">
        <is>
          <t xml:space="preserve">GEORGIAN_10EC</t>
        </is>
      </c>
      <c r="B1393" t="inlineStr">
        <is>
          <t xml:space="preserve">10EC</t>
        </is>
      </c>
    </row>
    <row r="1394" customFormat="false" ht="12.8" hidden="false" customHeight="false" outlineLevel="0" collapsed="false">
      <c r="A1394" t="inlineStr">
        <is>
          <t xml:space="preserve">GEORGIAN_10ED</t>
        </is>
      </c>
      <c r="B1394" t="inlineStr">
        <is>
          <t xml:space="preserve">10ED</t>
        </is>
      </c>
    </row>
    <row r="1395" customFormat="false" ht="12.8" hidden="false" customHeight="false" outlineLevel="0" collapsed="false">
      <c r="A1395" t="inlineStr">
        <is>
          <t xml:space="preserve">GEORGIAN_10D4</t>
        </is>
      </c>
      <c r="B1395" t="inlineStr">
        <is>
          <t xml:space="preserve">10D4</t>
        </is>
      </c>
    </row>
    <row r="1396" customFormat="false" ht="12.8" hidden="false" customHeight="false" outlineLevel="0" collapsed="false">
      <c r="A1396" t="inlineStr">
        <is>
          <t xml:space="preserve">GEORGIAN_10E0</t>
        </is>
      </c>
      <c r="B1396" t="inlineStr">
        <is>
          <t xml:space="preserve">10E0</t>
        </is>
      </c>
    </row>
    <row r="1397" customFormat="false" ht="12.8" hidden="false" customHeight="false" outlineLevel="0" collapsed="false">
      <c r="A1397" t="inlineStr">
        <is>
          <t xml:space="preserve">GEORGIAN_10E6</t>
        </is>
      </c>
      <c r="B1397" t="inlineStr">
        <is>
          <t xml:space="preserve">10E6</t>
        </is>
      </c>
    </row>
    <row r="1398" customFormat="false" ht="12.8" hidden="false" customHeight="false" outlineLevel="0" collapsed="false">
      <c r="A1398" t="inlineStr">
        <is>
          <t xml:space="preserve">GEORGIAN_10E2</t>
        </is>
      </c>
      <c r="B1398" t="inlineStr">
        <is>
          <t xml:space="preserve">10E2</t>
        </is>
      </c>
    </row>
    <row r="1399" customFormat="false" ht="12.8" hidden="false" customHeight="false" outlineLevel="0" collapsed="false">
      <c r="A1399" t="inlineStr">
        <is>
          <t xml:space="preserve">GEORGIAN_10D7</t>
        </is>
      </c>
      <c r="B1399" t="inlineStr">
        <is>
          <t xml:space="preserve">10D7</t>
        </is>
      </c>
    </row>
    <row r="1400" customFormat="false" ht="12.8" hidden="false" customHeight="false" outlineLevel="0" collapsed="false">
      <c r="A1400" t="inlineStr">
        <is>
          <t xml:space="preserve">GEORGIAN_10E7</t>
        </is>
      </c>
      <c r="B1400" t="inlineStr">
        <is>
          <t xml:space="preserve">10E7</t>
        </is>
      </c>
    </row>
    <row r="1401" customFormat="false" ht="12.8" hidden="false" customHeight="false" outlineLevel="0" collapsed="false">
      <c r="A1401" t="inlineStr">
        <is>
          <t xml:space="preserve">GEORGIAN_10E3</t>
        </is>
      </c>
      <c r="B1401" t="inlineStr">
        <is>
          <t xml:space="preserve">10E3</t>
        </is>
      </c>
    </row>
    <row r="1402" customFormat="false" ht="12.8" hidden="false" customHeight="false" outlineLevel="0" collapsed="false">
      <c r="A1402" t="inlineStr">
        <is>
          <t xml:space="preserve">GEORGIAN_10D8</t>
        </is>
      </c>
      <c r="B1402" t="inlineStr">
        <is>
          <t xml:space="preserve">10D8</t>
        </is>
      </c>
    </row>
    <row r="1403" customFormat="false" ht="12.8" hidden="false" customHeight="false" outlineLevel="0" collapsed="false">
      <c r="A1403" t="inlineStr">
        <is>
          <t xml:space="preserve">GEORGIAN_10DD</t>
        </is>
      </c>
      <c r="B1403" t="inlineStr">
        <is>
          <t xml:space="preserve">10DD</t>
        </is>
      </c>
    </row>
    <row r="1404" customFormat="false" ht="12.8" hidden="false" customHeight="false" outlineLevel="0" collapsed="false">
      <c r="A1404" t="inlineStr">
        <is>
          <t xml:space="preserve">GEORGIAN_10DE</t>
        </is>
      </c>
      <c r="B1404" t="inlineStr">
        <is>
          <t xml:space="preserve">10DE</t>
        </is>
      </c>
    </row>
    <row r="1405" customFormat="false" ht="12.8" hidden="false" customHeight="false" outlineLevel="0" collapsed="false">
      <c r="A1405" t="inlineStr">
        <is>
          <t xml:space="preserve">GEORGIAN_10D0</t>
        </is>
      </c>
      <c r="B1405" t="inlineStr">
        <is>
          <t xml:space="preserve">10D0</t>
        </is>
      </c>
    </row>
    <row r="1406" customFormat="false" ht="12.8" hidden="false" customHeight="false" outlineLevel="0" collapsed="false">
      <c r="A1406" t="inlineStr">
        <is>
          <t xml:space="preserve">GEORGIAN_10E1</t>
        </is>
      </c>
      <c r="B1406" t="inlineStr">
        <is>
          <t xml:space="preserve">10E1</t>
        </is>
      </c>
    </row>
    <row r="1407" customFormat="false" ht="12.8" hidden="false" customHeight="false" outlineLevel="0" collapsed="false">
      <c r="A1407" t="inlineStr">
        <is>
          <t xml:space="preserve">GEORGIAN_10E8</t>
        </is>
      </c>
      <c r="B1407" t="inlineStr">
        <is>
          <t xml:space="preserve">10E8</t>
        </is>
      </c>
    </row>
    <row r="1408" customFormat="false" ht="12.8" hidden="false" customHeight="false" outlineLevel="0" collapsed="false">
      <c r="A1408" t="inlineStr">
        <is>
          <t xml:space="preserve">GEORGIAN_10D3</t>
        </is>
      </c>
      <c r="B1408" t="inlineStr">
        <is>
          <t xml:space="preserve">10D3</t>
        </is>
      </c>
    </row>
    <row r="1409" customFormat="false" ht="12.8" hidden="false" customHeight="false" outlineLevel="0" collapsed="false">
      <c r="A1409" t="inlineStr">
        <is>
          <t xml:space="preserve">GEORGIAN_10E4</t>
        </is>
      </c>
      <c r="B1409" t="inlineStr">
        <is>
          <t xml:space="preserve">10E4</t>
        </is>
      </c>
    </row>
    <row r="1410" customFormat="false" ht="12.8" hidden="false" customHeight="false" outlineLevel="0" collapsed="false">
      <c r="A1410" t="inlineStr">
        <is>
          <t xml:space="preserve">GEORGIAN_10D2</t>
        </is>
      </c>
      <c r="B1410" t="inlineStr">
        <is>
          <t xml:space="preserve">10D2</t>
        </is>
      </c>
    </row>
    <row r="1411" customFormat="false" ht="12.8" hidden="false" customHeight="false" outlineLevel="0" collapsed="false">
      <c r="A1411" t="inlineStr">
        <is>
          <t xml:space="preserve">GEORGIAN_10F0</t>
        </is>
      </c>
      <c r="B1411" t="inlineStr">
        <is>
          <t xml:space="preserve">10F0</t>
        </is>
      </c>
    </row>
    <row r="1412" customFormat="false" ht="12.8" hidden="false" customHeight="false" outlineLevel="0" collapsed="false">
      <c r="A1412" t="inlineStr">
        <is>
          <t xml:space="preserve">GEORGIAN_10EF</t>
        </is>
      </c>
      <c r="B1412" t="inlineStr">
        <is>
          <t xml:space="preserve">10EF</t>
        </is>
      </c>
    </row>
    <row r="1413" customFormat="false" ht="12.8" hidden="false" customHeight="false" outlineLevel="0" collapsed="false">
      <c r="A1413" t="inlineStr">
        <is>
          <t xml:space="preserve">GEORGIAN_10DF</t>
        </is>
      </c>
      <c r="B1413" t="inlineStr">
        <is>
          <t xml:space="preserve">10DF</t>
        </is>
      </c>
    </row>
    <row r="1414" customFormat="false" ht="12.8" hidden="false" customHeight="false" outlineLevel="0" collapsed="false">
      <c r="A1414" t="inlineStr">
        <is>
          <t xml:space="preserve">GEORGIAN_10D9</t>
        </is>
      </c>
      <c r="B1414" t="inlineStr">
        <is>
          <t xml:space="preserve">10D9</t>
        </is>
      </c>
    </row>
    <row r="1415" customFormat="false" ht="12.8" hidden="false" customHeight="false" outlineLevel="0" collapsed="false">
      <c r="A1415" t="inlineStr">
        <is>
          <t xml:space="preserve">GEORGIAN_10DA</t>
        </is>
      </c>
      <c r="B1415" t="inlineStr">
        <is>
          <t xml:space="preserve">10DA</t>
        </is>
      </c>
    </row>
    <row r="1416" customFormat="false" ht="12.8" hidden="false" customHeight="false" outlineLevel="0" collapsed="false">
      <c r="A1416" t="inlineStr">
        <is>
          <t xml:space="preserve">GEORGIAN_10D6</t>
        </is>
      </c>
      <c r="B1416" t="inlineStr">
        <is>
          <t xml:space="preserve">10D6</t>
        </is>
      </c>
    </row>
    <row r="1417" customFormat="false" ht="12.8" hidden="false" customHeight="false" outlineLevel="0" collapsed="false">
      <c r="A1417" t="inlineStr">
        <is>
          <t xml:space="preserve">GEORGIAN_10EB</t>
        </is>
      </c>
      <c r="B1417" t="inlineStr">
        <is>
          <t xml:space="preserve">10EB</t>
        </is>
      </c>
    </row>
    <row r="1418" customFormat="false" ht="12.8" hidden="false" customHeight="false" outlineLevel="0" collapsed="false">
      <c r="A1418" t="inlineStr">
        <is>
          <t xml:space="preserve">GEORGIAN_10EE</t>
        </is>
      </c>
      <c r="B1418" t="inlineStr">
        <is>
          <t xml:space="preserve">10EE</t>
        </is>
      </c>
    </row>
    <row r="1419" customFormat="false" ht="12.8" hidden="false" customHeight="false" outlineLevel="0" collapsed="false">
      <c r="A1419" t="inlineStr">
        <is>
          <t xml:space="preserve">GEORGIAN_10EA</t>
        </is>
      </c>
      <c r="B1419" t="inlineStr">
        <is>
          <t xml:space="preserve">10EA</t>
        </is>
      </c>
    </row>
    <row r="1420" customFormat="false" ht="12.8" hidden="false" customHeight="false" outlineLevel="0" collapsed="false">
      <c r="A1420" t="inlineStr">
        <is>
          <t xml:space="preserve">GEORGIAN_10E9</t>
        </is>
      </c>
      <c r="B1420" t="inlineStr">
        <is>
          <t xml:space="preserve">10E9</t>
        </is>
      </c>
    </row>
    <row r="1421" customFormat="false" ht="12.8" hidden="false" customHeight="false" outlineLevel="0" collapsed="false">
      <c r="A1421" t="inlineStr">
        <is>
          <t xml:space="preserve">GEORGIAN_10D5</t>
        </is>
      </c>
      <c r="B1421" t="inlineStr">
        <is>
          <t xml:space="preserve">10D5</t>
        </is>
      </c>
    </row>
    <row r="1422" customFormat="false" ht="12.8" hidden="false" customHeight="false" outlineLevel="0" collapsed="false">
      <c r="A1422" t="inlineStr">
        <is>
          <t xml:space="preserve">GEORGIAN_10D1</t>
        </is>
      </c>
      <c r="B1422" t="inlineStr">
        <is>
          <t xml:space="preserve">10D1</t>
        </is>
      </c>
    </row>
    <row r="1423" customFormat="false" ht="12.8" hidden="false" customHeight="false" outlineLevel="0" collapsed="false">
      <c r="A1423" t="inlineStr">
        <is>
          <t xml:space="preserve">GEORGIAN_10DC</t>
        </is>
      </c>
      <c r="B1423" t="inlineStr">
        <is>
          <t xml:space="preserve">10DC</t>
        </is>
      </c>
    </row>
    <row r="1424" customFormat="false" ht="12.8" hidden="false" customHeight="false" outlineLevel="0" collapsed="false">
      <c r="A1424" t="inlineStr">
        <is>
          <t xml:space="preserve">GEORGIAN_10DB</t>
        </is>
      </c>
      <c r="B1424" t="inlineStr">
        <is>
          <t xml:space="preserve">10DB</t>
        </is>
      </c>
    </row>
    <row r="1425" customFormat="false" ht="12.8" hidden="false" customHeight="false" outlineLevel="0" collapsed="false">
      <c r="A1425" t="inlineStr">
        <is>
          <t xml:space="preserve">ARMENIAN_055D</t>
        </is>
      </c>
      <c r="B1425" t="inlineStr">
        <is>
          <t xml:space="preserve">055D</t>
        </is>
      </c>
    </row>
    <row r="1426" customFormat="false" ht="12.8" hidden="false" customHeight="false" outlineLevel="0" collapsed="false">
      <c r="A1426" t="inlineStr">
        <is>
          <t xml:space="preserve">ARMENIAN_055C</t>
        </is>
      </c>
      <c r="B1426" t="inlineStr">
        <is>
          <t xml:space="preserve">055C</t>
        </is>
      </c>
    </row>
    <row r="1427" customFormat="false" ht="12.8" hidden="false" customHeight="false" outlineLevel="0" collapsed="false">
      <c r="A1427" t="inlineStr">
        <is>
          <t xml:space="preserve">ARMENIAN_0586</t>
        </is>
      </c>
      <c r="B1427" t="inlineStr">
        <is>
          <t xml:space="preserve">0586</t>
        </is>
      </c>
    </row>
    <row r="1428" customFormat="false" ht="12.8" hidden="false" customHeight="false" outlineLevel="0" collapsed="false">
      <c r="A1428" t="inlineStr">
        <is>
          <t xml:space="preserve">ARMENIAN_0556</t>
        </is>
      </c>
      <c r="B1428" t="inlineStr">
        <is>
          <t xml:space="preserve">0556</t>
        </is>
      </c>
    </row>
    <row r="1429" customFormat="false" ht="12.8" hidden="false" customHeight="false" outlineLevel="0" collapsed="false">
      <c r="A1429" t="inlineStr">
        <is>
          <t xml:space="preserve">ARMENIAN_0571</t>
        </is>
      </c>
      <c r="B1429" t="inlineStr">
        <is>
          <t xml:space="preserve">0571</t>
        </is>
      </c>
    </row>
    <row r="1430" customFormat="false" ht="12.8" hidden="false" customHeight="false" outlineLevel="0" collapsed="false">
      <c r="A1430" t="inlineStr">
        <is>
          <t xml:space="preserve">ARMENIAN_0541</t>
        </is>
      </c>
      <c r="B1430" t="inlineStr">
        <is>
          <t xml:space="preserve">0541</t>
        </is>
      </c>
    </row>
    <row r="1431" customFormat="false" ht="12.8" hidden="false" customHeight="false" outlineLevel="0" collapsed="false">
      <c r="A1431" t="inlineStr">
        <is>
          <t xml:space="preserve">ARMENIAN_058A</t>
        </is>
      </c>
      <c r="B1431" t="inlineStr">
        <is>
          <t xml:space="preserve">058A</t>
        </is>
      </c>
    </row>
    <row r="1432" customFormat="false" ht="12.8" hidden="false" customHeight="false" outlineLevel="0" collapsed="false">
      <c r="A1432" t="inlineStr">
        <is>
          <t xml:space="preserve">ARMENIAN_2014</t>
        </is>
      </c>
      <c r="B1432" t="inlineStr">
        <is>
          <t xml:space="preserve">2014</t>
        </is>
      </c>
    </row>
    <row r="1433" customFormat="false" ht="12.8" hidden="false" customHeight="false" outlineLevel="0" collapsed="false">
      <c r="A1433" t="inlineStr">
        <is>
          <t xml:space="preserve">ARMENIAN_0589</t>
        </is>
      </c>
      <c r="B1433" t="inlineStr">
        <is>
          <t xml:space="preserve">0589</t>
        </is>
      </c>
    </row>
    <row r="1434" customFormat="false" ht="12.8" hidden="false" customHeight="false" outlineLevel="0" collapsed="false">
      <c r="A1434" t="inlineStr">
        <is>
          <t xml:space="preserve">ARMENIAN_2026</t>
        </is>
      </c>
      <c r="B1434" t="inlineStr">
        <is>
          <t xml:space="preserve">2026</t>
        </is>
      </c>
    </row>
    <row r="1435" customFormat="false" ht="12.8" hidden="false" customHeight="false" outlineLevel="0" collapsed="false">
      <c r="A1435" t="inlineStr">
        <is>
          <t xml:space="preserve">ARMENIAN_055E</t>
        </is>
      </c>
      <c r="B1435" t="inlineStr">
        <is>
          <t xml:space="preserve">055E</t>
        </is>
      </c>
    </row>
    <row r="1436" customFormat="false" ht="12.8" hidden="false" customHeight="false" outlineLevel="0" collapsed="false">
      <c r="A1436" t="inlineStr">
        <is>
          <t xml:space="preserve">ARMENIAN_2024</t>
        </is>
      </c>
      <c r="B1436" t="inlineStr">
        <is>
          <t xml:space="preserve">2024</t>
        </is>
      </c>
    </row>
    <row r="1437" customFormat="false" ht="12.8" hidden="false" customHeight="false" outlineLevel="0" collapsed="false">
      <c r="A1437" t="inlineStr">
        <is>
          <t xml:space="preserve">ARMENIAN_0587</t>
        </is>
      </c>
      <c r="B1437" t="inlineStr">
        <is>
          <t xml:space="preserve">0587</t>
        </is>
      </c>
    </row>
    <row r="1438" customFormat="false" ht="12.8" hidden="false" customHeight="false" outlineLevel="0" collapsed="false">
      <c r="A1438" t="inlineStr">
        <is>
          <t xml:space="preserve">ARMENIAN_055B</t>
        </is>
      </c>
      <c r="B1438" t="inlineStr">
        <is>
          <t xml:space="preserve">055B</t>
        </is>
      </c>
    </row>
    <row r="1439" customFormat="false" ht="12.8" hidden="false" customHeight="false" outlineLevel="0" collapsed="false">
      <c r="A1439" t="inlineStr">
        <is>
          <t xml:space="preserve">ARMENIAN_055A</t>
        </is>
      </c>
      <c r="B1439" t="inlineStr">
        <is>
          <t xml:space="preserve">055A</t>
        </is>
      </c>
    </row>
    <row r="1440" customFormat="false" ht="12.8" hidden="false" customHeight="false" outlineLevel="0" collapsed="false">
      <c r="A1440" t="inlineStr">
        <is>
          <t xml:space="preserve">ARMENIAN_0585</t>
        </is>
      </c>
      <c r="B1440" t="inlineStr">
        <is>
          <t xml:space="preserve">0585</t>
        </is>
      </c>
    </row>
    <row r="1441" customFormat="false" ht="12.8" hidden="false" customHeight="false" outlineLevel="0" collapsed="false">
      <c r="A1441" t="inlineStr">
        <is>
          <t xml:space="preserve">ARMENIAN_0555</t>
        </is>
      </c>
      <c r="B1441" t="inlineStr">
        <is>
          <t xml:space="preserve">0555</t>
        </is>
      </c>
    </row>
    <row r="1442" customFormat="false" ht="12.8" hidden="false" customHeight="false" outlineLevel="0" collapsed="false">
      <c r="A1442" t="inlineStr">
        <is>
          <t xml:space="preserve">ARMENIAN_0567</t>
        </is>
      </c>
      <c r="B1442" t="inlineStr">
        <is>
          <t xml:space="preserve">0567</t>
        </is>
      </c>
    </row>
    <row r="1443" customFormat="false" ht="12.8" hidden="false" customHeight="false" outlineLevel="0" collapsed="false">
      <c r="A1443" t="inlineStr">
        <is>
          <t xml:space="preserve">ARMENIAN_0537</t>
        </is>
      </c>
      <c r="B1443" t="inlineStr">
        <is>
          <t xml:space="preserve">0537</t>
        </is>
      </c>
    </row>
    <row r="1444" customFormat="false" ht="12.8" hidden="false" customHeight="false" outlineLevel="0" collapsed="false">
      <c r="A1444" t="inlineStr">
        <is>
          <t xml:space="preserve">ARMENIAN_0572</t>
        </is>
      </c>
      <c r="B1444" t="inlineStr">
        <is>
          <t xml:space="preserve">0572</t>
        </is>
      </c>
    </row>
    <row r="1445" customFormat="false" ht="12.8" hidden="false" customHeight="false" outlineLevel="0" collapsed="false">
      <c r="A1445" t="inlineStr">
        <is>
          <t xml:space="preserve">ARMENIAN_0542</t>
        </is>
      </c>
      <c r="B1445" t="inlineStr">
        <is>
          <t xml:space="preserve">0542</t>
        </is>
      </c>
    </row>
    <row r="1446" customFormat="false" ht="12.8" hidden="false" customHeight="false" outlineLevel="0" collapsed="false">
      <c r="A1446" t="inlineStr">
        <is>
          <t xml:space="preserve">ARMENIAN_0573</t>
        </is>
      </c>
      <c r="B1446" t="inlineStr">
        <is>
          <t xml:space="preserve">0573</t>
        </is>
      </c>
    </row>
    <row r="1447" customFormat="false" ht="12.8" hidden="false" customHeight="false" outlineLevel="0" collapsed="false">
      <c r="A1447" t="inlineStr">
        <is>
          <t xml:space="preserve">ARMENIAN_0543</t>
        </is>
      </c>
      <c r="B1447" t="inlineStr">
        <is>
          <t xml:space="preserve">0543</t>
        </is>
      </c>
    </row>
    <row r="1448" customFormat="false" ht="12.8" hidden="false" customHeight="false" outlineLevel="0" collapsed="false">
      <c r="A1448" t="inlineStr">
        <is>
          <t xml:space="preserve">ARMENIAN_0583</t>
        </is>
      </c>
      <c r="B1448" t="inlineStr">
        <is>
          <t xml:space="preserve">0583</t>
        </is>
      </c>
    </row>
    <row r="1449" customFormat="false" ht="12.8" hidden="false" customHeight="false" outlineLevel="0" collapsed="false">
      <c r="A1449" t="inlineStr">
        <is>
          <t xml:space="preserve">ARMENIAN_0553</t>
        </is>
      </c>
      <c r="B1449" t="inlineStr">
        <is>
          <t xml:space="preserve">0553</t>
        </is>
      </c>
    </row>
    <row r="1450" customFormat="false" ht="12.8" hidden="false" customHeight="false" outlineLevel="0" collapsed="false">
      <c r="A1450" t="inlineStr">
        <is>
          <t xml:space="preserve">ARMENIAN_0562</t>
        </is>
      </c>
      <c r="B1450" t="inlineStr">
        <is>
          <t xml:space="preserve">0562</t>
        </is>
      </c>
    </row>
    <row r="1451" customFormat="false" ht="12.8" hidden="false" customHeight="false" outlineLevel="0" collapsed="false">
      <c r="A1451" t="inlineStr">
        <is>
          <t xml:space="preserve">ARMENIAN_0532</t>
        </is>
      </c>
      <c r="B1451" t="inlineStr">
        <is>
          <t xml:space="preserve">0532</t>
        </is>
      </c>
    </row>
    <row r="1452" customFormat="false" ht="12.8" hidden="false" customHeight="false" outlineLevel="0" collapsed="false">
      <c r="A1452" t="inlineStr">
        <is>
          <t xml:space="preserve">ARMENIAN_057D</t>
        </is>
      </c>
      <c r="B1452" t="inlineStr">
        <is>
          <t xml:space="preserve">057D</t>
        </is>
      </c>
    </row>
    <row r="1453" customFormat="false" ht="12.8" hidden="false" customHeight="false" outlineLevel="0" collapsed="false">
      <c r="A1453" t="inlineStr">
        <is>
          <t xml:space="preserve">ARMENIAN_054D</t>
        </is>
      </c>
      <c r="B1453" t="inlineStr">
        <is>
          <t xml:space="preserve">054D</t>
        </is>
      </c>
    </row>
    <row r="1454" customFormat="false" ht="12.8" hidden="false" customHeight="false" outlineLevel="0" collapsed="false">
      <c r="A1454" t="inlineStr">
        <is>
          <t xml:space="preserve">ARMENIAN_0574</t>
        </is>
      </c>
      <c r="B1454" t="inlineStr">
        <is>
          <t xml:space="preserve">0574</t>
        </is>
      </c>
    </row>
    <row r="1455" customFormat="false" ht="12.8" hidden="false" customHeight="false" outlineLevel="0" collapsed="false">
      <c r="A1455" t="inlineStr">
        <is>
          <t xml:space="preserve">ARMENIAN_0544</t>
        </is>
      </c>
      <c r="B1455" t="inlineStr">
        <is>
          <t xml:space="preserve">0544</t>
        </is>
      </c>
    </row>
    <row r="1456" customFormat="false" ht="12.8" hidden="false" customHeight="false" outlineLevel="0" collapsed="false">
      <c r="A1456" t="inlineStr">
        <is>
          <t xml:space="preserve">ARMENIAN_0578</t>
        </is>
      </c>
      <c r="B1456" t="inlineStr">
        <is>
          <t xml:space="preserve">0578</t>
        </is>
      </c>
    </row>
    <row r="1457" customFormat="false" ht="12.8" hidden="false" customHeight="false" outlineLevel="0" collapsed="false">
      <c r="A1457" t="inlineStr">
        <is>
          <t xml:space="preserve">ARMENIAN_0548</t>
        </is>
      </c>
      <c r="B1457" t="inlineStr">
        <is>
          <t xml:space="preserve">0548</t>
        </is>
      </c>
    </row>
    <row r="1458" customFormat="false" ht="12.8" hidden="false" customHeight="false" outlineLevel="0" collapsed="false">
      <c r="A1458" t="inlineStr">
        <is>
          <t xml:space="preserve">ARMENIAN_0582</t>
        </is>
      </c>
      <c r="B1458" t="inlineStr">
        <is>
          <t xml:space="preserve">0582</t>
        </is>
      </c>
    </row>
    <row r="1459" customFormat="false" ht="12.8" hidden="false" customHeight="false" outlineLevel="0" collapsed="false">
      <c r="A1459" t="inlineStr">
        <is>
          <t xml:space="preserve">ARMENIAN_0552</t>
        </is>
      </c>
      <c r="B1459" t="inlineStr">
        <is>
          <t xml:space="preserve">0552</t>
        </is>
      </c>
    </row>
    <row r="1460" customFormat="false" ht="12.8" hidden="false" customHeight="false" outlineLevel="0" collapsed="false">
      <c r="A1460" t="inlineStr">
        <is>
          <t xml:space="preserve">ARMENIAN_056F</t>
        </is>
      </c>
      <c r="B1460" t="inlineStr">
        <is>
          <t xml:space="preserve">056F</t>
        </is>
      </c>
    </row>
    <row r="1461" customFormat="false" ht="12.8" hidden="false" customHeight="false" outlineLevel="0" collapsed="false">
      <c r="A1461" t="inlineStr">
        <is>
          <t xml:space="preserve">ARMENIAN_053F</t>
        </is>
      </c>
      <c r="B1461" t="inlineStr">
        <is>
          <t xml:space="preserve">053F</t>
        </is>
      </c>
    </row>
    <row r="1462" customFormat="false" ht="12.8" hidden="false" customHeight="false" outlineLevel="0" collapsed="false">
      <c r="A1462" t="inlineStr">
        <is>
          <t xml:space="preserve">ARMENIAN_0568</t>
        </is>
      </c>
      <c r="B1462" t="inlineStr">
        <is>
          <t xml:space="preserve">0568</t>
        </is>
      </c>
    </row>
    <row r="1463" customFormat="false" ht="12.8" hidden="false" customHeight="false" outlineLevel="0" collapsed="false">
      <c r="A1463" t="inlineStr">
        <is>
          <t xml:space="preserve">ARMENIAN_0538</t>
        </is>
      </c>
      <c r="B1463" t="inlineStr">
        <is>
          <t xml:space="preserve">0538</t>
        </is>
      </c>
    </row>
    <row r="1464" customFormat="false" ht="12.8" hidden="false" customHeight="false" outlineLevel="0" collapsed="false">
      <c r="A1464" t="inlineStr">
        <is>
          <t xml:space="preserve">ARMENIAN_0569</t>
        </is>
      </c>
      <c r="B1464" t="inlineStr">
        <is>
          <t xml:space="preserve">0569</t>
        </is>
      </c>
    </row>
    <row r="1465" customFormat="false" ht="12.8" hidden="false" customHeight="false" outlineLevel="0" collapsed="false">
      <c r="A1465" t="inlineStr">
        <is>
          <t xml:space="preserve">ARMENIAN_0539</t>
        </is>
      </c>
      <c r="B1465" t="inlineStr">
        <is>
          <t xml:space="preserve">0539</t>
        </is>
      </c>
    </row>
    <row r="1466" customFormat="false" ht="12.8" hidden="false" customHeight="false" outlineLevel="0" collapsed="false">
      <c r="A1466" t="inlineStr">
        <is>
          <t xml:space="preserve">ARMENIAN_056E</t>
        </is>
      </c>
      <c r="B1466" t="inlineStr">
        <is>
          <t xml:space="preserve">056E</t>
        </is>
      </c>
    </row>
    <row r="1467" customFormat="false" ht="12.8" hidden="false" customHeight="false" outlineLevel="0" collapsed="false">
      <c r="A1467" t="inlineStr">
        <is>
          <t xml:space="preserve">ARMENIAN_053E</t>
        </is>
      </c>
      <c r="B1467" t="inlineStr">
        <is>
          <t xml:space="preserve">053E</t>
        </is>
      </c>
    </row>
    <row r="1468" customFormat="false" ht="12.8" hidden="false" customHeight="false" outlineLevel="0" collapsed="false">
      <c r="A1468" t="inlineStr">
        <is>
          <t xml:space="preserve">ARMENIAN_0581</t>
        </is>
      </c>
      <c r="B1468" t="inlineStr">
        <is>
          <t xml:space="preserve">0581</t>
        </is>
      </c>
    </row>
    <row r="1469" customFormat="false" ht="12.8" hidden="false" customHeight="false" outlineLevel="0" collapsed="false">
      <c r="A1469" t="inlineStr">
        <is>
          <t xml:space="preserve">ARMENIAN_0551</t>
        </is>
      </c>
      <c r="B1469" t="inlineStr">
        <is>
          <t xml:space="preserve">0551</t>
        </is>
      </c>
    </row>
    <row r="1470" customFormat="false" ht="12.8" hidden="false" customHeight="false" outlineLevel="0" collapsed="false">
      <c r="A1470" t="inlineStr">
        <is>
          <t xml:space="preserve">ARMENIAN_057B</t>
        </is>
      </c>
      <c r="B1470" t="inlineStr">
        <is>
          <t xml:space="preserve">057B</t>
        </is>
      </c>
    </row>
    <row r="1471" customFormat="false" ht="12.8" hidden="false" customHeight="false" outlineLevel="0" collapsed="false">
      <c r="A1471" t="inlineStr">
        <is>
          <t xml:space="preserve">ARMENIAN_054B</t>
        </is>
      </c>
      <c r="B1471" t="inlineStr">
        <is>
          <t xml:space="preserve">054B</t>
        </is>
      </c>
    </row>
    <row r="1472" customFormat="false" ht="12.8" hidden="false" customHeight="false" outlineLevel="0" collapsed="false">
      <c r="A1472" t="inlineStr">
        <is>
          <t xml:space="preserve">ARMENIAN_057E</t>
        </is>
      </c>
      <c r="B1472" t="inlineStr">
        <is>
          <t xml:space="preserve">057E</t>
        </is>
      </c>
    </row>
    <row r="1473" customFormat="false" ht="12.8" hidden="false" customHeight="false" outlineLevel="0" collapsed="false">
      <c r="A1473" t="inlineStr">
        <is>
          <t xml:space="preserve">ARMENIAN_054E</t>
        </is>
      </c>
      <c r="B1473" t="inlineStr">
        <is>
          <t xml:space="preserve">054E</t>
        </is>
      </c>
    </row>
    <row r="1474" customFormat="false" ht="12.8" hidden="false" customHeight="false" outlineLevel="0" collapsed="false">
      <c r="A1474" t="inlineStr">
        <is>
          <t xml:space="preserve">ARMENIAN_0563</t>
        </is>
      </c>
      <c r="B1474" t="inlineStr">
        <is>
          <t xml:space="preserve">0563</t>
        </is>
      </c>
    </row>
    <row r="1475" customFormat="false" ht="12.8" hidden="false" customHeight="false" outlineLevel="0" collapsed="false">
      <c r="A1475" t="inlineStr">
        <is>
          <t xml:space="preserve">ARMENIAN_0533</t>
        </is>
      </c>
      <c r="B1475" t="inlineStr">
        <is>
          <t xml:space="preserve">0533</t>
        </is>
      </c>
    </row>
    <row r="1476" customFormat="false" ht="12.8" hidden="false" customHeight="false" outlineLevel="0" collapsed="false">
      <c r="A1476" t="inlineStr">
        <is>
          <t xml:space="preserve">ARMENIAN_0565</t>
        </is>
      </c>
      <c r="B1476" t="inlineStr">
        <is>
          <t xml:space="preserve">0565</t>
        </is>
      </c>
    </row>
    <row r="1477" customFormat="false" ht="12.8" hidden="false" customHeight="false" outlineLevel="0" collapsed="false">
      <c r="A1477" t="inlineStr">
        <is>
          <t xml:space="preserve">ARMENIAN_0535</t>
        </is>
      </c>
      <c r="B1477" t="inlineStr">
        <is>
          <t xml:space="preserve">0535</t>
        </is>
      </c>
    </row>
    <row r="1478" customFormat="false" ht="12.8" hidden="false" customHeight="false" outlineLevel="0" collapsed="false">
      <c r="A1478" t="inlineStr">
        <is>
          <t xml:space="preserve">ARMENIAN_0561</t>
        </is>
      </c>
      <c r="B1478" t="inlineStr">
        <is>
          <t xml:space="preserve">0561</t>
        </is>
      </c>
    </row>
    <row r="1479" customFormat="false" ht="12.8" hidden="false" customHeight="false" outlineLevel="0" collapsed="false">
      <c r="A1479" t="inlineStr">
        <is>
          <t xml:space="preserve">ARMENIAN_0531</t>
        </is>
      </c>
      <c r="B1479" t="inlineStr">
        <is>
          <t xml:space="preserve">0531</t>
        </is>
      </c>
    </row>
    <row r="1480" customFormat="false" ht="12.8" hidden="false" customHeight="false" outlineLevel="0" collapsed="false">
      <c r="A1480" t="inlineStr">
        <is>
          <t xml:space="preserve">ARMENIAN_0576</t>
        </is>
      </c>
      <c r="B1480" t="inlineStr">
        <is>
          <t xml:space="preserve">0576</t>
        </is>
      </c>
    </row>
    <row r="1481" customFormat="false" ht="12.8" hidden="false" customHeight="false" outlineLevel="0" collapsed="false">
      <c r="A1481" t="inlineStr">
        <is>
          <t xml:space="preserve">ARMENIAN_0546</t>
        </is>
      </c>
      <c r="B1481" t="inlineStr">
        <is>
          <t xml:space="preserve">0546</t>
        </is>
      </c>
    </row>
    <row r="1482" customFormat="false" ht="12.8" hidden="false" customHeight="false" outlineLevel="0" collapsed="false">
      <c r="A1482" t="inlineStr">
        <is>
          <t xml:space="preserve">ARMENIAN_056B</t>
        </is>
      </c>
      <c r="B1482" t="inlineStr">
        <is>
          <t xml:space="preserve">056B</t>
        </is>
      </c>
    </row>
    <row r="1483" customFormat="false" ht="12.8" hidden="false" customHeight="false" outlineLevel="0" collapsed="false">
      <c r="A1483" t="inlineStr">
        <is>
          <t xml:space="preserve">ARMENIAN_053B</t>
        </is>
      </c>
      <c r="B1483" t="inlineStr">
        <is>
          <t xml:space="preserve">053B</t>
        </is>
      </c>
    </row>
    <row r="1484" customFormat="false" ht="12.8" hidden="false" customHeight="false" outlineLevel="0" collapsed="false">
      <c r="A1484" t="inlineStr">
        <is>
          <t xml:space="preserve">ARMENIAN_057F</t>
        </is>
      </c>
      <c r="B1484" t="inlineStr">
        <is>
          <t xml:space="preserve">057F</t>
        </is>
      </c>
    </row>
    <row r="1485" customFormat="false" ht="12.8" hidden="false" customHeight="false" outlineLevel="0" collapsed="false">
      <c r="A1485" t="inlineStr">
        <is>
          <t xml:space="preserve">ARMENIAN_054F</t>
        </is>
      </c>
      <c r="B1485" t="inlineStr">
        <is>
          <t xml:space="preserve">054F</t>
        </is>
      </c>
    </row>
    <row r="1486" customFormat="false" ht="12.8" hidden="false" customHeight="false" outlineLevel="0" collapsed="false">
      <c r="A1486" t="inlineStr">
        <is>
          <t xml:space="preserve">ARMENIAN_0570</t>
        </is>
      </c>
      <c r="B1486" t="inlineStr">
        <is>
          <t xml:space="preserve">0570</t>
        </is>
      </c>
    </row>
    <row r="1487" customFormat="false" ht="12.8" hidden="false" customHeight="false" outlineLevel="0" collapsed="false">
      <c r="A1487" t="inlineStr">
        <is>
          <t xml:space="preserve">ARMENIAN_0540</t>
        </is>
      </c>
      <c r="B1487" t="inlineStr">
        <is>
          <t xml:space="preserve">0540</t>
        </is>
      </c>
    </row>
    <row r="1488" customFormat="false" ht="12.8" hidden="false" customHeight="false" outlineLevel="0" collapsed="false">
      <c r="A1488" t="inlineStr">
        <is>
          <t xml:space="preserve">ARMENIAN_057A</t>
        </is>
      </c>
      <c r="B1488" t="inlineStr">
        <is>
          <t xml:space="preserve">057A</t>
        </is>
      </c>
    </row>
    <row r="1489" customFormat="false" ht="12.8" hidden="false" customHeight="false" outlineLevel="0" collapsed="false">
      <c r="A1489" t="inlineStr">
        <is>
          <t xml:space="preserve">ARMENIAN_054A</t>
        </is>
      </c>
      <c r="B1489" t="inlineStr">
        <is>
          <t xml:space="preserve">054A</t>
        </is>
      </c>
    </row>
    <row r="1490" customFormat="false" ht="12.8" hidden="false" customHeight="false" outlineLevel="0" collapsed="false">
      <c r="A1490" t="inlineStr">
        <is>
          <t xml:space="preserve">ARMENIAN_0580</t>
        </is>
      </c>
      <c r="B1490" t="inlineStr">
        <is>
          <t xml:space="preserve">0580</t>
        </is>
      </c>
    </row>
    <row r="1491" customFormat="false" ht="12.8" hidden="false" customHeight="false" outlineLevel="0" collapsed="false">
      <c r="A1491" t="inlineStr">
        <is>
          <t xml:space="preserve">ARMENIAN_0550</t>
        </is>
      </c>
      <c r="B1491" t="inlineStr">
        <is>
          <t xml:space="preserve">0550</t>
        </is>
      </c>
    </row>
    <row r="1492" customFormat="false" ht="12.8" hidden="false" customHeight="false" outlineLevel="0" collapsed="false">
      <c r="A1492" t="inlineStr">
        <is>
          <t xml:space="preserve">ARMENIAN_056A</t>
        </is>
      </c>
      <c r="B1492" t="inlineStr">
        <is>
          <t xml:space="preserve">056A</t>
        </is>
      </c>
    </row>
    <row r="1493" customFormat="false" ht="12.8" hidden="false" customHeight="false" outlineLevel="0" collapsed="false">
      <c r="A1493" t="inlineStr">
        <is>
          <t xml:space="preserve">ARMENIAN_053A</t>
        </is>
      </c>
      <c r="B1493" t="inlineStr">
        <is>
          <t xml:space="preserve">053A</t>
        </is>
      </c>
    </row>
    <row r="1494" customFormat="false" ht="12.8" hidden="false" customHeight="false" outlineLevel="0" collapsed="false">
      <c r="A1494" t="inlineStr">
        <is>
          <t xml:space="preserve">ARMENIAN_0564</t>
        </is>
      </c>
      <c r="B1494" t="inlineStr">
        <is>
          <t xml:space="preserve">0564</t>
        </is>
      </c>
    </row>
    <row r="1495" customFormat="false" ht="12.8" hidden="false" customHeight="false" outlineLevel="0" collapsed="false">
      <c r="A1495" t="inlineStr">
        <is>
          <t xml:space="preserve">ARMENIAN_0534</t>
        </is>
      </c>
      <c r="B1495" t="inlineStr">
        <is>
          <t xml:space="preserve">0534</t>
        </is>
      </c>
    </row>
    <row r="1496" customFormat="false" ht="12.8" hidden="false" customHeight="false" outlineLevel="0" collapsed="false">
      <c r="A1496" t="inlineStr">
        <is>
          <t xml:space="preserve">ARMENIAN_0579</t>
        </is>
      </c>
      <c r="B1496" t="inlineStr">
        <is>
          <t xml:space="preserve">0579</t>
        </is>
      </c>
    </row>
    <row r="1497" customFormat="false" ht="12.8" hidden="false" customHeight="false" outlineLevel="0" collapsed="false">
      <c r="A1497" t="inlineStr">
        <is>
          <t xml:space="preserve">ARMENIAN_0549</t>
        </is>
      </c>
      <c r="B1497" t="inlineStr">
        <is>
          <t xml:space="preserve">0549</t>
        </is>
      </c>
    </row>
    <row r="1498" customFormat="false" ht="12.8" hidden="false" customHeight="false" outlineLevel="0" collapsed="false">
      <c r="A1498" t="inlineStr">
        <is>
          <t xml:space="preserve">ARMENIAN_0575</t>
        </is>
      </c>
      <c r="B1498" t="inlineStr">
        <is>
          <t xml:space="preserve">0575</t>
        </is>
      </c>
    </row>
    <row r="1499" customFormat="false" ht="12.8" hidden="false" customHeight="false" outlineLevel="0" collapsed="false">
      <c r="A1499" t="inlineStr">
        <is>
          <t xml:space="preserve">ARMENIAN_0545</t>
        </is>
      </c>
      <c r="B1499" t="inlineStr">
        <is>
          <t xml:space="preserve">0545</t>
        </is>
      </c>
    </row>
    <row r="1500" customFormat="false" ht="12.8" hidden="false" customHeight="false" outlineLevel="0" collapsed="false">
      <c r="A1500" t="inlineStr">
        <is>
          <t xml:space="preserve">ARMENIAN_0566</t>
        </is>
      </c>
      <c r="B1500" t="inlineStr">
        <is>
          <t xml:space="preserve">0566</t>
        </is>
      </c>
    </row>
    <row r="1501" customFormat="false" ht="12.8" hidden="false" customHeight="false" outlineLevel="0" collapsed="false">
      <c r="A1501" t="inlineStr">
        <is>
          <t xml:space="preserve">ARMENIAN_0536</t>
        </is>
      </c>
      <c r="B1501" t="inlineStr">
        <is>
          <t xml:space="preserve">0536</t>
        </is>
      </c>
    </row>
    <row r="1502" customFormat="false" ht="12.8" hidden="false" customHeight="false" outlineLevel="0" collapsed="false">
      <c r="A1502" t="inlineStr">
        <is>
          <t xml:space="preserve">ARMENIAN_056C</t>
        </is>
      </c>
      <c r="B1502" t="inlineStr">
        <is>
          <t xml:space="preserve">056C</t>
        </is>
      </c>
    </row>
    <row r="1503" customFormat="false" ht="12.8" hidden="false" customHeight="false" outlineLevel="0" collapsed="false">
      <c r="A1503" t="inlineStr">
        <is>
          <t xml:space="preserve">ARMENIAN_053C</t>
        </is>
      </c>
      <c r="B1503" t="inlineStr">
        <is>
          <t xml:space="preserve">053C</t>
        </is>
      </c>
    </row>
    <row r="1504" customFormat="false" ht="12.8" hidden="false" customHeight="false" outlineLevel="0" collapsed="false">
      <c r="A1504" t="inlineStr">
        <is>
          <t xml:space="preserve">ARMENIAN_0584</t>
        </is>
      </c>
      <c r="B1504" t="inlineStr">
        <is>
          <t xml:space="preserve">0584</t>
        </is>
      </c>
    </row>
    <row r="1505" customFormat="false" ht="12.8" hidden="false" customHeight="false" outlineLevel="0" collapsed="false">
      <c r="A1505" t="inlineStr">
        <is>
          <t xml:space="preserve">ARMENIAN_0554</t>
        </is>
      </c>
      <c r="B1505" t="inlineStr">
        <is>
          <t xml:space="preserve">0554</t>
        </is>
      </c>
    </row>
    <row r="1506" customFormat="false" ht="12.8" hidden="false" customHeight="false" outlineLevel="0" collapsed="false">
      <c r="A1506" t="inlineStr">
        <is>
          <t xml:space="preserve">ARMENIAN_056D</t>
        </is>
      </c>
      <c r="B1506" t="inlineStr">
        <is>
          <t xml:space="preserve">056D</t>
        </is>
      </c>
    </row>
    <row r="1507" customFormat="false" ht="12.8" hidden="false" customHeight="false" outlineLevel="0" collapsed="false">
      <c r="A1507" t="inlineStr">
        <is>
          <t xml:space="preserve">ARMENIAN_053D</t>
        </is>
      </c>
      <c r="B1507" t="inlineStr">
        <is>
          <t xml:space="preserve">053D</t>
        </is>
      </c>
    </row>
    <row r="1508" customFormat="false" ht="12.8" hidden="false" customHeight="false" outlineLevel="0" collapsed="false">
      <c r="A1508" t="inlineStr">
        <is>
          <t xml:space="preserve">ARMENIAN_0577</t>
        </is>
      </c>
      <c r="B1508" t="inlineStr">
        <is>
          <t xml:space="preserve">0577</t>
        </is>
      </c>
    </row>
    <row r="1509" customFormat="false" ht="12.8" hidden="false" customHeight="false" outlineLevel="0" collapsed="false">
      <c r="A1509" t="inlineStr">
        <is>
          <t xml:space="preserve">ARMENIAN_0547</t>
        </is>
      </c>
      <c r="B1509" t="inlineStr">
        <is>
          <t xml:space="preserve">0547</t>
        </is>
      </c>
    </row>
    <row r="1510" customFormat="false" ht="12.8" hidden="false" customHeight="false" outlineLevel="0" collapsed="false">
      <c r="A1510" t="inlineStr">
        <is>
          <t xml:space="preserve">ARMENIAN_057C</t>
        </is>
      </c>
      <c r="B1510" t="inlineStr">
        <is>
          <t xml:space="preserve">057C</t>
        </is>
      </c>
    </row>
    <row r="1511" customFormat="false" ht="12.8" hidden="false" customHeight="false" outlineLevel="0" collapsed="false">
      <c r="A1511" t="inlineStr">
        <is>
          <t xml:space="preserve">ARMENIAN_054C</t>
        </is>
      </c>
      <c r="B1511" t="inlineStr">
        <is>
          <t xml:space="preserve">054C</t>
        </is>
      </c>
    </row>
    <row r="1512" customFormat="false" ht="12.8" hidden="false" customHeight="false" outlineLevel="0" collapsed="false">
      <c r="A1512" t="inlineStr">
        <is>
          <t xml:space="preserve">ZHUYIN_3105</t>
        </is>
      </c>
      <c r="B1512" t="inlineStr">
        <is>
          <t xml:space="preserve">3105</t>
        </is>
      </c>
    </row>
    <row r="1513" customFormat="false" ht="12.8" hidden="false" customHeight="false" outlineLevel="0" collapsed="false">
      <c r="A1513" t="inlineStr">
        <is>
          <t xml:space="preserve">ZHUYIN_3106</t>
        </is>
      </c>
      <c r="B1513" t="inlineStr">
        <is>
          <t xml:space="preserve">3106</t>
        </is>
      </c>
    </row>
    <row r="1514" customFormat="false" ht="12.8" hidden="false" customHeight="false" outlineLevel="0" collapsed="false">
      <c r="A1514" t="inlineStr">
        <is>
          <t xml:space="preserve">ZHUYIN_3107</t>
        </is>
      </c>
      <c r="B1514" t="inlineStr">
        <is>
          <t xml:space="preserve">3107</t>
        </is>
      </c>
    </row>
    <row r="1515" customFormat="false" ht="12.8" hidden="false" customHeight="false" outlineLevel="0" collapsed="false">
      <c r="A1515" t="inlineStr">
        <is>
          <t xml:space="preserve">ZHUYIN_3108</t>
        </is>
      </c>
      <c r="B1515" t="inlineStr">
        <is>
          <t xml:space="preserve">3108</t>
        </is>
      </c>
    </row>
    <row r="1516" customFormat="false" ht="12.8" hidden="false" customHeight="false" outlineLevel="0" collapsed="false">
      <c r="A1516" t="inlineStr">
        <is>
          <t xml:space="preserve">ZHUYIN_3109</t>
        </is>
      </c>
      <c r="B1516" t="inlineStr">
        <is>
          <t xml:space="preserve">3109</t>
        </is>
      </c>
    </row>
    <row r="1517" customFormat="false" ht="12.8" hidden="false" customHeight="false" outlineLevel="0" collapsed="false">
      <c r="A1517" t="inlineStr">
        <is>
          <t xml:space="preserve">ZHUYIN_310A</t>
        </is>
      </c>
      <c r="B1517" t="inlineStr">
        <is>
          <t xml:space="preserve">310A</t>
        </is>
      </c>
    </row>
    <row r="1518" customFormat="false" ht="12.8" hidden="false" customHeight="false" outlineLevel="0" collapsed="false">
      <c r="A1518" t="inlineStr">
        <is>
          <t xml:space="preserve">ZHUYIN_310B</t>
        </is>
      </c>
      <c r="B1518" t="inlineStr">
        <is>
          <t xml:space="preserve">310B</t>
        </is>
      </c>
    </row>
    <row r="1519" customFormat="false" ht="12.8" hidden="false" customHeight="false" outlineLevel="0" collapsed="false">
      <c r="A1519" t="inlineStr">
        <is>
          <t xml:space="preserve">ZHUYIN_310C</t>
        </is>
      </c>
      <c r="B1519" t="inlineStr">
        <is>
          <t xml:space="preserve">310C</t>
        </is>
      </c>
    </row>
    <row r="1520" customFormat="false" ht="12.8" hidden="false" customHeight="false" outlineLevel="0" collapsed="false">
      <c r="A1520" t="inlineStr">
        <is>
          <t xml:space="preserve">ZHUYIN_310D</t>
        </is>
      </c>
      <c r="B1520" t="inlineStr">
        <is>
          <t xml:space="preserve">310D</t>
        </is>
      </c>
    </row>
    <row r="1521" customFormat="false" ht="12.8" hidden="false" customHeight="false" outlineLevel="0" collapsed="false">
      <c r="A1521" t="inlineStr">
        <is>
          <t xml:space="preserve">ZHUYIN_310E</t>
        </is>
      </c>
      <c r="B1521" t="inlineStr">
        <is>
          <t xml:space="preserve">310E</t>
        </is>
      </c>
    </row>
    <row r="1522" customFormat="false" ht="12.8" hidden="false" customHeight="false" outlineLevel="0" collapsed="false">
      <c r="A1522" t="inlineStr">
        <is>
          <t xml:space="preserve">ZHUYIN_310F</t>
        </is>
      </c>
      <c r="B1522" t="inlineStr">
        <is>
          <t xml:space="preserve">310F</t>
        </is>
      </c>
    </row>
    <row r="1523" customFormat="false" ht="12.8" hidden="false" customHeight="false" outlineLevel="0" collapsed="false">
      <c r="A1523" t="inlineStr">
        <is>
          <t xml:space="preserve">ZHUYIN_3110</t>
        </is>
      </c>
      <c r="B1523" t="inlineStr">
        <is>
          <t xml:space="preserve">3110</t>
        </is>
      </c>
    </row>
    <row r="1524" customFormat="false" ht="12.8" hidden="false" customHeight="false" outlineLevel="0" collapsed="false">
      <c r="A1524" t="inlineStr">
        <is>
          <t xml:space="preserve">ZHUYIN_3111</t>
        </is>
      </c>
      <c r="B1524" t="inlineStr">
        <is>
          <t xml:space="preserve">3111</t>
        </is>
      </c>
    </row>
    <row r="1525" customFormat="false" ht="12.8" hidden="false" customHeight="false" outlineLevel="0" collapsed="false">
      <c r="A1525" t="inlineStr">
        <is>
          <t xml:space="preserve">ZHUYIN_3112</t>
        </is>
      </c>
      <c r="B1525" t="inlineStr">
        <is>
          <t xml:space="preserve">3112</t>
        </is>
      </c>
    </row>
    <row r="1526" customFormat="false" ht="12.8" hidden="false" customHeight="false" outlineLevel="0" collapsed="false">
      <c r="A1526" t="inlineStr">
        <is>
          <t xml:space="preserve">ZHUYIN_3113</t>
        </is>
      </c>
      <c r="B1526" t="inlineStr">
        <is>
          <t xml:space="preserve">3113</t>
        </is>
      </c>
    </row>
    <row r="1527" customFormat="false" ht="12.8" hidden="false" customHeight="false" outlineLevel="0" collapsed="false">
      <c r="A1527" t="inlineStr">
        <is>
          <t xml:space="preserve">ZHUYIN_3114</t>
        </is>
      </c>
      <c r="B1527" t="inlineStr">
        <is>
          <t xml:space="preserve">3114</t>
        </is>
      </c>
    </row>
    <row r="1528" customFormat="false" ht="12.8" hidden="false" customHeight="false" outlineLevel="0" collapsed="false">
      <c r="A1528" t="inlineStr">
        <is>
          <t xml:space="preserve">ZHUYIN_3115</t>
        </is>
      </c>
      <c r="B1528" t="inlineStr">
        <is>
          <t xml:space="preserve">3115</t>
        </is>
      </c>
    </row>
    <row r="1529" customFormat="false" ht="12.8" hidden="false" customHeight="false" outlineLevel="0" collapsed="false">
      <c r="A1529" t="inlineStr">
        <is>
          <t xml:space="preserve">ZHUYIN_3116</t>
        </is>
      </c>
      <c r="B1529" t="inlineStr">
        <is>
          <t xml:space="preserve">3116</t>
        </is>
      </c>
    </row>
    <row r="1530" customFormat="false" ht="12.8" hidden="false" customHeight="false" outlineLevel="0" collapsed="false">
      <c r="A1530" t="inlineStr">
        <is>
          <t xml:space="preserve">ZHUYIN_3117</t>
        </is>
      </c>
      <c r="B1530" t="inlineStr">
        <is>
          <t xml:space="preserve">3117</t>
        </is>
      </c>
    </row>
    <row r="1531" customFormat="false" ht="12.8" hidden="false" customHeight="false" outlineLevel="0" collapsed="false">
      <c r="A1531" t="inlineStr">
        <is>
          <t xml:space="preserve">ZHUYIN_3118</t>
        </is>
      </c>
      <c r="B1531" t="inlineStr">
        <is>
          <t xml:space="preserve">3118</t>
        </is>
      </c>
    </row>
    <row r="1532" customFormat="false" ht="12.8" hidden="false" customHeight="false" outlineLevel="0" collapsed="false">
      <c r="A1532" t="inlineStr">
        <is>
          <t xml:space="preserve">ZHUYIN_3119</t>
        </is>
      </c>
      <c r="B1532" t="inlineStr">
        <is>
          <t xml:space="preserve">3119</t>
        </is>
      </c>
    </row>
    <row r="1533" customFormat="false" ht="12.8" hidden="false" customHeight="false" outlineLevel="0" collapsed="false">
      <c r="A1533" t="inlineStr">
        <is>
          <t xml:space="preserve">ZHUYIN_3127</t>
        </is>
      </c>
      <c r="B1533" t="inlineStr">
        <is>
          <t xml:space="preserve">3127</t>
        </is>
      </c>
    </row>
    <row r="1534" customFormat="false" ht="12.8" hidden="false" customHeight="false" outlineLevel="0" collapsed="false">
      <c r="A1534" t="inlineStr">
        <is>
          <t xml:space="preserve">ZHUYIN_3128</t>
        </is>
      </c>
      <c r="B1534" t="inlineStr">
        <is>
          <t xml:space="preserve">3128</t>
        </is>
      </c>
    </row>
    <row r="1535" customFormat="false" ht="12.8" hidden="false" customHeight="false" outlineLevel="0" collapsed="false">
      <c r="A1535" t="inlineStr">
        <is>
          <t xml:space="preserve">ZHUYIN_3129</t>
        </is>
      </c>
      <c r="B1535" t="inlineStr">
        <is>
          <t xml:space="preserve">3129</t>
        </is>
      </c>
    </row>
    <row r="1536" customFormat="false" ht="12.8" hidden="false" customHeight="false" outlineLevel="0" collapsed="false">
      <c r="A1536" t="inlineStr">
        <is>
          <t xml:space="preserve">ZHUYIN_311A</t>
        </is>
      </c>
      <c r="B1536" t="inlineStr">
        <is>
          <t xml:space="preserve">311A</t>
        </is>
      </c>
    </row>
    <row r="1537" customFormat="false" ht="12.8" hidden="false" customHeight="false" outlineLevel="0" collapsed="false">
      <c r="A1537" t="inlineStr">
        <is>
          <t xml:space="preserve">ZHUYIN_311B</t>
        </is>
      </c>
      <c r="B1537" t="inlineStr">
        <is>
          <t xml:space="preserve">311B</t>
        </is>
      </c>
    </row>
    <row r="1538" customFormat="false" ht="12.8" hidden="false" customHeight="false" outlineLevel="0" collapsed="false">
      <c r="A1538" t="inlineStr">
        <is>
          <t xml:space="preserve">ZHUYIN_311C</t>
        </is>
      </c>
      <c r="B1538" t="inlineStr">
        <is>
          <t xml:space="preserve">311C</t>
        </is>
      </c>
    </row>
    <row r="1539" customFormat="false" ht="12.8" hidden="false" customHeight="false" outlineLevel="0" collapsed="false">
      <c r="A1539" t="inlineStr">
        <is>
          <t xml:space="preserve">ZHUYIN_311D</t>
        </is>
      </c>
      <c r="B1539" t="inlineStr">
        <is>
          <t xml:space="preserve">311D</t>
        </is>
      </c>
    </row>
    <row r="1540" customFormat="false" ht="12.8" hidden="false" customHeight="false" outlineLevel="0" collapsed="false">
      <c r="A1540" t="inlineStr">
        <is>
          <t xml:space="preserve">ZHUYIN_311E</t>
        </is>
      </c>
      <c r="B1540" t="inlineStr">
        <is>
          <t xml:space="preserve">311E</t>
        </is>
      </c>
    </row>
    <row r="1541" customFormat="false" ht="12.8" hidden="false" customHeight="false" outlineLevel="0" collapsed="false">
      <c r="A1541" t="inlineStr">
        <is>
          <t xml:space="preserve">ZHUYIN_311F</t>
        </is>
      </c>
      <c r="B1541" t="inlineStr">
        <is>
          <t xml:space="preserve">311F</t>
        </is>
      </c>
    </row>
    <row r="1542" customFormat="false" ht="12.8" hidden="false" customHeight="false" outlineLevel="0" collapsed="false">
      <c r="A1542" t="inlineStr">
        <is>
          <t xml:space="preserve">ZHUYIN_3120</t>
        </is>
      </c>
      <c r="B1542" t="inlineStr">
        <is>
          <t xml:space="preserve">3120</t>
        </is>
      </c>
    </row>
    <row r="1543" customFormat="false" ht="12.8" hidden="false" customHeight="false" outlineLevel="0" collapsed="false">
      <c r="A1543" t="inlineStr">
        <is>
          <t xml:space="preserve">ZHUYIN_3121</t>
        </is>
      </c>
      <c r="B1543" t="inlineStr">
        <is>
          <t xml:space="preserve">3121</t>
        </is>
      </c>
    </row>
    <row r="1544" customFormat="false" ht="12.8" hidden="false" customHeight="false" outlineLevel="0" collapsed="false">
      <c r="A1544" t="inlineStr">
        <is>
          <t xml:space="preserve">ZHUYIN_3122</t>
        </is>
      </c>
      <c r="B1544" t="inlineStr">
        <is>
          <t xml:space="preserve">3122</t>
        </is>
      </c>
    </row>
    <row r="1545" customFormat="false" ht="12.8" hidden="false" customHeight="false" outlineLevel="0" collapsed="false">
      <c r="A1545" t="inlineStr">
        <is>
          <t xml:space="preserve">ZHUYIN_3123</t>
        </is>
      </c>
      <c r="B1545" t="inlineStr">
        <is>
          <t xml:space="preserve">3123</t>
        </is>
      </c>
    </row>
    <row r="1546" customFormat="false" ht="12.8" hidden="false" customHeight="false" outlineLevel="0" collapsed="false">
      <c r="A1546" t="inlineStr">
        <is>
          <t xml:space="preserve">ZHUYIN_3124</t>
        </is>
      </c>
      <c r="B1546" t="inlineStr">
        <is>
          <t xml:space="preserve">3124</t>
        </is>
      </c>
    </row>
    <row r="1547" customFormat="false" ht="12.8" hidden="false" customHeight="false" outlineLevel="0" collapsed="false">
      <c r="A1547" t="inlineStr">
        <is>
          <t xml:space="preserve">ZHUYIN_3125</t>
        </is>
      </c>
      <c r="B1547" t="inlineStr">
        <is>
          <t xml:space="preserve">3125</t>
        </is>
      </c>
    </row>
    <row r="1548" customFormat="false" ht="12.8" hidden="false" customHeight="false" outlineLevel="0" collapsed="false">
      <c r="A1548" t="inlineStr">
        <is>
          <t xml:space="preserve">ZHUYIN_3126</t>
        </is>
      </c>
      <c r="B1548" t="inlineStr">
        <is>
          <t xml:space="preserve">3126</t>
        </is>
      </c>
    </row>
    <row r="1549" customFormat="false" ht="12.8" hidden="false" customHeight="false" outlineLevel="0" collapsed="false">
      <c r="A1549" t="inlineStr">
        <is>
          <t xml:space="preserve">ZHUYIN_02C7</t>
        </is>
      </c>
      <c r="B1549" t="inlineStr">
        <is>
          <t xml:space="preserve">02C7</t>
        </is>
      </c>
    </row>
    <row r="1550" customFormat="false" ht="12.8" hidden="false" customHeight="false" outlineLevel="0" collapsed="false">
      <c r="A1550" t="inlineStr">
        <is>
          <t xml:space="preserve">ZHUYIN_02CB</t>
        </is>
      </c>
      <c r="B1550" t="inlineStr">
        <is>
          <t xml:space="preserve">02CB</t>
        </is>
      </c>
    </row>
    <row r="1551" customFormat="false" ht="12.8" hidden="false" customHeight="false" outlineLevel="0" collapsed="false">
      <c r="A1551" t="inlineStr">
        <is>
          <t xml:space="preserve">ZHUYIN_02CA</t>
        </is>
      </c>
      <c r="B1551" t="inlineStr">
        <is>
          <t xml:space="preserve">02CA</t>
        </is>
      </c>
    </row>
    <row r="1552" customFormat="false" ht="12.8" hidden="false" customHeight="false" outlineLevel="0" collapsed="false">
      <c r="A1552" t="inlineStr">
        <is>
          <t xml:space="preserve">ZHUYIN_02D9</t>
        </is>
      </c>
      <c r="B1552" t="inlineStr">
        <is>
          <t xml:space="preserve">02D9</t>
        </is>
      </c>
    </row>
    <row r="1553" customFormat="false" ht="12.8" hidden="false" customHeight="false" outlineLevel="0" collapsed="false">
      <c r="A1553" t="inlineStr">
        <is>
          <t xml:space="preserve">LATIN_0259</t>
        </is>
      </c>
      <c r="B1553" t="inlineStr">
        <is>
          <t xml:space="preserve">0259</t>
        </is>
      </c>
    </row>
    <row r="1554" customFormat="false" ht="12.8" hidden="false" customHeight="false" outlineLevel="0" collapsed="false">
      <c r="A1554" t="inlineStr">
        <is>
          <t xml:space="preserve">LATIN_018F</t>
        </is>
      </c>
      <c r="B1554" t="inlineStr">
        <is>
          <t xml:space="preserve">018F</t>
        </is>
      </c>
    </row>
    <row r="1555" customFormat="false" ht="12.8" hidden="false" customHeight="false" outlineLevel="0" collapsed="false">
      <c r="A1555" t="inlineStr">
        <is>
          <t xml:space="preserve">LATIN_01B0</t>
        </is>
      </c>
      <c r="B1555" t="inlineStr">
        <is>
          <t xml:space="preserve">01B0</t>
        </is>
      </c>
    </row>
    <row r="1556" customFormat="false" ht="12.8" hidden="false" customHeight="false" outlineLevel="0" collapsed="false">
      <c r="A1556" t="inlineStr">
        <is>
          <t xml:space="preserve">LATIN_01AF</t>
        </is>
      </c>
      <c r="B1556" t="inlineStr">
        <is>
          <t xml:space="preserve">01AF</t>
        </is>
      </c>
    </row>
    <row r="1557" customFormat="false" ht="12.8" hidden="false" customHeight="false" outlineLevel="0" collapsed="false">
      <c r="A1557" t="inlineStr">
        <is>
          <t xml:space="preserve">LATIN_01A1</t>
        </is>
      </c>
      <c r="B1557" t="inlineStr">
        <is>
          <t xml:space="preserve">01A1</t>
        </is>
      </c>
    </row>
    <row r="1558" customFormat="false" ht="12.8" hidden="false" customHeight="false" outlineLevel="0" collapsed="false">
      <c r="A1558" t="inlineStr">
        <is>
          <t xml:space="preserve">LATIN_01A0</t>
        </is>
      </c>
      <c r="B1558" t="inlineStr">
        <is>
          <t xml:space="preserve">01A0</t>
        </is>
      </c>
    </row>
    <row r="1559" customFormat="false" ht="12.8" hidden="false" customHeight="false" outlineLevel="0" collapsed="false">
      <c r="A1559" t="inlineStr">
        <is>
          <t xml:space="preserve">VIET_DC_0300</t>
        </is>
      </c>
      <c r="B1559" t="inlineStr">
        <is>
          <t xml:space="preserve">E1A0</t>
        </is>
      </c>
    </row>
    <row r="1560" customFormat="false" ht="12.8" hidden="false" customHeight="false" outlineLevel="0" collapsed="false">
      <c r="A1560" t="inlineStr">
        <is>
          <t xml:space="preserve">VIET_DC_0301</t>
        </is>
      </c>
      <c r="B1560" t="inlineStr">
        <is>
          <t xml:space="preserve">E1A1</t>
        </is>
      </c>
    </row>
    <row r="1561" customFormat="false" ht="12.8" hidden="false" customHeight="false" outlineLevel="0" collapsed="false">
      <c r="A1561" t="inlineStr">
        <is>
          <t xml:space="preserve">VIET_DC_0303</t>
        </is>
      </c>
      <c r="B1561" t="inlineStr">
        <is>
          <t xml:space="preserve">E1A2</t>
        </is>
      </c>
    </row>
    <row r="1562" customFormat="false" ht="12.8" hidden="false" customHeight="false" outlineLevel="0" collapsed="false">
      <c r="A1562" t="inlineStr">
        <is>
          <t xml:space="preserve">VIET_DC_0309</t>
        </is>
      </c>
      <c r="B1562" t="inlineStr">
        <is>
          <t xml:space="preserve">E1A3</t>
        </is>
      </c>
    </row>
    <row r="1563" customFormat="false" ht="12.8" hidden="false" customHeight="false" outlineLevel="0" collapsed="false">
      <c r="A1563" t="inlineStr">
        <is>
          <t xml:space="preserve">VIET_DC_0323</t>
        </is>
      </c>
      <c r="B1563" t="inlineStr">
        <is>
          <t xml:space="preserve">E1A4</t>
        </is>
      </c>
    </row>
    <row r="1564" customFormat="false" ht="12.8" hidden="false" customHeight="false" outlineLevel="0" collapsed="false">
      <c r="A1564" t="inlineStr">
        <is>
          <t xml:space="preserve">CJK_91CD</t>
        </is>
      </c>
      <c r="B1564" t="inlineStr">
        <is>
          <t xml:space="preserve">91CD</t>
        </is>
      </c>
    </row>
    <row r="1565" customFormat="false" ht="12.8" hidden="false" customHeight="false" outlineLevel="0" collapsed="false">
      <c r="A1565" t="inlineStr">
        <is>
          <t xml:space="preserve">OKINA</t>
        </is>
      </c>
      <c r="B1565" t="inlineStr">
        <is>
          <t xml:space="preserve">2BB</t>
        </is>
      </c>
    </row>
    <row r="1566" customFormat="false" ht="12.8" hidden="false" customHeight="false" outlineLevel="0" collapsed="false">
      <c r="A1566" t="inlineStr">
        <is>
          <t xml:space="preserve">NAIRA_SIGN</t>
        </is>
      </c>
      <c r="B1566" t="inlineStr">
        <is>
          <t xml:space="preserve">20A6</t>
        </is>
      </c>
    </row>
    <row r="1567" customFormat="false" ht="12.8" hidden="false" customHeight="false" outlineLevel="0" collapsed="false">
      <c r="A1567" t="inlineStr">
        <is>
          <t xml:space="preserve">LATIN_1E62</t>
        </is>
      </c>
      <c r="B1567" t="inlineStr">
        <is>
          <t xml:space="preserve">1E62</t>
        </is>
      </c>
    </row>
    <row r="1568" customFormat="false" ht="12.8" hidden="false" customHeight="false" outlineLevel="0" collapsed="false">
      <c r="A1568" t="inlineStr">
        <is>
          <t xml:space="preserve">LATIN_1E63</t>
        </is>
      </c>
      <c r="B1568" t="inlineStr">
        <is>
          <t xml:space="preserve">1E63</t>
        </is>
      </c>
    </row>
    <row r="1569" customFormat="false" ht="12.8" hidden="false" customHeight="false" outlineLevel="0" collapsed="false">
      <c r="A1569" t="inlineStr">
        <is>
          <t xml:space="preserve">LATIN_1EB8</t>
        </is>
      </c>
      <c r="B1569" t="inlineStr">
        <is>
          <t xml:space="preserve">1EB8</t>
        </is>
      </c>
    </row>
    <row r="1570" customFormat="false" ht="12.8" hidden="false" customHeight="false" outlineLevel="0" collapsed="false">
      <c r="A1570" t="inlineStr">
        <is>
          <t xml:space="preserve">LATIN_1EB9</t>
        </is>
      </c>
      <c r="B1570" t="inlineStr">
        <is>
          <t xml:space="preserve">1EB9</t>
        </is>
      </c>
    </row>
    <row r="1571" customFormat="false" ht="12.8" hidden="false" customHeight="false" outlineLevel="0" collapsed="false">
      <c r="A1571" t="inlineStr">
        <is>
          <t xml:space="preserve">LATIN_1ECC</t>
        </is>
      </c>
      <c r="B1571" t="inlineStr">
        <is>
          <t xml:space="preserve">1ECC</t>
        </is>
      </c>
    </row>
    <row r="1572" customFormat="false" ht="12.8" hidden="false" customHeight="false" outlineLevel="0" collapsed="false">
      <c r="A1572" t="inlineStr">
        <is>
          <t xml:space="preserve">LATIN_1ECD</t>
        </is>
      </c>
      <c r="B1572" t="inlineStr">
        <is>
          <t xml:space="preserve">1ECD</t>
        </is>
      </c>
    </row>
    <row r="1573" customFormat="false" ht="12.8" hidden="false" customHeight="false" outlineLevel="0" collapsed="false">
      <c r="A1573" t="inlineStr">
        <is>
          <t xml:space="preserve">ARABIC_REH_V</t>
        </is>
      </c>
      <c r="B1573" t="inlineStr">
        <is>
          <t xml:space="preserve">695</t>
        </is>
      </c>
    </row>
    <row r="1574" customFormat="false" ht="12.8" hidden="false" customHeight="false" outlineLevel="0" collapsed="false">
      <c r="A1574" t="inlineStr">
        <is>
          <t xml:space="preserve">ARABIC_VEH</t>
        </is>
      </c>
      <c r="B1574" t="inlineStr">
        <is>
          <t xml:space="preserve">6A4</t>
        </is>
      </c>
    </row>
    <row r="1575" customFormat="false" ht="12.8" hidden="false" customHeight="false" outlineLevel="0" collapsed="false">
      <c r="A1575" t="inlineStr">
        <is>
          <t xml:space="preserve">ARABIC_LAM_V</t>
        </is>
      </c>
      <c r="B1575" t="inlineStr">
        <is>
          <t xml:space="preserve">6B5</t>
        </is>
      </c>
    </row>
    <row r="1576" customFormat="false" ht="12.8" hidden="false" customHeight="false" outlineLevel="0" collapsed="false">
      <c r="A1576" t="inlineStr">
        <is>
          <t xml:space="preserve">ARABIC_OE</t>
        </is>
      </c>
      <c r="B1576" t="inlineStr">
        <is>
          <t xml:space="preserve">6C6</t>
        </is>
      </c>
    </row>
    <row r="1577" customFormat="false" ht="12.8" hidden="false" customHeight="false" outlineLevel="0" collapsed="false">
      <c r="A1577" t="inlineStr">
        <is>
          <t xml:space="preserve">ARABIC_YEH_V</t>
        </is>
      </c>
      <c r="B1577" t="inlineStr">
        <is>
          <t xml:space="preserve">6CE</t>
        </is>
      </c>
    </row>
    <row r="1578" customFormat="false" ht="12.8" hidden="false" customHeight="false" outlineLevel="0" collapsed="false">
      <c r="A1578" t="inlineStr">
        <is>
          <t xml:space="preserve">ARABIC_AE</t>
        </is>
      </c>
      <c r="B1578" t="inlineStr">
        <is>
          <t xml:space="preserve">6D5</t>
        </is>
      </c>
    </row>
    <row r="1579" customFormat="false" ht="12.8" hidden="false" customHeight="false" outlineLevel="0" collapsed="false">
      <c r="A1579" t="inlineStr">
        <is>
          <t xml:space="preserve">ETHIOPIC_1200</t>
        </is>
      </c>
      <c r="B1579" t="inlineStr">
        <is>
          <t xml:space="preserve">1200</t>
        </is>
      </c>
    </row>
    <row r="1580" customFormat="false" ht="12.8" hidden="false" customHeight="false" outlineLevel="0" collapsed="false">
      <c r="A1580" t="inlineStr">
        <is>
          <t xml:space="preserve">ETHIOPIC_1208</t>
        </is>
      </c>
      <c r="B1580" t="inlineStr">
        <is>
          <t xml:space="preserve">1208</t>
        </is>
      </c>
    </row>
    <row r="1581" customFormat="false" ht="12.8" hidden="false" customHeight="false" outlineLevel="0" collapsed="false">
      <c r="A1581" t="inlineStr">
        <is>
          <t xml:space="preserve">ETHIOPIC_1210</t>
        </is>
      </c>
      <c r="B1581" t="inlineStr">
        <is>
          <t xml:space="preserve">1210</t>
        </is>
      </c>
    </row>
    <row r="1582" customFormat="false" ht="12.8" hidden="false" customHeight="false" outlineLevel="0" collapsed="false">
      <c r="A1582" t="inlineStr">
        <is>
          <t xml:space="preserve">ETHIOPIC_1218</t>
        </is>
      </c>
      <c r="B1582" t="inlineStr">
        <is>
          <t xml:space="preserve">1218</t>
        </is>
      </c>
    </row>
    <row r="1583" customFormat="false" ht="12.8" hidden="false" customHeight="false" outlineLevel="0" collapsed="false">
      <c r="A1583" t="inlineStr">
        <is>
          <t xml:space="preserve">ETHIOPIC_1220</t>
        </is>
      </c>
      <c r="B1583" t="inlineStr">
        <is>
          <t xml:space="preserve">1220</t>
        </is>
      </c>
    </row>
    <row r="1584" customFormat="false" ht="12.8" hidden="false" customHeight="false" outlineLevel="0" collapsed="false">
      <c r="A1584" t="inlineStr">
        <is>
          <t xml:space="preserve">ETHIOPIC_1228</t>
        </is>
      </c>
      <c r="B1584" t="inlineStr">
        <is>
          <t xml:space="preserve">1228</t>
        </is>
      </c>
    </row>
    <row r="1585" customFormat="false" ht="12.8" hidden="false" customHeight="false" outlineLevel="0" collapsed="false">
      <c r="A1585" t="inlineStr">
        <is>
          <t xml:space="preserve">ETHIOPIC_1230</t>
        </is>
      </c>
      <c r="B1585" t="inlineStr">
        <is>
          <t xml:space="preserve">1230</t>
        </is>
      </c>
    </row>
    <row r="1586" customFormat="false" ht="12.8" hidden="false" customHeight="false" outlineLevel="0" collapsed="false">
      <c r="A1586" t="inlineStr">
        <is>
          <t xml:space="preserve">ETHIOPIC_1238</t>
        </is>
      </c>
      <c r="B1586" t="inlineStr">
        <is>
          <t xml:space="preserve">1238</t>
        </is>
      </c>
    </row>
    <row r="1587" customFormat="false" ht="12.8" hidden="false" customHeight="false" outlineLevel="0" collapsed="false">
      <c r="A1587" t="inlineStr">
        <is>
          <t xml:space="preserve">ETHIOPIC_1240</t>
        </is>
      </c>
      <c r="B1587" t="inlineStr">
        <is>
          <t xml:space="preserve">1240</t>
        </is>
      </c>
    </row>
    <row r="1588" customFormat="false" ht="12.8" hidden="false" customHeight="false" outlineLevel="0" collapsed="false">
      <c r="A1588" t="inlineStr">
        <is>
          <t xml:space="preserve">ETHIOPIC_1250</t>
        </is>
      </c>
      <c r="B1588" t="inlineStr">
        <is>
          <t xml:space="preserve">1250</t>
        </is>
      </c>
    </row>
    <row r="1589" customFormat="false" ht="12.8" hidden="false" customHeight="false" outlineLevel="0" collapsed="false">
      <c r="A1589" t="inlineStr">
        <is>
          <t xml:space="preserve">ETHIOPIC_1260</t>
        </is>
      </c>
      <c r="B1589" t="inlineStr">
        <is>
          <t xml:space="preserve">1260</t>
        </is>
      </c>
    </row>
    <row r="1590" customFormat="false" ht="12.8" hidden="false" customHeight="false" outlineLevel="0" collapsed="false">
      <c r="A1590" t="inlineStr">
        <is>
          <t xml:space="preserve">ETHIOPIC_1268</t>
        </is>
      </c>
      <c r="B1590" t="inlineStr">
        <is>
          <t xml:space="preserve">1268</t>
        </is>
      </c>
    </row>
    <row r="1591" customFormat="false" ht="12.8" hidden="false" customHeight="false" outlineLevel="0" collapsed="false">
      <c r="A1591" t="inlineStr">
        <is>
          <t xml:space="preserve">ETHIOPIC_1270</t>
        </is>
      </c>
      <c r="B1591" t="inlineStr">
        <is>
          <t xml:space="preserve">1270</t>
        </is>
      </c>
    </row>
    <row r="1592" customFormat="false" ht="12.8" hidden="false" customHeight="false" outlineLevel="0" collapsed="false">
      <c r="A1592" t="inlineStr">
        <is>
          <t xml:space="preserve">ETHIOPIC_1278</t>
        </is>
      </c>
      <c r="B1592" t="inlineStr">
        <is>
          <t xml:space="preserve">1278</t>
        </is>
      </c>
    </row>
    <row r="1593" customFormat="false" ht="12.8" hidden="false" customHeight="false" outlineLevel="0" collapsed="false">
      <c r="A1593" t="inlineStr">
        <is>
          <t xml:space="preserve">ETHIOPIC_1280</t>
        </is>
      </c>
      <c r="B1593" t="inlineStr">
        <is>
          <t xml:space="preserve">1280</t>
        </is>
      </c>
    </row>
    <row r="1594" customFormat="false" ht="12.8" hidden="false" customHeight="false" outlineLevel="0" collapsed="false">
      <c r="A1594" t="inlineStr">
        <is>
          <t xml:space="preserve">ETHIOPIC_1290</t>
        </is>
      </c>
      <c r="B1594" t="inlineStr">
        <is>
          <t xml:space="preserve">1290</t>
        </is>
      </c>
    </row>
    <row r="1595" customFormat="false" ht="12.8" hidden="false" customHeight="false" outlineLevel="0" collapsed="false">
      <c r="A1595" t="inlineStr">
        <is>
          <t xml:space="preserve">ETHIOPIC_1298</t>
        </is>
      </c>
      <c r="B1595" t="inlineStr">
        <is>
          <t xml:space="preserve">1298</t>
        </is>
      </c>
    </row>
    <row r="1596" customFormat="false" ht="12.8" hidden="false" customHeight="false" outlineLevel="0" collapsed="false">
      <c r="A1596" t="inlineStr">
        <is>
          <t xml:space="preserve">ETHIOPIC_12A0</t>
        </is>
      </c>
      <c r="B1596" t="inlineStr">
        <is>
          <t xml:space="preserve">12A0</t>
        </is>
      </c>
    </row>
    <row r="1597" customFormat="false" ht="12.8" hidden="false" customHeight="false" outlineLevel="0" collapsed="false">
      <c r="A1597" t="inlineStr">
        <is>
          <t xml:space="preserve">ETHIOPIC_12A1</t>
        </is>
      </c>
      <c r="B1597" t="inlineStr">
        <is>
          <t xml:space="preserve">12A1</t>
        </is>
      </c>
    </row>
    <row r="1598" customFormat="false" ht="12.8" hidden="false" customHeight="false" outlineLevel="0" collapsed="false">
      <c r="A1598" t="inlineStr">
        <is>
          <t xml:space="preserve">ETHIOPIC_12A2</t>
        </is>
      </c>
      <c r="B1598" t="inlineStr">
        <is>
          <t xml:space="preserve">12A2</t>
        </is>
      </c>
    </row>
    <row r="1599" customFormat="false" ht="12.8" hidden="false" customHeight="false" outlineLevel="0" collapsed="false">
      <c r="A1599" t="inlineStr">
        <is>
          <t xml:space="preserve">ETHIOPIC_12A4</t>
        </is>
      </c>
      <c r="B1599" t="inlineStr">
        <is>
          <t xml:space="preserve">12A4</t>
        </is>
      </c>
    </row>
    <row r="1600" customFormat="false" ht="12.8" hidden="false" customHeight="false" outlineLevel="0" collapsed="false">
      <c r="A1600" t="inlineStr">
        <is>
          <t xml:space="preserve">ETHIOPIC_12A6</t>
        </is>
      </c>
      <c r="B1600" t="inlineStr">
        <is>
          <t xml:space="preserve">12A6</t>
        </is>
      </c>
    </row>
    <row r="1601" customFormat="false" ht="12.8" hidden="false" customHeight="false" outlineLevel="0" collapsed="false">
      <c r="A1601" t="inlineStr">
        <is>
          <t xml:space="preserve">ETHIOPIC_12A8</t>
        </is>
      </c>
      <c r="B1601" t="inlineStr">
        <is>
          <t xml:space="preserve">12A8</t>
        </is>
      </c>
    </row>
    <row r="1602" customFormat="false" ht="12.8" hidden="false" customHeight="false" outlineLevel="0" collapsed="false">
      <c r="A1602" t="inlineStr">
        <is>
          <t xml:space="preserve">ETHIOPIC_12B8</t>
        </is>
      </c>
      <c r="B1602" t="inlineStr">
        <is>
          <t xml:space="preserve">12B8</t>
        </is>
      </c>
    </row>
    <row r="1603" customFormat="false" ht="12.8" hidden="false" customHeight="false" outlineLevel="0" collapsed="false">
      <c r="A1603" t="inlineStr">
        <is>
          <t xml:space="preserve">ETHIOPIC_12C8</t>
        </is>
      </c>
      <c r="B1603" t="inlineStr">
        <is>
          <t xml:space="preserve">12C8</t>
        </is>
      </c>
    </row>
    <row r="1604" customFormat="false" ht="12.8" hidden="false" customHeight="false" outlineLevel="0" collapsed="false">
      <c r="A1604" t="inlineStr">
        <is>
          <t xml:space="preserve">ETHIOPIC_12D0</t>
        </is>
      </c>
      <c r="B1604" t="inlineStr">
        <is>
          <t xml:space="preserve">12D0</t>
        </is>
      </c>
    </row>
    <row r="1605" customFormat="false" ht="12.8" hidden="false" customHeight="false" outlineLevel="0" collapsed="false">
      <c r="A1605" t="inlineStr">
        <is>
          <t xml:space="preserve">ETHIOPIC_12D8</t>
        </is>
      </c>
      <c r="B1605" t="inlineStr">
        <is>
          <t xml:space="preserve">12D8</t>
        </is>
      </c>
    </row>
    <row r="1606" customFormat="false" ht="12.8" hidden="false" customHeight="false" outlineLevel="0" collapsed="false">
      <c r="A1606" t="inlineStr">
        <is>
          <t xml:space="preserve">ETHIOPIC_12E0</t>
        </is>
      </c>
      <c r="B1606" t="inlineStr">
        <is>
          <t xml:space="preserve">12E0</t>
        </is>
      </c>
    </row>
    <row r="1607" customFormat="false" ht="12.8" hidden="false" customHeight="false" outlineLevel="0" collapsed="false">
      <c r="A1607" t="inlineStr">
        <is>
          <t xml:space="preserve">ETHIOPIC_12E8</t>
        </is>
      </c>
      <c r="B1607" t="inlineStr">
        <is>
          <t xml:space="preserve">12E8</t>
        </is>
      </c>
    </row>
    <row r="1608" customFormat="false" ht="12.8" hidden="false" customHeight="false" outlineLevel="0" collapsed="false">
      <c r="A1608" t="inlineStr">
        <is>
          <t xml:space="preserve">ETHIOPIC_12F0</t>
        </is>
      </c>
      <c r="B1608" t="inlineStr">
        <is>
          <t xml:space="preserve">12F0</t>
        </is>
      </c>
    </row>
    <row r="1609" customFormat="false" ht="12.8" hidden="false" customHeight="false" outlineLevel="0" collapsed="false">
      <c r="A1609" t="inlineStr">
        <is>
          <t xml:space="preserve">ETHIOPIC_12F8</t>
        </is>
      </c>
      <c r="B1609" t="inlineStr">
        <is>
          <t xml:space="preserve">12F8</t>
        </is>
      </c>
    </row>
    <row r="1610" customFormat="false" ht="12.8" hidden="false" customHeight="false" outlineLevel="0" collapsed="false">
      <c r="A1610" t="inlineStr">
        <is>
          <t xml:space="preserve">ETHIOPIC_1300</t>
        </is>
      </c>
      <c r="B1610" t="inlineStr">
        <is>
          <t xml:space="preserve">1300</t>
        </is>
      </c>
    </row>
    <row r="1611" customFormat="false" ht="12.8" hidden="false" customHeight="false" outlineLevel="0" collapsed="false">
      <c r="A1611" t="inlineStr">
        <is>
          <t xml:space="preserve">ETHIOPIC_1308</t>
        </is>
      </c>
      <c r="B1611" t="inlineStr">
        <is>
          <t xml:space="preserve">1308</t>
        </is>
      </c>
    </row>
    <row r="1612" customFormat="false" ht="12.8" hidden="false" customHeight="false" outlineLevel="0" collapsed="false">
      <c r="A1612" t="inlineStr">
        <is>
          <t xml:space="preserve">ETHIOPIC_1318</t>
        </is>
      </c>
      <c r="B1612" t="inlineStr">
        <is>
          <t xml:space="preserve">1318</t>
        </is>
      </c>
    </row>
    <row r="1613" customFormat="false" ht="12.8" hidden="false" customHeight="false" outlineLevel="0" collapsed="false">
      <c r="A1613" t="inlineStr">
        <is>
          <t xml:space="preserve">ETHIOPIC_1320</t>
        </is>
      </c>
      <c r="B1613" t="inlineStr">
        <is>
          <t xml:space="preserve">1320</t>
        </is>
      </c>
    </row>
    <row r="1614" customFormat="false" ht="12.8" hidden="false" customHeight="false" outlineLevel="0" collapsed="false">
      <c r="A1614" t="inlineStr">
        <is>
          <t xml:space="preserve">ETHIOPIC_1328</t>
        </is>
      </c>
      <c r="B1614" t="inlineStr">
        <is>
          <t xml:space="preserve">1328</t>
        </is>
      </c>
    </row>
    <row r="1615" customFormat="false" ht="12.8" hidden="false" customHeight="false" outlineLevel="0" collapsed="false">
      <c r="A1615" t="inlineStr">
        <is>
          <t xml:space="preserve">ETHIOPIC_1330</t>
        </is>
      </c>
      <c r="B1615" t="inlineStr">
        <is>
          <t xml:space="preserve">1330</t>
        </is>
      </c>
    </row>
    <row r="1616" customFormat="false" ht="12.8" hidden="false" customHeight="false" outlineLevel="0" collapsed="false">
      <c r="A1616" t="inlineStr">
        <is>
          <t xml:space="preserve">ETHIOPIC_1338</t>
        </is>
      </c>
      <c r="B1616" t="inlineStr">
        <is>
          <t xml:space="preserve">1338</t>
        </is>
      </c>
    </row>
    <row r="1617" customFormat="false" ht="12.8" hidden="false" customHeight="false" outlineLevel="0" collapsed="false">
      <c r="A1617" t="inlineStr">
        <is>
          <t xml:space="preserve">ETHIOPIC_1340</t>
        </is>
      </c>
      <c r="B1617" t="inlineStr">
        <is>
          <t xml:space="preserve">1340</t>
        </is>
      </c>
    </row>
    <row r="1618" customFormat="false" ht="12.8" hidden="false" customHeight="false" outlineLevel="0" collapsed="false">
      <c r="A1618" t="inlineStr">
        <is>
          <t xml:space="preserve">ETHIOPIC_1348</t>
        </is>
      </c>
      <c r="B1618" t="inlineStr">
        <is>
          <t xml:space="preserve">1348</t>
        </is>
      </c>
    </row>
    <row r="1619" customFormat="false" ht="12.8" hidden="false" customHeight="false" outlineLevel="0" collapsed="false">
      <c r="A1619" t="inlineStr">
        <is>
          <t xml:space="preserve">ETHIOPIC_1350</t>
        </is>
      </c>
      <c r="B1619" t="inlineStr">
        <is>
          <t xml:space="preserve">1350</t>
        </is>
      </c>
    </row>
    <row r="1620" customFormat="false" ht="12.8" hidden="false" customHeight="false" outlineLevel="0" collapsed="false">
      <c r="A1620" t="inlineStr">
        <is>
          <t xml:space="preserve">ETHIOPIC_1361</t>
        </is>
      </c>
      <c r="B1620" t="inlineStr">
        <is>
          <t xml:space="preserve">1361</t>
        </is>
      </c>
    </row>
    <row r="1621" customFormat="false" ht="12.8" hidden="false" customHeight="false" outlineLevel="0" collapsed="false">
      <c r="A1621" t="inlineStr">
        <is>
          <t xml:space="preserve">ETHIOPIC_1362</t>
        </is>
      </c>
      <c r="B1621" t="inlineStr">
        <is>
          <t xml:space="preserve">1362</t>
        </is>
      </c>
    </row>
    <row r="1622" customFormat="false" ht="12.8" hidden="false" customHeight="false" outlineLevel="0" collapsed="false">
      <c r="A1622" t="inlineStr">
        <is>
          <t xml:space="preserve">ETHIOPIC_1363</t>
        </is>
      </c>
      <c r="B1622" t="inlineStr">
        <is>
          <t xml:space="preserve">1363</t>
        </is>
      </c>
    </row>
    <row r="1623" customFormat="false" ht="12.8" hidden="false" customHeight="false" outlineLevel="0" collapsed="false">
      <c r="A1623" t="inlineStr">
        <is>
          <t xml:space="preserve">ETHIOPIC_1364</t>
        </is>
      </c>
      <c r="B1623" t="inlineStr">
        <is>
          <t xml:space="preserve">1364</t>
        </is>
      </c>
    </row>
    <row r="1624" customFormat="false" ht="12.8" hidden="false" customHeight="false" outlineLevel="0" collapsed="false">
      <c r="A1624" t="inlineStr">
        <is>
          <t xml:space="preserve">ETHIOPIC_1365</t>
        </is>
      </c>
      <c r="B1624" t="inlineStr">
        <is>
          <t xml:space="preserve">1365</t>
        </is>
      </c>
    </row>
    <row r="1625" customFormat="false" ht="12.8" hidden="false" customHeight="false" outlineLevel="0" collapsed="false">
      <c r="A1625" t="inlineStr">
        <is>
          <t xml:space="preserve">ETHIOPIC_1366</t>
        </is>
      </c>
      <c r="B1625" t="inlineStr">
        <is>
          <t xml:space="preserve">1366</t>
        </is>
      </c>
    </row>
    <row r="1626" customFormat="false" ht="12.8" hidden="false" customHeight="false" outlineLevel="0" collapsed="false">
      <c r="A1626" t="inlineStr">
        <is>
          <t xml:space="preserve">ETHIOPIC_1367</t>
        </is>
      </c>
      <c r="B1626" t="inlineStr">
        <is>
          <t xml:space="preserve">1367</t>
        </is>
      </c>
    </row>
    <row r="1627" customFormat="false" ht="12.8" hidden="false" customHeight="false" outlineLevel="0" collapsed="false">
      <c r="A1627" t="inlineStr">
        <is>
          <t xml:space="preserve">ETHIOPIC_1369</t>
        </is>
      </c>
      <c r="B1627" t="inlineStr">
        <is>
          <t xml:space="preserve">1369</t>
        </is>
      </c>
    </row>
    <row r="1628" customFormat="false" ht="12.8" hidden="false" customHeight="false" outlineLevel="0" collapsed="false">
      <c r="A1628" t="inlineStr">
        <is>
          <t xml:space="preserve">ETHIOPIC_136A</t>
        </is>
      </c>
      <c r="B1628" t="inlineStr">
        <is>
          <t xml:space="preserve">136A</t>
        </is>
      </c>
    </row>
    <row r="1629" customFormat="false" ht="12.8" hidden="false" customHeight="false" outlineLevel="0" collapsed="false">
      <c r="A1629" t="inlineStr">
        <is>
          <t xml:space="preserve">ETHIOPIC_136B</t>
        </is>
      </c>
      <c r="B1629" t="inlineStr">
        <is>
          <t xml:space="preserve">136B</t>
        </is>
      </c>
    </row>
    <row r="1630" customFormat="false" ht="12.8" hidden="false" customHeight="false" outlineLevel="0" collapsed="false">
      <c r="A1630" t="inlineStr">
        <is>
          <t xml:space="preserve">ETHIOPIC_136C</t>
        </is>
      </c>
      <c r="B1630" t="inlineStr">
        <is>
          <t xml:space="preserve">136C</t>
        </is>
      </c>
    </row>
    <row r="1631" customFormat="false" ht="12.8" hidden="false" customHeight="false" outlineLevel="0" collapsed="false">
      <c r="A1631" t="inlineStr">
        <is>
          <t xml:space="preserve">ETHIOPIC_136D</t>
        </is>
      </c>
      <c r="B1631" t="inlineStr">
        <is>
          <t xml:space="preserve">136D</t>
        </is>
      </c>
    </row>
    <row r="1632" customFormat="false" ht="12.8" hidden="false" customHeight="false" outlineLevel="0" collapsed="false">
      <c r="A1632" t="inlineStr">
        <is>
          <t xml:space="preserve">ETHIOPIC_136E</t>
        </is>
      </c>
      <c r="B1632" t="inlineStr">
        <is>
          <t xml:space="preserve">136E</t>
        </is>
      </c>
    </row>
    <row r="1633" customFormat="false" ht="12.8" hidden="false" customHeight="false" outlineLevel="0" collapsed="false">
      <c r="A1633" t="inlineStr">
        <is>
          <t xml:space="preserve">ETHIOPIC_136F</t>
        </is>
      </c>
      <c r="B1633" t="inlineStr">
        <is>
          <t xml:space="preserve">136F</t>
        </is>
      </c>
    </row>
    <row r="1634" customFormat="false" ht="12.8" hidden="false" customHeight="false" outlineLevel="0" collapsed="false">
      <c r="A1634" t="inlineStr">
        <is>
          <t xml:space="preserve">ETHIOPIC_1370</t>
        </is>
      </c>
      <c r="B1634" t="inlineStr">
        <is>
          <t xml:space="preserve">1370</t>
        </is>
      </c>
    </row>
    <row r="1635" customFormat="false" ht="12.8" hidden="false" customHeight="false" outlineLevel="0" collapsed="false">
      <c r="A1635" t="inlineStr">
        <is>
          <t xml:space="preserve">ETHIOPIC_1371</t>
        </is>
      </c>
      <c r="B1635" t="inlineStr">
        <is>
          <t xml:space="preserve">1371</t>
        </is>
      </c>
    </row>
    <row r="1636" customFormat="false" ht="12.8" hidden="false" customHeight="false" outlineLevel="0" collapsed="false">
      <c r="A1636" t="inlineStr">
        <is>
          <t xml:space="preserve">ETHIOPIC_137B</t>
        </is>
      </c>
      <c r="B1636" t="inlineStr">
        <is>
          <t xml:space="preserve">137B</t>
        </is>
      </c>
    </row>
    <row r="1637" customFormat="false" ht="12.8" hidden="false" customHeight="false" outlineLevel="0" collapsed="false">
      <c r="A1637" t="inlineStr">
        <is>
          <t xml:space="preserve">A_WITH_ACUTE</t>
        </is>
      </c>
      <c r="B1637" t="inlineStr">
        <is>
          <t xml:space="preserve">C1</t>
        </is>
      </c>
    </row>
    <row r="1638" customFormat="false" ht="12.8" hidden="false" customHeight="false" outlineLevel="0" collapsed="false">
      <c r="A1638" t="inlineStr">
        <is>
          <t xml:space="preserve">A_WITH_ACUTE_SMALL</t>
        </is>
      </c>
      <c r="B1638" t="inlineStr">
        <is>
          <t xml:space="preserve">E1</t>
        </is>
      </c>
    </row>
    <row r="1639" customFormat="false" ht="12.8" hidden="false" customHeight="false" outlineLevel="0" collapsed="false">
      <c r="A1639" t="inlineStr">
        <is>
          <t xml:space="preserve">LATIN_01EA</t>
        </is>
      </c>
      <c r="B1639" t="inlineStr">
        <is>
          <t xml:space="preserve">1EA</t>
        </is>
      </c>
    </row>
    <row r="1640" customFormat="false" ht="12.8" hidden="false" customHeight="false" outlineLevel="0" collapsed="false">
      <c r="A1640" t="inlineStr">
        <is>
          <t xml:space="preserve">LATIN_01EB</t>
        </is>
      </c>
      <c r="B1640" t="inlineStr">
        <is>
          <t xml:space="preserve">1EB</t>
        </is>
      </c>
    </row>
    <row r="1641" customFormat="false" ht="12.8" hidden="false" customHeight="false" outlineLevel="0" collapsed="false">
      <c r="A1641" t="inlineStr">
        <is>
          <t xml:space="preserve">LATIN_1EBD</t>
        </is>
      </c>
      <c r="B1641" t="inlineStr">
        <is>
          <t xml:space="preserve">1EBD</t>
        </is>
      </c>
    </row>
    <row r="1642" customFormat="false" ht="12.8" hidden="false" customHeight="false" outlineLevel="0" collapsed="false">
      <c r="A1642" t="inlineStr">
        <is>
          <t xml:space="preserve">LATIN_1EF9</t>
        </is>
      </c>
      <c r="B1642" t="inlineStr">
        <is>
          <t xml:space="preserve">1EF9</t>
        </is>
      </c>
    </row>
    <row r="1643" customFormat="false" ht="12.8" hidden="false" customHeight="false" outlineLevel="0" collapsed="false">
      <c r="A1643" t="inlineStr">
        <is>
          <t xml:space="preserve">ARABIC_060C</t>
        </is>
      </c>
      <c r="B1643" t="inlineStr">
        <is>
          <t xml:space="preserve">060C</t>
        </is>
      </c>
    </row>
    <row r="1644" customFormat="false" ht="12.8" hidden="false" customHeight="false" outlineLevel="0" collapsed="false">
      <c r="A1644" t="inlineStr">
        <is>
          <t xml:space="preserve">ARABIC_061B</t>
        </is>
      </c>
      <c r="B1644" t="inlineStr">
        <is>
          <t xml:space="preserve">061B</t>
        </is>
      </c>
    </row>
    <row r="1645" customFormat="false" ht="12.8" hidden="false" customHeight="false" outlineLevel="0" collapsed="false">
      <c r="A1645" t="inlineStr">
        <is>
          <t xml:space="preserve">ARABIC_061F</t>
        </is>
      </c>
      <c r="B1645" t="inlineStr">
        <is>
          <t xml:space="preserve">061F</t>
        </is>
      </c>
    </row>
    <row r="1646" customFormat="false" ht="12.8" hidden="false" customHeight="false" outlineLevel="0" collapsed="false">
      <c r="A1646" t="inlineStr">
        <is>
          <t xml:space="preserve">ARABIC_0621</t>
        </is>
      </c>
      <c r="B1646" t="inlineStr">
        <is>
          <t xml:space="preserve">0621</t>
        </is>
      </c>
    </row>
    <row r="1647" customFormat="false" ht="12.8" hidden="false" customHeight="false" outlineLevel="0" collapsed="false">
      <c r="A1647" t="inlineStr">
        <is>
          <t xml:space="preserve">ARABIC_0622</t>
        </is>
      </c>
      <c r="B1647" t="inlineStr">
        <is>
          <t xml:space="preserve">0622</t>
        </is>
      </c>
    </row>
    <row r="1648" customFormat="false" ht="12.8" hidden="false" customHeight="false" outlineLevel="0" collapsed="false">
      <c r="A1648" t="inlineStr">
        <is>
          <t xml:space="preserve">ARABIC_0623</t>
        </is>
      </c>
      <c r="B1648" t="inlineStr">
        <is>
          <t xml:space="preserve">0623</t>
        </is>
      </c>
    </row>
    <row r="1649" customFormat="false" ht="12.8" hidden="false" customHeight="false" outlineLevel="0" collapsed="false">
      <c r="A1649" t="inlineStr">
        <is>
          <t xml:space="preserve">ARABIC_0624</t>
        </is>
      </c>
      <c r="B1649" t="inlineStr">
        <is>
          <t xml:space="preserve">0624</t>
        </is>
      </c>
    </row>
    <row r="1650" customFormat="false" ht="12.8" hidden="false" customHeight="false" outlineLevel="0" collapsed="false">
      <c r="A1650" t="inlineStr">
        <is>
          <t xml:space="preserve">ARABIC_0625</t>
        </is>
      </c>
      <c r="B1650" t="inlineStr">
        <is>
          <t xml:space="preserve">0625</t>
        </is>
      </c>
    </row>
    <row r="1651" customFormat="false" ht="12.8" hidden="false" customHeight="false" outlineLevel="0" collapsed="false">
      <c r="A1651" t="inlineStr">
        <is>
          <t xml:space="preserve">ARABIC_0626</t>
        </is>
      </c>
      <c r="B1651" t="inlineStr">
        <is>
          <t xml:space="preserve">0626</t>
        </is>
      </c>
    </row>
    <row r="1652" customFormat="false" ht="12.8" hidden="false" customHeight="false" outlineLevel="0" collapsed="false">
      <c r="A1652" t="inlineStr">
        <is>
          <t xml:space="preserve">ARABIC_0627</t>
        </is>
      </c>
      <c r="B1652" t="inlineStr">
        <is>
          <t xml:space="preserve">0627</t>
        </is>
      </c>
    </row>
    <row r="1653" customFormat="false" ht="12.8" hidden="false" customHeight="false" outlineLevel="0" collapsed="false">
      <c r="A1653" t="inlineStr">
        <is>
          <t xml:space="preserve">ARABIC_0628</t>
        </is>
      </c>
      <c r="B1653" t="inlineStr">
        <is>
          <t xml:space="preserve">0628</t>
        </is>
      </c>
    </row>
    <row r="1654" customFormat="false" ht="12.8" hidden="false" customHeight="false" outlineLevel="0" collapsed="false">
      <c r="A1654" t="inlineStr">
        <is>
          <t xml:space="preserve">ARABIC_0629</t>
        </is>
      </c>
      <c r="B1654" t="inlineStr">
        <is>
          <t xml:space="preserve">0629</t>
        </is>
      </c>
    </row>
    <row r="1655" customFormat="false" ht="12.8" hidden="false" customHeight="false" outlineLevel="0" collapsed="false">
      <c r="A1655" t="inlineStr">
        <is>
          <t xml:space="preserve">ARABIC_062A</t>
        </is>
      </c>
      <c r="B1655" t="inlineStr">
        <is>
          <t xml:space="preserve">062A</t>
        </is>
      </c>
    </row>
    <row r="1656" customFormat="false" ht="12.8" hidden="false" customHeight="false" outlineLevel="0" collapsed="false">
      <c r="A1656" t="inlineStr">
        <is>
          <t xml:space="preserve">ARABIC_062B</t>
        </is>
      </c>
      <c r="B1656" t="inlineStr">
        <is>
          <t xml:space="preserve">062B</t>
        </is>
      </c>
    </row>
    <row r="1657" customFormat="false" ht="12.8" hidden="false" customHeight="false" outlineLevel="0" collapsed="false">
      <c r="A1657" t="inlineStr">
        <is>
          <t xml:space="preserve">ARABIC_062C</t>
        </is>
      </c>
      <c r="B1657" t="inlineStr">
        <is>
          <t xml:space="preserve">062C</t>
        </is>
      </c>
    </row>
    <row r="1658" customFormat="false" ht="12.8" hidden="false" customHeight="false" outlineLevel="0" collapsed="false">
      <c r="A1658" t="inlineStr">
        <is>
          <t xml:space="preserve">ARABIC_062D</t>
        </is>
      </c>
      <c r="B1658" t="inlineStr">
        <is>
          <t xml:space="preserve">062D</t>
        </is>
      </c>
    </row>
    <row r="1659" customFormat="false" ht="12.8" hidden="false" customHeight="false" outlineLevel="0" collapsed="false">
      <c r="A1659" t="inlineStr">
        <is>
          <t xml:space="preserve">ARABIC_062E</t>
        </is>
      </c>
      <c r="B1659" t="inlineStr">
        <is>
          <t xml:space="preserve">062E</t>
        </is>
      </c>
    </row>
    <row r="1660" customFormat="false" ht="12.8" hidden="false" customHeight="false" outlineLevel="0" collapsed="false">
      <c r="A1660" t="inlineStr">
        <is>
          <t xml:space="preserve">ARABIC_062F</t>
        </is>
      </c>
      <c r="B1660" t="inlineStr">
        <is>
          <t xml:space="preserve">062F</t>
        </is>
      </c>
    </row>
    <row r="1661" customFormat="false" ht="12.8" hidden="false" customHeight="false" outlineLevel="0" collapsed="false">
      <c r="A1661" t="inlineStr">
        <is>
          <t xml:space="preserve">ARABIC_0630</t>
        </is>
      </c>
      <c r="B1661" t="inlineStr">
        <is>
          <t xml:space="preserve">0630</t>
        </is>
      </c>
    </row>
    <row r="1662" customFormat="false" ht="12.8" hidden="false" customHeight="false" outlineLevel="0" collapsed="false">
      <c r="A1662" t="inlineStr">
        <is>
          <t xml:space="preserve">ARABIC_0631</t>
        </is>
      </c>
      <c r="B1662" t="inlineStr">
        <is>
          <t xml:space="preserve">0631</t>
        </is>
      </c>
    </row>
    <row r="1663" customFormat="false" ht="12.8" hidden="false" customHeight="false" outlineLevel="0" collapsed="false">
      <c r="A1663" t="inlineStr">
        <is>
          <t xml:space="preserve">ARABIC_0632</t>
        </is>
      </c>
      <c r="B1663" t="inlineStr">
        <is>
          <t xml:space="preserve">0632</t>
        </is>
      </c>
    </row>
    <row r="1664" customFormat="false" ht="12.8" hidden="false" customHeight="false" outlineLevel="0" collapsed="false">
      <c r="A1664" t="inlineStr">
        <is>
          <t xml:space="preserve">ARABIC_0633</t>
        </is>
      </c>
      <c r="B1664" t="inlineStr">
        <is>
          <t xml:space="preserve">0633</t>
        </is>
      </c>
    </row>
    <row r="1665" customFormat="false" ht="12.8" hidden="false" customHeight="false" outlineLevel="0" collapsed="false">
      <c r="A1665" t="inlineStr">
        <is>
          <t xml:space="preserve">ARABIC_0634</t>
        </is>
      </c>
      <c r="B1665" t="inlineStr">
        <is>
          <t xml:space="preserve">0634</t>
        </is>
      </c>
    </row>
    <row r="1666" customFormat="false" ht="12.8" hidden="false" customHeight="false" outlineLevel="0" collapsed="false">
      <c r="A1666" t="inlineStr">
        <is>
          <t xml:space="preserve">ARABIC_0635</t>
        </is>
      </c>
      <c r="B1666" t="inlineStr">
        <is>
          <t xml:space="preserve">0635</t>
        </is>
      </c>
    </row>
    <row r="1667" customFormat="false" ht="12.8" hidden="false" customHeight="false" outlineLevel="0" collapsed="false">
      <c r="A1667" t="inlineStr">
        <is>
          <t xml:space="preserve">ARABIC_0636</t>
        </is>
      </c>
      <c r="B1667" t="inlineStr">
        <is>
          <t xml:space="preserve">0636</t>
        </is>
      </c>
    </row>
    <row r="1668" customFormat="false" ht="12.8" hidden="false" customHeight="false" outlineLevel="0" collapsed="false">
      <c r="A1668" t="inlineStr">
        <is>
          <t xml:space="preserve">ARABIC_0637</t>
        </is>
      </c>
      <c r="B1668" t="inlineStr">
        <is>
          <t xml:space="preserve">0637</t>
        </is>
      </c>
    </row>
    <row r="1669" customFormat="false" ht="12.8" hidden="false" customHeight="false" outlineLevel="0" collapsed="false">
      <c r="A1669" t="inlineStr">
        <is>
          <t xml:space="preserve">ARABIC_0638</t>
        </is>
      </c>
      <c r="B1669" t="inlineStr">
        <is>
          <t xml:space="preserve">0638</t>
        </is>
      </c>
    </row>
    <row r="1670" customFormat="false" ht="12.8" hidden="false" customHeight="false" outlineLevel="0" collapsed="false">
      <c r="A1670" t="inlineStr">
        <is>
          <t xml:space="preserve">ARABIC_0639</t>
        </is>
      </c>
      <c r="B1670" t="inlineStr">
        <is>
          <t xml:space="preserve">0639</t>
        </is>
      </c>
    </row>
    <row r="1671" customFormat="false" ht="12.8" hidden="false" customHeight="false" outlineLevel="0" collapsed="false">
      <c r="A1671" t="inlineStr">
        <is>
          <t xml:space="preserve">ARABIC_063A</t>
        </is>
      </c>
      <c r="B1671" t="inlineStr">
        <is>
          <t xml:space="preserve">063A</t>
        </is>
      </c>
    </row>
    <row r="1672" customFormat="false" ht="12.8" hidden="false" customHeight="false" outlineLevel="0" collapsed="false">
      <c r="A1672" t="inlineStr">
        <is>
          <t xml:space="preserve">ARABIC_0640</t>
        </is>
      </c>
      <c r="B1672" t="inlineStr">
        <is>
          <t xml:space="preserve">0640</t>
        </is>
      </c>
    </row>
    <row r="1673" customFormat="false" ht="12.8" hidden="false" customHeight="false" outlineLevel="0" collapsed="false">
      <c r="A1673" t="inlineStr">
        <is>
          <t xml:space="preserve">ARABIC_0641</t>
        </is>
      </c>
      <c r="B1673" t="inlineStr">
        <is>
          <t xml:space="preserve">0641</t>
        </is>
      </c>
    </row>
    <row r="1674" customFormat="false" ht="12.8" hidden="false" customHeight="false" outlineLevel="0" collapsed="false">
      <c r="A1674" t="inlineStr">
        <is>
          <t xml:space="preserve">ARABIC_0642</t>
        </is>
      </c>
      <c r="B1674" t="inlineStr">
        <is>
          <t xml:space="preserve">0642</t>
        </is>
      </c>
    </row>
    <row r="1675" customFormat="false" ht="12.8" hidden="false" customHeight="false" outlineLevel="0" collapsed="false">
      <c r="A1675" t="inlineStr">
        <is>
          <t xml:space="preserve">ARABIC_0643</t>
        </is>
      </c>
      <c r="B1675" t="inlineStr">
        <is>
          <t xml:space="preserve">0643</t>
        </is>
      </c>
    </row>
    <row r="1676" customFormat="false" ht="12.8" hidden="false" customHeight="false" outlineLevel="0" collapsed="false">
      <c r="A1676" t="inlineStr">
        <is>
          <t xml:space="preserve">ARABIC_0644</t>
        </is>
      </c>
      <c r="B1676" t="inlineStr">
        <is>
          <t xml:space="preserve">0644</t>
        </is>
      </c>
    </row>
    <row r="1677" customFormat="false" ht="12.8" hidden="false" customHeight="false" outlineLevel="0" collapsed="false">
      <c r="A1677" t="inlineStr">
        <is>
          <t xml:space="preserve">ARABIC_0645</t>
        </is>
      </c>
      <c r="B1677" t="inlineStr">
        <is>
          <t xml:space="preserve">0645</t>
        </is>
      </c>
    </row>
    <row r="1678" customFormat="false" ht="12.8" hidden="false" customHeight="false" outlineLevel="0" collapsed="false">
      <c r="A1678" t="inlineStr">
        <is>
          <t xml:space="preserve">ARABIC_0646</t>
        </is>
      </c>
      <c r="B1678" t="inlineStr">
        <is>
          <t xml:space="preserve">0646</t>
        </is>
      </c>
    </row>
    <row r="1679" customFormat="false" ht="12.8" hidden="false" customHeight="false" outlineLevel="0" collapsed="false">
      <c r="A1679" t="inlineStr">
        <is>
          <t xml:space="preserve">ARABIC_0648</t>
        </is>
      </c>
      <c r="B1679" t="inlineStr">
        <is>
          <t xml:space="preserve">0648</t>
        </is>
      </c>
    </row>
    <row r="1680" customFormat="false" ht="12.8" hidden="false" customHeight="false" outlineLevel="0" collapsed="false">
      <c r="A1680" t="inlineStr">
        <is>
          <t xml:space="preserve">ARABIC_0649</t>
        </is>
      </c>
      <c r="B1680" t="inlineStr">
        <is>
          <t xml:space="preserve">0649</t>
        </is>
      </c>
    </row>
    <row r="1681" customFormat="false" ht="12.8" hidden="false" customHeight="false" outlineLevel="0" collapsed="false">
      <c r="A1681" t="inlineStr">
        <is>
          <t xml:space="preserve">ARABIC_064A</t>
        </is>
      </c>
      <c r="B1681" t="inlineStr">
        <is>
          <t xml:space="preserve">064A</t>
        </is>
      </c>
    </row>
    <row r="1682" customFormat="false" ht="12.8" hidden="false" customHeight="false" outlineLevel="0" collapsed="false">
      <c r="A1682" t="inlineStr">
        <is>
          <t xml:space="preserve">ARABIC_066A</t>
        </is>
      </c>
      <c r="B1682" t="inlineStr">
        <is>
          <t xml:space="preserve">066A</t>
        </is>
      </c>
    </row>
    <row r="1683" customFormat="false" ht="12.8" hidden="false" customHeight="false" outlineLevel="0" collapsed="false">
      <c r="A1683" t="inlineStr">
        <is>
          <t xml:space="preserve">ARABIC_066B</t>
        </is>
      </c>
      <c r="B1683" t="inlineStr">
        <is>
          <t xml:space="preserve">066B</t>
        </is>
      </c>
    </row>
    <row r="1684" customFormat="false" ht="12.8" hidden="false" customHeight="false" outlineLevel="0" collapsed="false">
      <c r="A1684" t="inlineStr">
        <is>
          <t xml:space="preserve">ARABIC_066C</t>
        </is>
      </c>
      <c r="B1684" t="inlineStr">
        <is>
          <t xml:space="preserve">066C</t>
        </is>
      </c>
    </row>
    <row r="1685" customFormat="false" ht="12.8" hidden="false" customHeight="false" outlineLevel="0" collapsed="false">
      <c r="A1685" t="inlineStr">
        <is>
          <t xml:space="preserve">ARABIC_0671</t>
        </is>
      </c>
      <c r="B1685" t="inlineStr">
        <is>
          <t xml:space="preserve">0671</t>
        </is>
      </c>
    </row>
    <row r="1686" customFormat="false" ht="12.8" hidden="false" customHeight="false" outlineLevel="0" collapsed="false">
      <c r="A1686" t="inlineStr">
        <is>
          <t xml:space="preserve">ARABIC_0679</t>
        </is>
      </c>
      <c r="B1686" t="inlineStr">
        <is>
          <t xml:space="preserve">0679</t>
        </is>
      </c>
    </row>
    <row r="1687" customFormat="false" ht="12.8" hidden="false" customHeight="false" outlineLevel="0" collapsed="false">
      <c r="A1687" t="inlineStr">
        <is>
          <t xml:space="preserve">ARABIC_067C</t>
        </is>
      </c>
      <c r="B1687" t="inlineStr">
        <is>
          <t xml:space="preserve">067C</t>
        </is>
      </c>
    </row>
    <row r="1688" customFormat="false" ht="12.8" hidden="false" customHeight="false" outlineLevel="0" collapsed="false">
      <c r="A1688" t="inlineStr">
        <is>
          <t xml:space="preserve">ARABIC_067E</t>
        </is>
      </c>
      <c r="B1688" t="inlineStr">
        <is>
          <t xml:space="preserve">067E</t>
        </is>
      </c>
    </row>
    <row r="1689" customFormat="false" ht="12.8" hidden="false" customHeight="false" outlineLevel="0" collapsed="false">
      <c r="A1689" t="inlineStr">
        <is>
          <t xml:space="preserve">ARABIC_0681</t>
        </is>
      </c>
      <c r="B1689" t="inlineStr">
        <is>
          <t xml:space="preserve">0681</t>
        </is>
      </c>
    </row>
    <row r="1690" customFormat="false" ht="12.8" hidden="false" customHeight="false" outlineLevel="0" collapsed="false">
      <c r="A1690" t="inlineStr">
        <is>
          <t xml:space="preserve">ARABIC_0685</t>
        </is>
      </c>
      <c r="B1690" t="inlineStr">
        <is>
          <t xml:space="preserve">0685</t>
        </is>
      </c>
    </row>
    <row r="1691" customFormat="false" ht="12.8" hidden="false" customHeight="false" outlineLevel="0" collapsed="false">
      <c r="A1691" t="inlineStr">
        <is>
          <t xml:space="preserve">ARABIC_0686</t>
        </is>
      </c>
      <c r="B1691" t="inlineStr">
        <is>
          <t xml:space="preserve">0686</t>
        </is>
      </c>
    </row>
    <row r="1692" customFormat="false" ht="12.8" hidden="false" customHeight="false" outlineLevel="0" collapsed="false">
      <c r="A1692" t="inlineStr">
        <is>
          <t xml:space="preserve">ARABIC_0688</t>
        </is>
      </c>
      <c r="B1692" t="inlineStr">
        <is>
          <t xml:space="preserve">0688</t>
        </is>
      </c>
    </row>
    <row r="1693" customFormat="false" ht="12.8" hidden="false" customHeight="false" outlineLevel="0" collapsed="false">
      <c r="A1693" t="inlineStr">
        <is>
          <t xml:space="preserve">ARABIC_0689</t>
        </is>
      </c>
      <c r="B1693" t="inlineStr">
        <is>
          <t xml:space="preserve">0689</t>
        </is>
      </c>
    </row>
    <row r="1694" customFormat="false" ht="12.8" hidden="false" customHeight="false" outlineLevel="0" collapsed="false">
      <c r="A1694" t="inlineStr">
        <is>
          <t xml:space="preserve">ARABIC_0691</t>
        </is>
      </c>
      <c r="B1694" t="inlineStr">
        <is>
          <t xml:space="preserve">0691</t>
        </is>
      </c>
    </row>
    <row r="1695" customFormat="false" ht="12.8" hidden="false" customHeight="false" outlineLevel="0" collapsed="false">
      <c r="A1695" t="inlineStr">
        <is>
          <t xml:space="preserve">ARABIC_0693</t>
        </is>
      </c>
      <c r="B1695" t="inlineStr">
        <is>
          <t xml:space="preserve">0693</t>
        </is>
      </c>
    </row>
    <row r="1696" customFormat="false" ht="12.8" hidden="false" customHeight="false" outlineLevel="0" collapsed="false">
      <c r="A1696" t="inlineStr">
        <is>
          <t xml:space="preserve">ARABIC_0696</t>
        </is>
      </c>
      <c r="B1696" t="inlineStr">
        <is>
          <t xml:space="preserve">0696</t>
        </is>
      </c>
    </row>
    <row r="1697" customFormat="false" ht="12.8" hidden="false" customHeight="false" outlineLevel="0" collapsed="false">
      <c r="A1697" t="inlineStr">
        <is>
          <t xml:space="preserve">ARABIC_0698</t>
        </is>
      </c>
      <c r="B1697" t="inlineStr">
        <is>
          <t xml:space="preserve">0698</t>
        </is>
      </c>
    </row>
    <row r="1698" customFormat="false" ht="12.8" hidden="false" customHeight="false" outlineLevel="0" collapsed="false">
      <c r="A1698" t="inlineStr">
        <is>
          <t xml:space="preserve">ARABIC_069A</t>
        </is>
      </c>
      <c r="B1698" t="inlineStr">
        <is>
          <t xml:space="preserve">069A</t>
        </is>
      </c>
    </row>
    <row r="1699" customFormat="false" ht="12.8" hidden="false" customHeight="false" outlineLevel="0" collapsed="false">
      <c r="A1699" t="inlineStr">
        <is>
          <t xml:space="preserve">ARABIC_06A9</t>
        </is>
      </c>
      <c r="B1699" t="inlineStr">
        <is>
          <t xml:space="preserve">06A9</t>
        </is>
      </c>
    </row>
    <row r="1700" customFormat="false" ht="12.8" hidden="false" customHeight="false" outlineLevel="0" collapsed="false">
      <c r="A1700" t="inlineStr">
        <is>
          <t xml:space="preserve">ARABIC_06AB</t>
        </is>
      </c>
      <c r="B1700" t="inlineStr">
        <is>
          <t xml:space="preserve">06AB</t>
        </is>
      </c>
    </row>
    <row r="1701" customFormat="false" ht="12.8" hidden="false" customHeight="false" outlineLevel="0" collapsed="false">
      <c r="A1701" t="inlineStr">
        <is>
          <t xml:space="preserve">ARABIC_06AF</t>
        </is>
      </c>
      <c r="B1701" t="inlineStr">
        <is>
          <t xml:space="preserve">06AF</t>
        </is>
      </c>
    </row>
    <row r="1702" customFormat="false" ht="12.8" hidden="false" customHeight="false" outlineLevel="0" collapsed="false">
      <c r="A1702" t="inlineStr">
        <is>
          <t xml:space="preserve">ARABIC_06B7</t>
        </is>
      </c>
      <c r="B1702" t="inlineStr">
        <is>
          <t xml:space="preserve">06B7</t>
        </is>
      </c>
    </row>
    <row r="1703" customFormat="false" ht="12.8" hidden="false" customHeight="false" outlineLevel="0" collapsed="false">
      <c r="A1703" t="inlineStr">
        <is>
          <t xml:space="preserve">ARABIC_06BA</t>
        </is>
      </c>
      <c r="B1703" t="inlineStr">
        <is>
          <t xml:space="preserve">06BA</t>
        </is>
      </c>
    </row>
    <row r="1704" customFormat="false" ht="12.8" hidden="false" customHeight="false" outlineLevel="0" collapsed="false">
      <c r="A1704" t="inlineStr">
        <is>
          <t xml:space="preserve">ARABIC_06BC</t>
        </is>
      </c>
      <c r="B1704" t="inlineStr">
        <is>
          <t xml:space="preserve">06BC</t>
        </is>
      </c>
    </row>
    <row r="1705" customFormat="false" ht="12.8" hidden="false" customHeight="false" outlineLevel="0" collapsed="false">
      <c r="A1705" t="inlineStr">
        <is>
          <t xml:space="preserve">ARABIC_06C7</t>
        </is>
      </c>
      <c r="B1705" t="inlineStr">
        <is>
          <t xml:space="preserve">06C7</t>
        </is>
      </c>
    </row>
    <row r="1706" customFormat="false" ht="12.8" hidden="false" customHeight="false" outlineLevel="0" collapsed="false">
      <c r="A1706" t="inlineStr">
        <is>
          <t xml:space="preserve">ARABIC_06C9</t>
        </is>
      </c>
      <c r="B1706" t="inlineStr">
        <is>
          <t xml:space="preserve">06C9</t>
        </is>
      </c>
    </row>
    <row r="1707" customFormat="false" ht="12.8" hidden="false" customHeight="false" outlineLevel="0" collapsed="false">
      <c r="A1707" t="inlineStr">
        <is>
          <t xml:space="preserve">ARABIC_06CC</t>
        </is>
      </c>
      <c r="B1707" t="inlineStr">
        <is>
          <t xml:space="preserve">06CC</t>
        </is>
      </c>
    </row>
    <row r="1708" customFormat="false" ht="12.8" hidden="false" customHeight="false" outlineLevel="0" collapsed="false">
      <c r="A1708" t="inlineStr">
        <is>
          <t xml:space="preserve">ARABIC_06CD</t>
        </is>
      </c>
      <c r="B1708" t="inlineStr">
        <is>
          <t xml:space="preserve">06CD</t>
        </is>
      </c>
    </row>
    <row r="1709" customFormat="false" ht="12.8" hidden="false" customHeight="false" outlineLevel="0" collapsed="false">
      <c r="A1709" t="inlineStr">
        <is>
          <t xml:space="preserve">ARABIC_06D0</t>
        </is>
      </c>
      <c r="B1709" t="inlineStr">
        <is>
          <t xml:space="preserve">06D0</t>
        </is>
      </c>
    </row>
    <row r="1710" customFormat="false" ht="12.8" hidden="false" customHeight="false" outlineLevel="0" collapsed="false">
      <c r="A1710" t="inlineStr">
        <is>
          <t xml:space="preserve">ARABIC_06D2</t>
        </is>
      </c>
      <c r="B1710" t="inlineStr">
        <is>
          <t xml:space="preserve">06D2</t>
        </is>
      </c>
    </row>
    <row r="1711" customFormat="false" ht="12.8" hidden="false" customHeight="false" outlineLevel="0" collapsed="false">
      <c r="A1711" t="inlineStr">
        <is>
          <t xml:space="preserve">ARABIC_06F0</t>
        </is>
      </c>
      <c r="B1711" t="inlineStr">
        <is>
          <t xml:space="preserve">06F0</t>
        </is>
      </c>
    </row>
    <row r="1712" customFormat="false" ht="12.8" hidden="false" customHeight="false" outlineLevel="0" collapsed="false">
      <c r="A1712" t="inlineStr">
        <is>
          <t xml:space="preserve">ARABIC_06F1</t>
        </is>
      </c>
      <c r="B1712" t="inlineStr">
        <is>
          <t xml:space="preserve">06F1</t>
        </is>
      </c>
    </row>
    <row r="1713" customFormat="false" ht="12.8" hidden="false" customHeight="false" outlineLevel="0" collapsed="false">
      <c r="A1713" t="inlineStr">
        <is>
          <t xml:space="preserve">ARABIC_06F2</t>
        </is>
      </c>
      <c r="B1713" t="inlineStr">
        <is>
          <t xml:space="preserve">06F2</t>
        </is>
      </c>
    </row>
    <row r="1714" customFormat="false" ht="12.8" hidden="false" customHeight="false" outlineLevel="0" collapsed="false">
      <c r="A1714" t="inlineStr">
        <is>
          <t xml:space="preserve">ARABIC_06F3</t>
        </is>
      </c>
      <c r="B1714" t="inlineStr">
        <is>
          <t xml:space="preserve">06F3</t>
        </is>
      </c>
    </row>
    <row r="1715" customFormat="false" ht="12.8" hidden="false" customHeight="false" outlineLevel="0" collapsed="false">
      <c r="A1715" t="inlineStr">
        <is>
          <t xml:space="preserve">ARABIC_06F4</t>
        </is>
      </c>
      <c r="B1715" t="inlineStr">
        <is>
          <t xml:space="preserve">06F4</t>
        </is>
      </c>
    </row>
    <row r="1716" customFormat="false" ht="12.8" hidden="false" customHeight="false" outlineLevel="0" collapsed="false">
      <c r="A1716" t="inlineStr">
        <is>
          <t xml:space="preserve">ARABIC_06F5</t>
        </is>
      </c>
      <c r="B1716" t="inlineStr">
        <is>
          <t xml:space="preserve">06F5</t>
        </is>
      </c>
    </row>
    <row r="1717" customFormat="false" ht="12.8" hidden="false" customHeight="false" outlineLevel="0" collapsed="false">
      <c r="A1717" t="inlineStr">
        <is>
          <t xml:space="preserve">ARABIC_06F6</t>
        </is>
      </c>
      <c r="B1717" t="inlineStr">
        <is>
          <t xml:space="preserve">06F6</t>
        </is>
      </c>
    </row>
    <row r="1718" customFormat="false" ht="12.8" hidden="false" customHeight="false" outlineLevel="0" collapsed="false">
      <c r="A1718" t="inlineStr">
        <is>
          <t xml:space="preserve">ARABIC_06F7</t>
        </is>
      </c>
      <c r="B1718" t="inlineStr">
        <is>
          <t xml:space="preserve">06F7</t>
        </is>
      </c>
    </row>
    <row r="1719" customFormat="false" ht="12.8" hidden="false" customHeight="false" outlineLevel="0" collapsed="false">
      <c r="A1719" t="inlineStr">
        <is>
          <t xml:space="preserve">ARABIC_06F8</t>
        </is>
      </c>
      <c r="B1719" t="inlineStr">
        <is>
          <t xml:space="preserve">06F8</t>
        </is>
      </c>
    </row>
    <row r="1720" customFormat="false" ht="12.8" hidden="false" customHeight="false" outlineLevel="0" collapsed="false">
      <c r="A1720" t="inlineStr">
        <is>
          <t xml:space="preserve">ARABIC_06F9</t>
        </is>
      </c>
      <c r="B1720" t="inlineStr">
        <is>
          <t xml:space="preserve">06F9</t>
        </is>
      </c>
    </row>
    <row r="1721" customFormat="false" ht="12.8" hidden="false" customHeight="false" outlineLevel="0" collapsed="false">
      <c r="A1721" t="inlineStr">
        <is>
          <t xml:space="preserve">CHEROKEE_13A0</t>
        </is>
      </c>
      <c r="B1721" t="inlineStr">
        <is>
          <t xml:space="preserve">13A0</t>
        </is>
      </c>
    </row>
    <row r="1722" customFormat="false" ht="12.8" hidden="false" customHeight="false" outlineLevel="0" collapsed="false">
      <c r="A1722" t="inlineStr">
        <is>
          <t xml:space="preserve">CHEROKEE_13A1</t>
        </is>
      </c>
      <c r="B1722" t="inlineStr">
        <is>
          <t xml:space="preserve">13A1</t>
        </is>
      </c>
    </row>
    <row r="1723" customFormat="false" ht="12.8" hidden="false" customHeight="false" outlineLevel="0" collapsed="false">
      <c r="A1723" t="inlineStr">
        <is>
          <t xml:space="preserve">CHEROKEE_13A2</t>
        </is>
      </c>
      <c r="B1723" t="inlineStr">
        <is>
          <t xml:space="preserve">13A2</t>
        </is>
      </c>
    </row>
    <row r="1724" customFormat="false" ht="12.8" hidden="false" customHeight="false" outlineLevel="0" collapsed="false">
      <c r="A1724" t="inlineStr">
        <is>
          <t xml:space="preserve">CHEROKEE_13A3</t>
        </is>
      </c>
      <c r="B1724" t="inlineStr">
        <is>
          <t xml:space="preserve">13A3</t>
        </is>
      </c>
    </row>
    <row r="1725" customFormat="false" ht="12.8" hidden="false" customHeight="false" outlineLevel="0" collapsed="false">
      <c r="A1725" t="inlineStr">
        <is>
          <t xml:space="preserve">CHEROKEE_13A4</t>
        </is>
      </c>
      <c r="B1725" t="inlineStr">
        <is>
          <t xml:space="preserve">13A4</t>
        </is>
      </c>
    </row>
    <row r="1726" customFormat="false" ht="12.8" hidden="false" customHeight="false" outlineLevel="0" collapsed="false">
      <c r="A1726" t="inlineStr">
        <is>
          <t xml:space="preserve">CHEROKEE_13A5</t>
        </is>
      </c>
      <c r="B1726" t="inlineStr">
        <is>
          <t xml:space="preserve">13A5</t>
        </is>
      </c>
    </row>
    <row r="1727" customFormat="false" ht="12.8" hidden="false" customHeight="false" outlineLevel="0" collapsed="false">
      <c r="A1727" t="inlineStr">
        <is>
          <t xml:space="preserve">CHEROKEE_13A6</t>
        </is>
      </c>
      <c r="B1727" t="inlineStr">
        <is>
          <t xml:space="preserve">13A6</t>
        </is>
      </c>
    </row>
    <row r="1728" customFormat="false" ht="12.8" hidden="false" customHeight="false" outlineLevel="0" collapsed="false">
      <c r="A1728" t="inlineStr">
        <is>
          <t xml:space="preserve">CHEROKEE_13A7</t>
        </is>
      </c>
      <c r="B1728" t="inlineStr">
        <is>
          <t xml:space="preserve">13A7</t>
        </is>
      </c>
    </row>
    <row r="1729" customFormat="false" ht="12.8" hidden="false" customHeight="false" outlineLevel="0" collapsed="false">
      <c r="A1729" t="inlineStr">
        <is>
          <t xml:space="preserve">CHEROKEE_13A8</t>
        </is>
      </c>
      <c r="B1729" t="inlineStr">
        <is>
          <t xml:space="preserve">13A8</t>
        </is>
      </c>
    </row>
    <row r="1730" customFormat="false" ht="12.8" hidden="false" customHeight="false" outlineLevel="0" collapsed="false">
      <c r="A1730" t="inlineStr">
        <is>
          <t xml:space="preserve">CHEROKEE_13A9</t>
        </is>
      </c>
      <c r="B1730" t="inlineStr">
        <is>
          <t xml:space="preserve">13A9</t>
        </is>
      </c>
    </row>
    <row r="1731" customFormat="false" ht="12.8" hidden="false" customHeight="false" outlineLevel="0" collapsed="false">
      <c r="A1731" t="inlineStr">
        <is>
          <t xml:space="preserve">CHEROKEE_13AA</t>
        </is>
      </c>
      <c r="B1731" t="inlineStr">
        <is>
          <t xml:space="preserve">13AA</t>
        </is>
      </c>
    </row>
    <row r="1732" customFormat="false" ht="12.8" hidden="false" customHeight="false" outlineLevel="0" collapsed="false">
      <c r="A1732" t="inlineStr">
        <is>
          <t xml:space="preserve">CHEROKEE_13AB</t>
        </is>
      </c>
      <c r="B1732" t="inlineStr">
        <is>
          <t xml:space="preserve">13AB</t>
        </is>
      </c>
    </row>
    <row r="1733" customFormat="false" ht="12.8" hidden="false" customHeight="false" outlineLevel="0" collapsed="false">
      <c r="A1733" t="inlineStr">
        <is>
          <t xml:space="preserve">CHEROKEE_13AC</t>
        </is>
      </c>
      <c r="B1733" t="inlineStr">
        <is>
          <t xml:space="preserve">13AC</t>
        </is>
      </c>
    </row>
    <row r="1734" customFormat="false" ht="12.8" hidden="false" customHeight="false" outlineLevel="0" collapsed="false">
      <c r="A1734" t="inlineStr">
        <is>
          <t xml:space="preserve">CHEROKEE_13AD</t>
        </is>
      </c>
      <c r="B1734" t="inlineStr">
        <is>
          <t xml:space="preserve">13AD</t>
        </is>
      </c>
    </row>
    <row r="1735" customFormat="false" ht="12.8" hidden="false" customHeight="false" outlineLevel="0" collapsed="false">
      <c r="A1735" t="inlineStr">
        <is>
          <t xml:space="preserve">CHEROKEE_13AE</t>
        </is>
      </c>
      <c r="B1735" t="inlineStr">
        <is>
          <t xml:space="preserve">13AE</t>
        </is>
      </c>
    </row>
    <row r="1736" customFormat="false" ht="12.8" hidden="false" customHeight="false" outlineLevel="0" collapsed="false">
      <c r="A1736" t="inlineStr">
        <is>
          <t xml:space="preserve">CHEROKEE_13AF</t>
        </is>
      </c>
      <c r="B1736" t="inlineStr">
        <is>
          <t xml:space="preserve">13AF</t>
        </is>
      </c>
    </row>
    <row r="1737" customFormat="false" ht="12.8" hidden="false" customHeight="false" outlineLevel="0" collapsed="false">
      <c r="A1737" t="inlineStr">
        <is>
          <t xml:space="preserve">CHEROKEE_13B0</t>
        </is>
      </c>
      <c r="B1737" t="inlineStr">
        <is>
          <t xml:space="preserve">13B0</t>
        </is>
      </c>
    </row>
    <row r="1738" customFormat="false" ht="12.8" hidden="false" customHeight="false" outlineLevel="0" collapsed="false">
      <c r="A1738" t="inlineStr">
        <is>
          <t xml:space="preserve">CHEROKEE_13B1</t>
        </is>
      </c>
      <c r="B1738" t="inlineStr">
        <is>
          <t xml:space="preserve">13B1</t>
        </is>
      </c>
    </row>
    <row r="1739" customFormat="false" ht="12.8" hidden="false" customHeight="false" outlineLevel="0" collapsed="false">
      <c r="A1739" t="inlineStr">
        <is>
          <t xml:space="preserve">CHEROKEE_13B2</t>
        </is>
      </c>
      <c r="B1739" t="inlineStr">
        <is>
          <t xml:space="preserve">13B2</t>
        </is>
      </c>
    </row>
    <row r="1740" customFormat="false" ht="12.8" hidden="false" customHeight="false" outlineLevel="0" collapsed="false">
      <c r="A1740" t="inlineStr">
        <is>
          <t xml:space="preserve">CHEROKEE_13B3</t>
        </is>
      </c>
      <c r="B1740" t="inlineStr">
        <is>
          <t xml:space="preserve">13B3</t>
        </is>
      </c>
    </row>
    <row r="1741" customFormat="false" ht="12.8" hidden="false" customHeight="false" outlineLevel="0" collapsed="false">
      <c r="A1741" t="inlineStr">
        <is>
          <t xml:space="preserve">CHEROKEE_13B4</t>
        </is>
      </c>
      <c r="B1741" t="inlineStr">
        <is>
          <t xml:space="preserve">13B4</t>
        </is>
      </c>
    </row>
    <row r="1742" customFormat="false" ht="12.8" hidden="false" customHeight="false" outlineLevel="0" collapsed="false">
      <c r="A1742" t="inlineStr">
        <is>
          <t xml:space="preserve">CHEROKEE_13B5</t>
        </is>
      </c>
      <c r="B1742" t="inlineStr">
        <is>
          <t xml:space="preserve">13B5</t>
        </is>
      </c>
    </row>
    <row r="1743" customFormat="false" ht="12.8" hidden="false" customHeight="false" outlineLevel="0" collapsed="false">
      <c r="A1743" t="inlineStr">
        <is>
          <t xml:space="preserve">CHEROKEE_13B6</t>
        </is>
      </c>
      <c r="B1743" t="inlineStr">
        <is>
          <t xml:space="preserve">13B6</t>
        </is>
      </c>
    </row>
    <row r="1744" customFormat="false" ht="12.8" hidden="false" customHeight="false" outlineLevel="0" collapsed="false">
      <c r="A1744" t="inlineStr">
        <is>
          <t xml:space="preserve">CHEROKEE_13B7</t>
        </is>
      </c>
      <c r="B1744" t="inlineStr">
        <is>
          <t xml:space="preserve">13B7</t>
        </is>
      </c>
    </row>
    <row r="1745" customFormat="false" ht="12.8" hidden="false" customHeight="false" outlineLevel="0" collapsed="false">
      <c r="A1745" t="inlineStr">
        <is>
          <t xml:space="preserve">CHEROKEE_13B8</t>
        </is>
      </c>
      <c r="B1745" t="inlineStr">
        <is>
          <t xml:space="preserve">13B8</t>
        </is>
      </c>
    </row>
    <row r="1746" customFormat="false" ht="12.8" hidden="false" customHeight="false" outlineLevel="0" collapsed="false">
      <c r="A1746" t="inlineStr">
        <is>
          <t xml:space="preserve">CHEROKEE_13B9</t>
        </is>
      </c>
      <c r="B1746" t="inlineStr">
        <is>
          <t xml:space="preserve">13B9</t>
        </is>
      </c>
    </row>
    <row r="1747" customFormat="false" ht="12.8" hidden="false" customHeight="false" outlineLevel="0" collapsed="false">
      <c r="A1747" t="inlineStr">
        <is>
          <t xml:space="preserve">CHEROKEE_13BA</t>
        </is>
      </c>
      <c r="B1747" t="inlineStr">
        <is>
          <t xml:space="preserve">13BA</t>
        </is>
      </c>
    </row>
    <row r="1748" customFormat="false" ht="12.8" hidden="false" customHeight="false" outlineLevel="0" collapsed="false">
      <c r="A1748" t="inlineStr">
        <is>
          <t xml:space="preserve">CHEROKEE_13BB</t>
        </is>
      </c>
      <c r="B1748" t="inlineStr">
        <is>
          <t xml:space="preserve">13BB</t>
        </is>
      </c>
    </row>
    <row r="1749" customFormat="false" ht="12.8" hidden="false" customHeight="false" outlineLevel="0" collapsed="false">
      <c r="A1749" t="inlineStr">
        <is>
          <t xml:space="preserve">CHEROKEE_13BC</t>
        </is>
      </c>
      <c r="B1749" t="inlineStr">
        <is>
          <t xml:space="preserve">13BC</t>
        </is>
      </c>
    </row>
    <row r="1750" customFormat="false" ht="12.8" hidden="false" customHeight="false" outlineLevel="0" collapsed="false">
      <c r="A1750" t="inlineStr">
        <is>
          <t xml:space="preserve">CHEROKEE_13BD</t>
        </is>
      </c>
      <c r="B1750" t="inlineStr">
        <is>
          <t xml:space="preserve">13BD</t>
        </is>
      </c>
    </row>
    <row r="1751" customFormat="false" ht="12.8" hidden="false" customHeight="false" outlineLevel="0" collapsed="false">
      <c r="A1751" t="inlineStr">
        <is>
          <t xml:space="preserve">CHEROKEE_13BE</t>
        </is>
      </c>
      <c r="B1751" t="inlineStr">
        <is>
          <t xml:space="preserve">13BE</t>
        </is>
      </c>
    </row>
    <row r="1752" customFormat="false" ht="12.8" hidden="false" customHeight="false" outlineLevel="0" collapsed="false">
      <c r="A1752" t="inlineStr">
        <is>
          <t xml:space="preserve">CHEROKEE_13BF</t>
        </is>
      </c>
      <c r="B1752" t="inlineStr">
        <is>
          <t xml:space="preserve">13BF</t>
        </is>
      </c>
    </row>
    <row r="1753" customFormat="false" ht="12.8" hidden="false" customHeight="false" outlineLevel="0" collapsed="false">
      <c r="A1753" t="inlineStr">
        <is>
          <t xml:space="preserve">CHEROKEE_13C1</t>
        </is>
      </c>
      <c r="B1753" t="inlineStr">
        <is>
          <t xml:space="preserve">13C1</t>
        </is>
      </c>
    </row>
    <row r="1754" customFormat="false" ht="12.8" hidden="false" customHeight="false" outlineLevel="0" collapsed="false">
      <c r="A1754" t="inlineStr">
        <is>
          <t xml:space="preserve">CHEROKEE_13C2</t>
        </is>
      </c>
      <c r="B1754" t="inlineStr">
        <is>
          <t xml:space="preserve">13C2</t>
        </is>
      </c>
    </row>
    <row r="1755" customFormat="false" ht="12.8" hidden="false" customHeight="false" outlineLevel="0" collapsed="false">
      <c r="A1755" t="inlineStr">
        <is>
          <t xml:space="preserve">CHEROKEE_13C3</t>
        </is>
      </c>
      <c r="B1755" t="inlineStr">
        <is>
          <t xml:space="preserve">13C3</t>
        </is>
      </c>
    </row>
    <row r="1756" customFormat="false" ht="12.8" hidden="false" customHeight="false" outlineLevel="0" collapsed="false">
      <c r="A1756" t="inlineStr">
        <is>
          <t xml:space="preserve">CHEROKEE_13C4</t>
        </is>
      </c>
      <c r="B1756" t="inlineStr">
        <is>
          <t xml:space="preserve">13C4</t>
        </is>
      </c>
    </row>
    <row r="1757" customFormat="false" ht="12.8" hidden="false" customHeight="false" outlineLevel="0" collapsed="false">
      <c r="A1757" t="inlineStr">
        <is>
          <t xml:space="preserve">CHEROKEE_13C5</t>
        </is>
      </c>
      <c r="B1757" t="inlineStr">
        <is>
          <t xml:space="preserve">13C5</t>
        </is>
      </c>
    </row>
    <row r="1758" customFormat="false" ht="12.8" hidden="false" customHeight="false" outlineLevel="0" collapsed="false">
      <c r="A1758" t="inlineStr">
        <is>
          <t xml:space="preserve">CHEROKEE_13C6</t>
        </is>
      </c>
      <c r="B1758" t="inlineStr">
        <is>
          <t xml:space="preserve">13C6</t>
        </is>
      </c>
    </row>
    <row r="1759" customFormat="false" ht="12.8" hidden="false" customHeight="false" outlineLevel="0" collapsed="false">
      <c r="A1759" t="inlineStr">
        <is>
          <t xml:space="preserve">CHEROKEE_13C7</t>
        </is>
      </c>
      <c r="B1759" t="inlineStr">
        <is>
          <t xml:space="preserve">13C7</t>
        </is>
      </c>
    </row>
    <row r="1760" customFormat="false" ht="12.8" hidden="false" customHeight="false" outlineLevel="0" collapsed="false">
      <c r="A1760" t="inlineStr">
        <is>
          <t xml:space="preserve">CHEROKEE_13C8</t>
        </is>
      </c>
      <c r="B1760" t="inlineStr">
        <is>
          <t xml:space="preserve">13C8</t>
        </is>
      </c>
    </row>
    <row r="1761" customFormat="false" ht="12.8" hidden="false" customHeight="false" outlineLevel="0" collapsed="false">
      <c r="A1761" t="inlineStr">
        <is>
          <t xml:space="preserve">CHEROKEE_13C9</t>
        </is>
      </c>
      <c r="B1761" t="inlineStr">
        <is>
          <t xml:space="preserve">13C9</t>
        </is>
      </c>
    </row>
    <row r="1762" customFormat="false" ht="12.8" hidden="false" customHeight="false" outlineLevel="0" collapsed="false">
      <c r="A1762" t="inlineStr">
        <is>
          <t xml:space="preserve">CHEROKEE_13CA</t>
        </is>
      </c>
      <c r="B1762" t="inlineStr">
        <is>
          <t xml:space="preserve">13CA</t>
        </is>
      </c>
    </row>
    <row r="1763" customFormat="false" ht="12.8" hidden="false" customHeight="false" outlineLevel="0" collapsed="false">
      <c r="A1763" t="inlineStr">
        <is>
          <t xml:space="preserve">CHEROKEE_13CB</t>
        </is>
      </c>
      <c r="B1763" t="inlineStr">
        <is>
          <t xml:space="preserve">13CB</t>
        </is>
      </c>
    </row>
    <row r="1764" customFormat="false" ht="12.8" hidden="false" customHeight="false" outlineLevel="0" collapsed="false">
      <c r="A1764" t="inlineStr">
        <is>
          <t xml:space="preserve">CHEROKEE_13CC</t>
        </is>
      </c>
      <c r="B1764" t="inlineStr">
        <is>
          <t xml:space="preserve">13CC</t>
        </is>
      </c>
    </row>
    <row r="1765" customFormat="false" ht="12.8" hidden="false" customHeight="false" outlineLevel="0" collapsed="false">
      <c r="A1765" t="inlineStr">
        <is>
          <t xml:space="preserve">CHEROKEE_13CD</t>
        </is>
      </c>
      <c r="B1765" t="inlineStr">
        <is>
          <t xml:space="preserve">13CD</t>
        </is>
      </c>
    </row>
    <row r="1766" customFormat="false" ht="12.8" hidden="false" customHeight="false" outlineLevel="0" collapsed="false">
      <c r="A1766" t="inlineStr">
        <is>
          <t xml:space="preserve">CHEROKEE_13CE</t>
        </is>
      </c>
      <c r="B1766" t="inlineStr">
        <is>
          <t xml:space="preserve">13CE</t>
        </is>
      </c>
    </row>
    <row r="1767" customFormat="false" ht="12.8" hidden="false" customHeight="false" outlineLevel="0" collapsed="false">
      <c r="A1767" t="inlineStr">
        <is>
          <t xml:space="preserve">CHEROKEE_13CF</t>
        </is>
      </c>
      <c r="B1767" t="inlineStr">
        <is>
          <t xml:space="preserve">13CF</t>
        </is>
      </c>
    </row>
    <row r="1768" customFormat="false" ht="12.8" hidden="false" customHeight="false" outlineLevel="0" collapsed="false">
      <c r="A1768" t="inlineStr">
        <is>
          <t xml:space="preserve">CHEROKEE_13D0</t>
        </is>
      </c>
      <c r="B1768" t="inlineStr">
        <is>
          <t xml:space="preserve">13D0</t>
        </is>
      </c>
    </row>
    <row r="1769" customFormat="false" ht="12.8" hidden="false" customHeight="false" outlineLevel="0" collapsed="false">
      <c r="A1769" t="inlineStr">
        <is>
          <t xml:space="preserve">CHEROKEE_13D1</t>
        </is>
      </c>
      <c r="B1769" t="inlineStr">
        <is>
          <t xml:space="preserve">13D1</t>
        </is>
      </c>
    </row>
    <row r="1770" customFormat="false" ht="12.8" hidden="false" customHeight="false" outlineLevel="0" collapsed="false">
      <c r="A1770" t="inlineStr">
        <is>
          <t xml:space="preserve">CHEROKEE_13D2</t>
        </is>
      </c>
      <c r="B1770" t="inlineStr">
        <is>
          <t xml:space="preserve">13D2</t>
        </is>
      </c>
    </row>
    <row r="1771" customFormat="false" ht="12.8" hidden="false" customHeight="false" outlineLevel="0" collapsed="false">
      <c r="A1771" t="inlineStr">
        <is>
          <t xml:space="preserve">CHEROKEE_13D3</t>
        </is>
      </c>
      <c r="B1771" t="inlineStr">
        <is>
          <t xml:space="preserve">13D3</t>
        </is>
      </c>
    </row>
    <row r="1772" customFormat="false" ht="12.8" hidden="false" customHeight="false" outlineLevel="0" collapsed="false">
      <c r="A1772" t="inlineStr">
        <is>
          <t xml:space="preserve">CHEROKEE_13D4</t>
        </is>
      </c>
      <c r="B1772" t="inlineStr">
        <is>
          <t xml:space="preserve">13D4</t>
        </is>
      </c>
    </row>
    <row r="1773" customFormat="false" ht="12.8" hidden="false" customHeight="false" outlineLevel="0" collapsed="false">
      <c r="A1773" t="inlineStr">
        <is>
          <t xml:space="preserve">CHEROKEE_13D5</t>
        </is>
      </c>
      <c r="B1773" t="inlineStr">
        <is>
          <t xml:space="preserve">13D5</t>
        </is>
      </c>
    </row>
    <row r="1774" customFormat="false" ht="12.8" hidden="false" customHeight="false" outlineLevel="0" collapsed="false">
      <c r="A1774" t="inlineStr">
        <is>
          <t xml:space="preserve">CHEROKEE_13D6</t>
        </is>
      </c>
      <c r="B1774" t="inlineStr">
        <is>
          <t xml:space="preserve">13D6</t>
        </is>
      </c>
    </row>
    <row r="1775" customFormat="false" ht="12.8" hidden="false" customHeight="false" outlineLevel="0" collapsed="false">
      <c r="A1775" t="inlineStr">
        <is>
          <t xml:space="preserve">CHEROKEE_13D7</t>
        </is>
      </c>
      <c r="B1775" t="inlineStr">
        <is>
          <t xml:space="preserve">13D7</t>
        </is>
      </c>
    </row>
    <row r="1776" customFormat="false" ht="12.8" hidden="false" customHeight="false" outlineLevel="0" collapsed="false">
      <c r="A1776" t="inlineStr">
        <is>
          <t xml:space="preserve">CHEROKEE_13D8</t>
        </is>
      </c>
      <c r="B1776" t="inlineStr">
        <is>
          <t xml:space="preserve">13D8</t>
        </is>
      </c>
    </row>
    <row r="1777" customFormat="false" ht="12.8" hidden="false" customHeight="false" outlineLevel="0" collapsed="false">
      <c r="A1777" t="inlineStr">
        <is>
          <t xml:space="preserve">CHEROKEE_13D9</t>
        </is>
      </c>
      <c r="B1777" t="inlineStr">
        <is>
          <t xml:space="preserve">13D9</t>
        </is>
      </c>
    </row>
    <row r="1778" customFormat="false" ht="12.8" hidden="false" customHeight="false" outlineLevel="0" collapsed="false">
      <c r="A1778" t="inlineStr">
        <is>
          <t xml:space="preserve">CHEROKEE_13DA</t>
        </is>
      </c>
      <c r="B1778" t="inlineStr">
        <is>
          <t xml:space="preserve">13DA</t>
        </is>
      </c>
    </row>
    <row r="1779" customFormat="false" ht="12.8" hidden="false" customHeight="false" outlineLevel="0" collapsed="false">
      <c r="A1779" t="inlineStr">
        <is>
          <t xml:space="preserve">CHEROKEE_13DB</t>
        </is>
      </c>
      <c r="B1779" t="inlineStr">
        <is>
          <t xml:space="preserve">13DB</t>
        </is>
      </c>
    </row>
    <row r="1780" customFormat="false" ht="12.8" hidden="false" customHeight="false" outlineLevel="0" collapsed="false">
      <c r="A1780" t="inlineStr">
        <is>
          <t xml:space="preserve">CHEROKEE_13DC</t>
        </is>
      </c>
      <c r="B1780" t="inlineStr">
        <is>
          <t xml:space="preserve">13DC</t>
        </is>
      </c>
    </row>
    <row r="1781" customFormat="false" ht="12.8" hidden="false" customHeight="false" outlineLevel="0" collapsed="false">
      <c r="A1781" t="inlineStr">
        <is>
          <t xml:space="preserve">CHEROKEE_13DD</t>
        </is>
      </c>
      <c r="B1781" t="inlineStr">
        <is>
          <t xml:space="preserve">13DD</t>
        </is>
      </c>
    </row>
    <row r="1782" customFormat="false" ht="12.8" hidden="false" customHeight="false" outlineLevel="0" collapsed="false">
      <c r="A1782" t="inlineStr">
        <is>
          <t xml:space="preserve">CHEROKEE_13DE</t>
        </is>
      </c>
      <c r="B1782" t="inlineStr">
        <is>
          <t xml:space="preserve">13DE</t>
        </is>
      </c>
    </row>
    <row r="1783" customFormat="false" ht="12.8" hidden="false" customHeight="false" outlineLevel="0" collapsed="false">
      <c r="A1783" t="inlineStr">
        <is>
          <t xml:space="preserve">CHEROKEE_13DF</t>
        </is>
      </c>
      <c r="B1783" t="inlineStr">
        <is>
          <t xml:space="preserve">13DF</t>
        </is>
      </c>
    </row>
    <row r="1784" customFormat="false" ht="12.8" hidden="false" customHeight="false" outlineLevel="0" collapsed="false">
      <c r="A1784" t="inlineStr">
        <is>
          <t xml:space="preserve">CHEROKEE_13E0</t>
        </is>
      </c>
      <c r="B1784" t="inlineStr">
        <is>
          <t xml:space="preserve">13E0</t>
        </is>
      </c>
    </row>
    <row r="1785" customFormat="false" ht="12.8" hidden="false" customHeight="false" outlineLevel="0" collapsed="false">
      <c r="A1785" t="inlineStr">
        <is>
          <t xml:space="preserve">CHEROKEE_13E1</t>
        </is>
      </c>
      <c r="B1785" t="inlineStr">
        <is>
          <t xml:space="preserve">13E1</t>
        </is>
      </c>
    </row>
    <row r="1786" customFormat="false" ht="12.8" hidden="false" customHeight="false" outlineLevel="0" collapsed="false">
      <c r="A1786" t="inlineStr">
        <is>
          <t xml:space="preserve">CHEROKEE_13E2</t>
        </is>
      </c>
      <c r="B1786" t="inlineStr">
        <is>
          <t xml:space="preserve">13E2</t>
        </is>
      </c>
    </row>
    <row r="1787" customFormat="false" ht="12.8" hidden="false" customHeight="false" outlineLevel="0" collapsed="false">
      <c r="A1787" t="inlineStr">
        <is>
          <t xml:space="preserve">CHEROKEE_13E3</t>
        </is>
      </c>
      <c r="B1787" t="inlineStr">
        <is>
          <t xml:space="preserve">13E3</t>
        </is>
      </c>
    </row>
    <row r="1788" customFormat="false" ht="12.8" hidden="false" customHeight="false" outlineLevel="0" collapsed="false">
      <c r="A1788" t="inlineStr">
        <is>
          <t xml:space="preserve">CHEROKEE_13E4</t>
        </is>
      </c>
      <c r="B1788" t="inlineStr">
        <is>
          <t xml:space="preserve">13E4</t>
        </is>
      </c>
    </row>
    <row r="1789" customFormat="false" ht="12.8" hidden="false" customHeight="false" outlineLevel="0" collapsed="false">
      <c r="A1789" t="inlineStr">
        <is>
          <t xml:space="preserve">CHEROKEE_13E5</t>
        </is>
      </c>
      <c r="B1789" t="inlineStr">
        <is>
          <t xml:space="preserve">13E5</t>
        </is>
      </c>
    </row>
    <row r="1790" customFormat="false" ht="12.8" hidden="false" customHeight="false" outlineLevel="0" collapsed="false">
      <c r="A1790" t="inlineStr">
        <is>
          <t xml:space="preserve">CHEROKEE_13E6</t>
        </is>
      </c>
      <c r="B1790" t="inlineStr">
        <is>
          <t xml:space="preserve">13E6</t>
        </is>
      </c>
    </row>
    <row r="1791" customFormat="false" ht="12.8" hidden="false" customHeight="false" outlineLevel="0" collapsed="false">
      <c r="A1791" t="inlineStr">
        <is>
          <t xml:space="preserve">CHEROKEE_13E7</t>
        </is>
      </c>
      <c r="B1791" t="inlineStr">
        <is>
          <t xml:space="preserve">13E7</t>
        </is>
      </c>
    </row>
    <row r="1792" customFormat="false" ht="12.8" hidden="false" customHeight="false" outlineLevel="0" collapsed="false">
      <c r="A1792" t="inlineStr">
        <is>
          <t xml:space="preserve">CHEROKEE_13E8</t>
        </is>
      </c>
      <c r="B1792" t="inlineStr">
        <is>
          <t xml:space="preserve">13E8</t>
        </is>
      </c>
    </row>
    <row r="1793" customFormat="false" ht="12.8" hidden="false" customHeight="false" outlineLevel="0" collapsed="false">
      <c r="A1793" t="inlineStr">
        <is>
          <t xml:space="preserve">CHEROKEE_13E9</t>
        </is>
      </c>
      <c r="B1793" t="inlineStr">
        <is>
          <t xml:space="preserve">13E9</t>
        </is>
      </c>
    </row>
    <row r="1794" customFormat="false" ht="12.8" hidden="false" customHeight="false" outlineLevel="0" collapsed="false">
      <c r="A1794" t="inlineStr">
        <is>
          <t xml:space="preserve">CHEROKEE_13EA</t>
        </is>
      </c>
      <c r="B1794" t="inlineStr">
        <is>
          <t xml:space="preserve">13EA</t>
        </is>
      </c>
    </row>
    <row r="1795" customFormat="false" ht="12.8" hidden="false" customHeight="false" outlineLevel="0" collapsed="false">
      <c r="A1795" t="inlineStr">
        <is>
          <t xml:space="preserve">CHEROKEE_13EB</t>
        </is>
      </c>
      <c r="B1795" t="inlineStr">
        <is>
          <t xml:space="preserve">13EB</t>
        </is>
      </c>
    </row>
    <row r="1796" customFormat="false" ht="12.8" hidden="false" customHeight="false" outlineLevel="0" collapsed="false">
      <c r="A1796" t="inlineStr">
        <is>
          <t xml:space="preserve">CHEROKEE_13EC</t>
        </is>
      </c>
      <c r="B1796" t="inlineStr">
        <is>
          <t xml:space="preserve">13EC</t>
        </is>
      </c>
    </row>
    <row r="1797" customFormat="false" ht="12.8" hidden="false" customHeight="false" outlineLevel="0" collapsed="false">
      <c r="A1797" t="inlineStr">
        <is>
          <t xml:space="preserve">CHEROKEE_13ED</t>
        </is>
      </c>
      <c r="B1797" t="inlineStr">
        <is>
          <t xml:space="preserve">13ED</t>
        </is>
      </c>
    </row>
    <row r="1798" customFormat="false" ht="12.8" hidden="false" customHeight="false" outlineLevel="0" collapsed="false">
      <c r="A1798" t="inlineStr">
        <is>
          <t xml:space="preserve">CHEROKEE_13EE</t>
        </is>
      </c>
      <c r="B1798" t="inlineStr">
        <is>
          <t xml:space="preserve">13EE</t>
        </is>
      </c>
    </row>
    <row r="1799" customFormat="false" ht="12.8" hidden="false" customHeight="false" outlineLevel="0" collapsed="false">
      <c r="A1799" t="inlineStr">
        <is>
          <t xml:space="preserve">CHEROKEE_13EF</t>
        </is>
      </c>
      <c r="B1799" t="inlineStr">
        <is>
          <t xml:space="preserve">13EF</t>
        </is>
      </c>
    </row>
    <row r="1800" customFormat="false" ht="12.8" hidden="false" customHeight="false" outlineLevel="0" collapsed="false">
      <c r="A1800" t="inlineStr">
        <is>
          <t xml:space="preserve">CHEROKEE_13F0</t>
        </is>
      </c>
      <c r="B1800" t="inlineStr">
        <is>
          <t xml:space="preserve">13F0</t>
        </is>
      </c>
    </row>
    <row r="1801" customFormat="false" ht="12.8" hidden="false" customHeight="false" outlineLevel="0" collapsed="false">
      <c r="A1801" t="inlineStr">
        <is>
          <t xml:space="preserve">CHEROKEE_13F1</t>
        </is>
      </c>
      <c r="B1801" t="inlineStr">
        <is>
          <t xml:space="preserve">13F1</t>
        </is>
      </c>
    </row>
    <row r="1802" customFormat="false" ht="12.8" hidden="false" customHeight="false" outlineLevel="0" collapsed="false">
      <c r="A1802" t="inlineStr">
        <is>
          <t xml:space="preserve">CHEROKEE_13F2</t>
        </is>
      </c>
      <c r="B1802" t="inlineStr">
        <is>
          <t xml:space="preserve">13F2</t>
        </is>
      </c>
    </row>
    <row r="1803" customFormat="false" ht="12.8" hidden="false" customHeight="false" outlineLevel="0" collapsed="false">
      <c r="A1803" t="inlineStr">
        <is>
          <t xml:space="preserve">CHEROKEE_13F3</t>
        </is>
      </c>
      <c r="B1803" t="inlineStr">
        <is>
          <t xml:space="preserve">13F3</t>
        </is>
      </c>
    </row>
    <row r="1804" customFormat="false" ht="12.8" hidden="false" customHeight="false" outlineLevel="0" collapsed="false">
      <c r="A1804" t="inlineStr">
        <is>
          <t xml:space="preserve">CHEROKEE_13F4</t>
        </is>
      </c>
      <c r="B1804" t="inlineStr">
        <is>
          <t xml:space="preserve">13F4</t>
        </is>
      </c>
    </row>
    <row r="1805" customFormat="false" ht="12.8" hidden="false" customHeight="false" outlineLevel="0" collapsed="false">
      <c r="A1805" t="inlineStr">
        <is>
          <t xml:space="preserve">UCAS_1401</t>
        </is>
      </c>
      <c r="B1805" t="inlineStr">
        <is>
          <t xml:space="preserve">1401</t>
        </is>
      </c>
    </row>
    <row r="1806" customFormat="false" ht="12.8" hidden="false" customHeight="false" outlineLevel="0" collapsed="false">
      <c r="A1806" t="inlineStr">
        <is>
          <t xml:space="preserve">UCAS_1403</t>
        </is>
      </c>
      <c r="B1806" t="inlineStr">
        <is>
          <t xml:space="preserve">1403</t>
        </is>
      </c>
    </row>
    <row r="1807" customFormat="false" ht="12.8" hidden="false" customHeight="false" outlineLevel="0" collapsed="false">
      <c r="A1807" t="inlineStr">
        <is>
          <t xml:space="preserve">UCAS_1405</t>
        </is>
      </c>
      <c r="B1807" t="inlineStr">
        <is>
          <t xml:space="preserve">1405</t>
        </is>
      </c>
    </row>
    <row r="1808" customFormat="false" ht="12.8" hidden="false" customHeight="false" outlineLevel="0" collapsed="false">
      <c r="A1808" t="inlineStr">
        <is>
          <t xml:space="preserve">UCAS_140A</t>
        </is>
      </c>
      <c r="B1808" t="inlineStr">
        <is>
          <t xml:space="preserve">140A</t>
        </is>
      </c>
    </row>
    <row r="1809" customFormat="false" ht="12.8" hidden="false" customHeight="false" outlineLevel="0" collapsed="false">
      <c r="A1809" t="inlineStr">
        <is>
          <t xml:space="preserve">UCAS_1417</t>
        </is>
      </c>
      <c r="B1809" t="inlineStr">
        <is>
          <t xml:space="preserve">1417</t>
        </is>
      </c>
    </row>
    <row r="1810" customFormat="false" ht="12.8" hidden="false" customHeight="false" outlineLevel="0" collapsed="false">
      <c r="A1810" t="inlineStr">
        <is>
          <t xml:space="preserve">UCAS_141E</t>
        </is>
      </c>
      <c r="B1810" t="inlineStr">
        <is>
          <t xml:space="preserve">141E</t>
        </is>
      </c>
    </row>
    <row r="1811" customFormat="false" ht="12.8" hidden="false" customHeight="false" outlineLevel="0" collapsed="false">
      <c r="A1811" t="inlineStr">
        <is>
          <t xml:space="preserve">UCAS_1431</t>
        </is>
      </c>
      <c r="B1811" t="inlineStr">
        <is>
          <t xml:space="preserve">1431</t>
        </is>
      </c>
    </row>
    <row r="1812" customFormat="false" ht="12.8" hidden="false" customHeight="false" outlineLevel="0" collapsed="false">
      <c r="A1812" t="inlineStr">
        <is>
          <t xml:space="preserve">UCAS_1433</t>
        </is>
      </c>
      <c r="B1812" t="inlineStr">
        <is>
          <t xml:space="preserve">1433</t>
        </is>
      </c>
    </row>
    <row r="1813" customFormat="false" ht="12.8" hidden="false" customHeight="false" outlineLevel="0" collapsed="false">
      <c r="A1813" t="inlineStr">
        <is>
          <t xml:space="preserve">UCAS_1438</t>
        </is>
      </c>
      <c r="B1813" t="inlineStr">
        <is>
          <t xml:space="preserve">1438</t>
        </is>
      </c>
    </row>
    <row r="1814" customFormat="false" ht="12.8" hidden="false" customHeight="false" outlineLevel="0" collapsed="false">
      <c r="A1814" t="inlineStr">
        <is>
          <t xml:space="preserve">UCAS_1449</t>
        </is>
      </c>
      <c r="B1814" t="inlineStr">
        <is>
          <t xml:space="preserve">1449</t>
        </is>
      </c>
    </row>
    <row r="1815" customFormat="false" ht="12.8" hidden="false" customHeight="false" outlineLevel="0" collapsed="false">
      <c r="A1815" t="inlineStr">
        <is>
          <t xml:space="preserve">UCAS_144E</t>
        </is>
      </c>
      <c r="B1815" t="inlineStr">
        <is>
          <t xml:space="preserve">144E</t>
        </is>
      </c>
    </row>
    <row r="1816" customFormat="false" ht="12.8" hidden="false" customHeight="false" outlineLevel="0" collapsed="false">
      <c r="A1816" t="inlineStr">
        <is>
          <t xml:space="preserve">UCAS_1450</t>
        </is>
      </c>
      <c r="B1816" t="inlineStr">
        <is>
          <t xml:space="preserve">1450</t>
        </is>
      </c>
    </row>
    <row r="1817" customFormat="false" ht="12.8" hidden="false" customHeight="false" outlineLevel="0" collapsed="false">
      <c r="A1817" t="inlineStr">
        <is>
          <t xml:space="preserve">UCAS_1455</t>
        </is>
      </c>
      <c r="B1817" t="inlineStr">
        <is>
          <t xml:space="preserve">1455</t>
        </is>
      </c>
    </row>
    <row r="1818" customFormat="false" ht="12.8" hidden="false" customHeight="false" outlineLevel="0" collapsed="false">
      <c r="A1818" t="inlineStr">
        <is>
          <t xml:space="preserve">UCAS_1466</t>
        </is>
      </c>
      <c r="B1818" t="inlineStr">
        <is>
          <t xml:space="preserve">1466</t>
        </is>
      </c>
    </row>
    <row r="1819" customFormat="false" ht="12.8" hidden="false" customHeight="false" outlineLevel="0" collapsed="false">
      <c r="A1819" t="inlineStr">
        <is>
          <t xml:space="preserve">UCAS_146D</t>
        </is>
      </c>
      <c r="B1819" t="inlineStr">
        <is>
          <t xml:space="preserve">146D</t>
        </is>
      </c>
    </row>
    <row r="1820" customFormat="false" ht="12.8" hidden="false" customHeight="false" outlineLevel="0" collapsed="false">
      <c r="A1820" t="inlineStr">
        <is>
          <t xml:space="preserve">UCAS_146F</t>
        </is>
      </c>
      <c r="B1820" t="inlineStr">
        <is>
          <t xml:space="preserve">146F</t>
        </is>
      </c>
    </row>
    <row r="1821" customFormat="false" ht="12.8" hidden="false" customHeight="false" outlineLevel="0" collapsed="false">
      <c r="A1821" t="inlineStr">
        <is>
          <t xml:space="preserve">UCAS_1472</t>
        </is>
      </c>
      <c r="B1821" t="inlineStr">
        <is>
          <t xml:space="preserve">1472</t>
        </is>
      </c>
    </row>
    <row r="1822" customFormat="false" ht="12.8" hidden="false" customHeight="false" outlineLevel="0" collapsed="false">
      <c r="A1822" t="inlineStr">
        <is>
          <t xml:space="preserve">UCAS_1483</t>
        </is>
      </c>
      <c r="B1822" t="inlineStr">
        <is>
          <t xml:space="preserve">1483</t>
        </is>
      </c>
    </row>
    <row r="1823" customFormat="false" ht="12.8" hidden="false" customHeight="false" outlineLevel="0" collapsed="false">
      <c r="A1823" t="inlineStr">
        <is>
          <t xml:space="preserve">UCAS_148B</t>
        </is>
      </c>
      <c r="B1823" t="inlineStr">
        <is>
          <t xml:space="preserve">148B</t>
        </is>
      </c>
    </row>
    <row r="1824" customFormat="false" ht="12.8" hidden="false" customHeight="false" outlineLevel="0" collapsed="false">
      <c r="A1824" t="inlineStr">
        <is>
          <t xml:space="preserve">UCAS_148D</t>
        </is>
      </c>
      <c r="B1824" t="inlineStr">
        <is>
          <t xml:space="preserve">148D</t>
        </is>
      </c>
    </row>
    <row r="1825" customFormat="false" ht="12.8" hidden="false" customHeight="false" outlineLevel="0" collapsed="false">
      <c r="A1825" t="inlineStr">
        <is>
          <t xml:space="preserve">UCAS_1490</t>
        </is>
      </c>
      <c r="B1825" t="inlineStr">
        <is>
          <t xml:space="preserve">1490</t>
        </is>
      </c>
    </row>
    <row r="1826" customFormat="false" ht="12.8" hidden="false" customHeight="false" outlineLevel="0" collapsed="false">
      <c r="A1826" t="inlineStr">
        <is>
          <t xml:space="preserve">UCAS_14A1</t>
        </is>
      </c>
      <c r="B1826" t="inlineStr">
        <is>
          <t xml:space="preserve">14A1</t>
        </is>
      </c>
    </row>
    <row r="1827" customFormat="false" ht="12.8" hidden="false" customHeight="false" outlineLevel="0" collapsed="false">
      <c r="A1827" t="inlineStr">
        <is>
          <t xml:space="preserve">UCAS_14A5</t>
        </is>
      </c>
      <c r="B1827" t="inlineStr">
        <is>
          <t xml:space="preserve">14A5</t>
        </is>
      </c>
    </row>
    <row r="1828" customFormat="false" ht="12.8" hidden="false" customHeight="false" outlineLevel="0" collapsed="false">
      <c r="A1828" t="inlineStr">
        <is>
          <t xml:space="preserve">UCAS_14A7</t>
        </is>
      </c>
      <c r="B1828" t="inlineStr">
        <is>
          <t xml:space="preserve">14A7</t>
        </is>
      </c>
    </row>
    <row r="1829" customFormat="false" ht="12.8" hidden="false" customHeight="false" outlineLevel="0" collapsed="false">
      <c r="A1829" t="inlineStr">
        <is>
          <t xml:space="preserve">UCAS_14AA</t>
        </is>
      </c>
      <c r="B1829" t="inlineStr">
        <is>
          <t xml:space="preserve">14AA</t>
        </is>
      </c>
    </row>
    <row r="1830" customFormat="false" ht="12.8" hidden="false" customHeight="false" outlineLevel="0" collapsed="false">
      <c r="A1830" t="inlineStr">
        <is>
          <t xml:space="preserve">UCAS_14BB</t>
        </is>
      </c>
      <c r="B1830" t="inlineStr">
        <is>
          <t xml:space="preserve">14BB</t>
        </is>
      </c>
    </row>
    <row r="1831" customFormat="false" ht="12.8" hidden="false" customHeight="false" outlineLevel="0" collapsed="false">
      <c r="A1831" t="inlineStr">
        <is>
          <t xml:space="preserve">UCAS_14C2</t>
        </is>
      </c>
      <c r="B1831" t="inlineStr">
        <is>
          <t xml:space="preserve">14C2</t>
        </is>
      </c>
    </row>
    <row r="1832" customFormat="false" ht="12.8" hidden="false" customHeight="false" outlineLevel="0" collapsed="false">
      <c r="A1832" t="inlineStr">
        <is>
          <t xml:space="preserve">UCAS_14C4</t>
        </is>
      </c>
      <c r="B1832" t="inlineStr">
        <is>
          <t xml:space="preserve">14C4</t>
        </is>
      </c>
    </row>
    <row r="1833" customFormat="false" ht="12.8" hidden="false" customHeight="false" outlineLevel="0" collapsed="false">
      <c r="A1833" t="inlineStr">
        <is>
          <t xml:space="preserve">UCAS_14C7</t>
        </is>
      </c>
      <c r="B1833" t="inlineStr">
        <is>
          <t xml:space="preserve">14C7</t>
        </is>
      </c>
    </row>
    <row r="1834" customFormat="false" ht="12.8" hidden="false" customHeight="false" outlineLevel="0" collapsed="false">
      <c r="A1834" t="inlineStr">
        <is>
          <t xml:space="preserve">UCAS_14D0</t>
        </is>
      </c>
      <c r="B1834" t="inlineStr">
        <is>
          <t xml:space="preserve">14D0</t>
        </is>
      </c>
    </row>
    <row r="1835" customFormat="false" ht="12.8" hidden="false" customHeight="false" outlineLevel="0" collapsed="false">
      <c r="A1835" t="inlineStr">
        <is>
          <t xml:space="preserve">UCAS_14D5</t>
        </is>
      </c>
      <c r="B1835" t="inlineStr">
        <is>
          <t xml:space="preserve">14D5</t>
        </is>
      </c>
    </row>
    <row r="1836" customFormat="false" ht="12.8" hidden="false" customHeight="false" outlineLevel="0" collapsed="false">
      <c r="A1836" t="inlineStr">
        <is>
          <t xml:space="preserve">UCAS_14D7</t>
        </is>
      </c>
      <c r="B1836" t="inlineStr">
        <is>
          <t xml:space="preserve">14D7</t>
        </is>
      </c>
    </row>
    <row r="1837" customFormat="false" ht="12.8" hidden="false" customHeight="false" outlineLevel="0" collapsed="false">
      <c r="A1837" t="inlineStr">
        <is>
          <t xml:space="preserve">UCAS_14DA</t>
        </is>
      </c>
      <c r="B1837" t="inlineStr">
        <is>
          <t xml:space="preserve">14DA</t>
        </is>
      </c>
    </row>
    <row r="1838" customFormat="false" ht="12.8" hidden="false" customHeight="false" outlineLevel="0" collapsed="false">
      <c r="A1838" t="inlineStr">
        <is>
          <t xml:space="preserve">UCAS_14EA</t>
        </is>
      </c>
      <c r="B1838" t="inlineStr">
        <is>
          <t xml:space="preserve">14EA</t>
        </is>
      </c>
    </row>
    <row r="1839" customFormat="false" ht="12.8" hidden="false" customHeight="false" outlineLevel="0" collapsed="false">
      <c r="A1839" t="inlineStr">
        <is>
          <t xml:space="preserve">UCAS_14EF</t>
        </is>
      </c>
      <c r="B1839" t="inlineStr">
        <is>
          <t xml:space="preserve">14EF</t>
        </is>
      </c>
    </row>
    <row r="1840" customFormat="false" ht="12.8" hidden="false" customHeight="false" outlineLevel="0" collapsed="false">
      <c r="A1840" t="inlineStr">
        <is>
          <t xml:space="preserve">UCAS_14F1</t>
        </is>
      </c>
      <c r="B1840" t="inlineStr">
        <is>
          <t xml:space="preserve">14F1</t>
        </is>
      </c>
    </row>
    <row r="1841" customFormat="false" ht="12.8" hidden="false" customHeight="false" outlineLevel="0" collapsed="false">
      <c r="A1841" t="inlineStr">
        <is>
          <t xml:space="preserve">UCAS_14F4</t>
        </is>
      </c>
      <c r="B1841" t="inlineStr">
        <is>
          <t xml:space="preserve">14F4</t>
        </is>
      </c>
    </row>
    <row r="1842" customFormat="false" ht="12.8" hidden="false" customHeight="false" outlineLevel="0" collapsed="false">
      <c r="A1842" t="inlineStr">
        <is>
          <t xml:space="preserve">UCAS_1505</t>
        </is>
      </c>
      <c r="B1842" t="inlineStr">
        <is>
          <t xml:space="preserve">1505</t>
        </is>
      </c>
    </row>
    <row r="1843" customFormat="false" ht="12.8" hidden="false" customHeight="false" outlineLevel="0" collapsed="false">
      <c r="A1843" t="inlineStr">
        <is>
          <t xml:space="preserve">UCAS_1528</t>
        </is>
      </c>
      <c r="B1843" t="inlineStr">
        <is>
          <t xml:space="preserve">1528</t>
        </is>
      </c>
    </row>
    <row r="1844" customFormat="false" ht="12.8" hidden="false" customHeight="false" outlineLevel="0" collapsed="false">
      <c r="A1844" t="inlineStr">
        <is>
          <t xml:space="preserve">UCAS_152A</t>
        </is>
      </c>
      <c r="B1844" t="inlineStr">
        <is>
          <t xml:space="preserve">152A</t>
        </is>
      </c>
    </row>
    <row r="1845" customFormat="false" ht="12.8" hidden="false" customHeight="false" outlineLevel="0" collapsed="false">
      <c r="A1845" t="inlineStr">
        <is>
          <t xml:space="preserve">UCAS_152D</t>
        </is>
      </c>
      <c r="B1845" t="inlineStr">
        <is>
          <t xml:space="preserve">152D</t>
        </is>
      </c>
    </row>
    <row r="1846" customFormat="false" ht="12.8" hidden="false" customHeight="false" outlineLevel="0" collapsed="false">
      <c r="A1846" t="inlineStr">
        <is>
          <t xml:space="preserve">UCAS_153E</t>
        </is>
      </c>
      <c r="B1846" t="inlineStr">
        <is>
          <t xml:space="preserve">153E</t>
        </is>
      </c>
    </row>
    <row r="1847" customFormat="false" ht="12.8" hidden="false" customHeight="false" outlineLevel="0" collapsed="false">
      <c r="A1847" t="inlineStr">
        <is>
          <t xml:space="preserve">UCAS_1546</t>
        </is>
      </c>
      <c r="B1847" t="inlineStr">
        <is>
          <t xml:space="preserve">1546</t>
        </is>
      </c>
    </row>
    <row r="1848" customFormat="false" ht="12.8" hidden="false" customHeight="false" outlineLevel="0" collapsed="false">
      <c r="A1848" t="inlineStr">
        <is>
          <t xml:space="preserve">UCAS_1548</t>
        </is>
      </c>
      <c r="B1848" t="inlineStr">
        <is>
          <t xml:space="preserve">1548</t>
        </is>
      </c>
    </row>
    <row r="1849" customFormat="false" ht="12.8" hidden="false" customHeight="false" outlineLevel="0" collapsed="false">
      <c r="A1849" t="inlineStr">
        <is>
          <t xml:space="preserve">UCAS_154B</t>
        </is>
      </c>
      <c r="B1849" t="inlineStr">
        <is>
          <t xml:space="preserve">154B</t>
        </is>
      </c>
    </row>
    <row r="1850" customFormat="false" ht="12.8" hidden="false" customHeight="false" outlineLevel="0" collapsed="false">
      <c r="A1850" t="inlineStr">
        <is>
          <t xml:space="preserve">UCAS_1550</t>
        </is>
      </c>
      <c r="B1850" t="inlineStr">
        <is>
          <t xml:space="preserve">1550</t>
        </is>
      </c>
    </row>
    <row r="1851" customFormat="false" ht="12.8" hidden="false" customHeight="false" outlineLevel="0" collapsed="false">
      <c r="A1851" t="inlineStr">
        <is>
          <t xml:space="preserve">UCAS_1555</t>
        </is>
      </c>
      <c r="B1851" t="inlineStr">
        <is>
          <t xml:space="preserve">1555</t>
        </is>
      </c>
    </row>
    <row r="1852" customFormat="false" ht="12.8" hidden="false" customHeight="false" outlineLevel="0" collapsed="false">
      <c r="A1852" t="inlineStr">
        <is>
          <t xml:space="preserve">UCAS_1557</t>
        </is>
      </c>
      <c r="B1852" t="inlineStr">
        <is>
          <t xml:space="preserve">1557</t>
        </is>
      </c>
    </row>
    <row r="1853" customFormat="false" ht="12.8" hidden="false" customHeight="false" outlineLevel="0" collapsed="false">
      <c r="A1853" t="inlineStr">
        <is>
          <t xml:space="preserve">UCAS_1559</t>
        </is>
      </c>
      <c r="B1853" t="inlineStr">
        <is>
          <t xml:space="preserve">1559</t>
        </is>
      </c>
    </row>
    <row r="1854" customFormat="false" ht="12.8" hidden="false" customHeight="false" outlineLevel="0" collapsed="false">
      <c r="A1854" t="inlineStr">
        <is>
          <t xml:space="preserve">UCAS_155D</t>
        </is>
      </c>
      <c r="B1854" t="inlineStr">
        <is>
          <t xml:space="preserve">155D</t>
        </is>
      </c>
    </row>
    <row r="1855" customFormat="false" ht="12.8" hidden="false" customHeight="false" outlineLevel="0" collapsed="false">
      <c r="A1855" t="inlineStr">
        <is>
          <t xml:space="preserve">UCAS_1575</t>
        </is>
      </c>
      <c r="B1855" t="inlineStr">
        <is>
          <t xml:space="preserve">1575</t>
        </is>
      </c>
    </row>
    <row r="1856" customFormat="false" ht="12.8" hidden="false" customHeight="false" outlineLevel="0" collapsed="false">
      <c r="A1856" t="inlineStr">
        <is>
          <t xml:space="preserve">UCAS_1577</t>
        </is>
      </c>
      <c r="B1856" t="inlineStr">
        <is>
          <t xml:space="preserve">1577</t>
        </is>
      </c>
    </row>
    <row r="1857" customFormat="false" ht="12.8" hidden="false" customHeight="false" outlineLevel="0" collapsed="false">
      <c r="A1857" t="inlineStr">
        <is>
          <t xml:space="preserve">UCAS_1579</t>
        </is>
      </c>
      <c r="B1857" t="inlineStr">
        <is>
          <t xml:space="preserve">1579</t>
        </is>
      </c>
    </row>
    <row r="1858" customFormat="false" ht="12.8" hidden="false" customHeight="false" outlineLevel="0" collapsed="false">
      <c r="A1858" t="inlineStr">
        <is>
          <t xml:space="preserve">UCAS_157B</t>
        </is>
      </c>
      <c r="B1858" t="inlineStr">
        <is>
          <t xml:space="preserve">157B</t>
        </is>
      </c>
    </row>
    <row r="1859" customFormat="false" ht="12.8" hidden="false" customHeight="false" outlineLevel="0" collapsed="false">
      <c r="A1859" t="inlineStr">
        <is>
          <t xml:space="preserve">UCAS_157C</t>
        </is>
      </c>
      <c r="B1859" t="inlineStr">
        <is>
          <t xml:space="preserve">157C</t>
        </is>
      </c>
    </row>
    <row r="1860" customFormat="false" ht="12.8" hidden="false" customHeight="false" outlineLevel="0" collapsed="false">
      <c r="A1860" t="inlineStr">
        <is>
          <t xml:space="preserve">UCAS_157F</t>
        </is>
      </c>
      <c r="B1860" t="inlineStr">
        <is>
          <t xml:space="preserve">157F</t>
        </is>
      </c>
    </row>
    <row r="1861" customFormat="false" ht="12.8" hidden="false" customHeight="false" outlineLevel="0" collapsed="false">
      <c r="A1861" t="inlineStr">
        <is>
          <t xml:space="preserve">UCAS_1581</t>
        </is>
      </c>
      <c r="B1861" t="inlineStr">
        <is>
          <t xml:space="preserve">1581</t>
        </is>
      </c>
    </row>
    <row r="1862" customFormat="false" ht="12.8" hidden="false" customHeight="false" outlineLevel="0" collapsed="false">
      <c r="A1862" t="inlineStr">
        <is>
          <t xml:space="preserve">UCAS_1583</t>
        </is>
      </c>
      <c r="B1862" t="inlineStr">
        <is>
          <t xml:space="preserve">1583</t>
        </is>
      </c>
    </row>
    <row r="1863" customFormat="false" ht="12.8" hidden="false" customHeight="false" outlineLevel="0" collapsed="false">
      <c r="A1863" t="inlineStr">
        <is>
          <t xml:space="preserve">UCAS_1585</t>
        </is>
      </c>
      <c r="B1863" t="inlineStr">
        <is>
          <t xml:space="preserve">1585</t>
        </is>
      </c>
    </row>
    <row r="1864" customFormat="false" ht="12.8" hidden="false" customHeight="false" outlineLevel="0" collapsed="false">
      <c r="A1864" t="inlineStr">
        <is>
          <t xml:space="preserve">UCAS_158F</t>
        </is>
      </c>
      <c r="B1864" t="inlineStr">
        <is>
          <t xml:space="preserve">158F</t>
        </is>
      </c>
    </row>
    <row r="1865" customFormat="false" ht="12.8" hidden="false" customHeight="false" outlineLevel="0" collapsed="false">
      <c r="A1865" t="inlineStr">
        <is>
          <t xml:space="preserve">UCAS_1591</t>
        </is>
      </c>
      <c r="B1865" t="inlineStr">
        <is>
          <t xml:space="preserve">1591</t>
        </is>
      </c>
    </row>
    <row r="1866" customFormat="false" ht="12.8" hidden="false" customHeight="false" outlineLevel="0" collapsed="false">
      <c r="A1866" t="inlineStr">
        <is>
          <t xml:space="preserve">UCAS_1593</t>
        </is>
      </c>
      <c r="B1866" t="inlineStr">
        <is>
          <t xml:space="preserve">1593</t>
        </is>
      </c>
    </row>
    <row r="1867" customFormat="false" ht="12.8" hidden="false" customHeight="false" outlineLevel="0" collapsed="false">
      <c r="A1867" t="inlineStr">
        <is>
          <t xml:space="preserve">UCAS_1595</t>
        </is>
      </c>
      <c r="B1867" t="inlineStr">
        <is>
          <t xml:space="preserve">1595</t>
        </is>
      </c>
    </row>
    <row r="1868" customFormat="false" ht="12.8" hidden="false" customHeight="false" outlineLevel="0" collapsed="false">
      <c r="A1868" t="inlineStr">
        <is>
          <t xml:space="preserve">UCAS_1596</t>
        </is>
      </c>
      <c r="B1868" t="inlineStr">
        <is>
          <t xml:space="preserve">1596</t>
        </is>
      </c>
    </row>
    <row r="1869" customFormat="false" ht="12.8" hidden="false" customHeight="false" outlineLevel="0" collapsed="false">
      <c r="A1869" t="inlineStr">
        <is>
          <t xml:space="preserve">UCAS_15A0</t>
        </is>
      </c>
      <c r="B1869" t="inlineStr">
        <is>
          <t xml:space="preserve">15A0</t>
        </is>
      </c>
    </row>
    <row r="1870" customFormat="false" ht="12.8" hidden="false" customHeight="false" outlineLevel="0" collapsed="false">
      <c r="A1870" t="inlineStr">
        <is>
          <t xml:space="preserve">UCAS_15A2</t>
        </is>
      </c>
      <c r="B1870" t="inlineStr">
        <is>
          <t xml:space="preserve">15A2</t>
        </is>
      </c>
    </row>
    <row r="1871" customFormat="false" ht="12.8" hidden="false" customHeight="false" outlineLevel="0" collapsed="false">
      <c r="A1871" t="inlineStr">
        <is>
          <t xml:space="preserve">UCAS_15A4</t>
        </is>
      </c>
      <c r="B1871" t="inlineStr">
        <is>
          <t xml:space="preserve">15A4</t>
        </is>
      </c>
    </row>
    <row r="1872" customFormat="false" ht="12.8" hidden="false" customHeight="false" outlineLevel="0" collapsed="false">
      <c r="A1872" t="inlineStr">
        <is>
          <t xml:space="preserve">UCAS_15A6</t>
        </is>
      </c>
      <c r="B1872" t="inlineStr">
        <is>
          <t xml:space="preserve">15A6</t>
        </is>
      </c>
    </row>
    <row r="1873" customFormat="false" ht="12.8" hidden="false" customHeight="false" outlineLevel="0" collapsed="false">
      <c r="A1873" t="inlineStr">
        <is>
          <t xml:space="preserve">UCAS_1671</t>
        </is>
      </c>
      <c r="B1873" t="inlineStr">
        <is>
          <t xml:space="preserve">1671</t>
        </is>
      </c>
    </row>
    <row r="1874" customFormat="false" ht="12.8" hidden="false" customHeight="false" outlineLevel="0" collapsed="false">
      <c r="A1874" t="inlineStr">
        <is>
          <t xml:space="preserve">UCAS_1673</t>
        </is>
      </c>
      <c r="B1874" t="inlineStr">
        <is>
          <t xml:space="preserve">1673</t>
        </is>
      </c>
    </row>
    <row r="1875" customFormat="false" ht="12.8" hidden="false" customHeight="false" outlineLevel="0" collapsed="false">
      <c r="A1875" t="inlineStr">
        <is>
          <t xml:space="preserve">UCAS_1675</t>
        </is>
      </c>
      <c r="B1875" t="inlineStr">
        <is>
          <t xml:space="preserve">1675</t>
        </is>
      </c>
    </row>
    <row r="1876" customFormat="false" ht="12.8" hidden="false" customHeight="false" outlineLevel="0" collapsed="false">
      <c r="A1876" t="inlineStr">
        <is>
          <t xml:space="preserve">CHEROKEE_13C0</t>
        </is>
      </c>
      <c r="B1876" t="inlineStr">
        <is>
          <t xml:space="preserve">13C0</t>
        </is>
      </c>
    </row>
    <row r="1877" customFormat="false" ht="12.8" hidden="false" customHeight="false" outlineLevel="0" collapsed="false">
      <c r="A1877" t="inlineStr">
        <is>
          <t xml:space="preserve">LATIN_01E5</t>
        </is>
      </c>
      <c r="B1877" t="inlineStr">
        <is>
          <t xml:space="preserve">01E5</t>
        </is>
      </c>
    </row>
    <row r="1878" customFormat="false" ht="12.8" hidden="false" customHeight="false" outlineLevel="0" collapsed="false">
      <c r="A1878" t="inlineStr">
        <is>
          <t xml:space="preserve">LATIN_01E9</t>
        </is>
      </c>
      <c r="B1878" t="inlineStr">
        <is>
          <t xml:space="preserve">01E9</t>
        </is>
      </c>
    </row>
    <row r="1879" customFormat="false" ht="12.8" hidden="false" customHeight="false" outlineLevel="0" collapsed="false">
      <c r="A1879" t="inlineStr">
        <is>
          <t xml:space="preserve">LATIN_01EF</t>
        </is>
      </c>
      <c r="B1879" t="inlineStr">
        <is>
          <t xml:space="preserve">01EF</t>
        </is>
      </c>
    </row>
    <row r="1880" customFormat="false" ht="12.8" hidden="false" customHeight="false" outlineLevel="0" collapsed="false">
      <c r="A1880" t="inlineStr">
        <is>
          <t xml:space="preserve">GEORGIAN_10F1</t>
        </is>
      </c>
      <c r="B1880" t="inlineStr">
        <is>
          <t xml:space="preserve">10F1</t>
        </is>
      </c>
    </row>
    <row r="1881" customFormat="false" ht="12.8" hidden="false" customHeight="false" outlineLevel="0" collapsed="false">
      <c r="A1881" t="inlineStr">
        <is>
          <t xml:space="preserve">GEORGIAN_10F2</t>
        </is>
      </c>
      <c r="B1881" t="inlineStr">
        <is>
          <t xml:space="preserve">10F2</t>
        </is>
      </c>
    </row>
    <row r="1882" customFormat="false" ht="12.8" hidden="false" customHeight="false" outlineLevel="0" collapsed="false">
      <c r="A1882" t="inlineStr">
        <is>
          <t xml:space="preserve">GEORGIAN_10F3</t>
        </is>
      </c>
      <c r="B1882" t="inlineStr">
        <is>
          <t xml:space="preserve">10F3</t>
        </is>
      </c>
    </row>
    <row r="1883" customFormat="false" ht="12.8" hidden="false" customHeight="false" outlineLevel="0" collapsed="false">
      <c r="A1883" t="inlineStr">
        <is>
          <t xml:space="preserve">GEORGIAN_10F4</t>
        </is>
      </c>
      <c r="B1883" t="inlineStr">
        <is>
          <t xml:space="preserve">10F4</t>
        </is>
      </c>
    </row>
    <row r="1884" customFormat="false" ht="12.8" hidden="false" customHeight="false" outlineLevel="0" collapsed="false">
      <c r="A1884" t="inlineStr">
        <is>
          <t xml:space="preserve">GEORGIAN_10F5</t>
        </is>
      </c>
      <c r="B1884" t="inlineStr">
        <is>
          <t xml:space="preserve">10F5</t>
        </is>
      </c>
    </row>
    <row r="1885" customFormat="false" ht="12.8" hidden="false" customHeight="false" outlineLevel="0" collapsed="false">
      <c r="A1885" t="inlineStr">
        <is>
          <t xml:space="preserve">GEORGIAN_10F6</t>
        </is>
      </c>
      <c r="B1885" t="inlineStr">
        <is>
          <t xml:space="preserve">10F6</t>
        </is>
      </c>
    </row>
    <row r="1886" customFormat="false" ht="12.8" hidden="false" customHeight="false" outlineLevel="0" collapsed="false">
      <c r="A1886" t="inlineStr">
        <is>
          <t xml:space="preserve">DEVANAGARI_0958</t>
        </is>
      </c>
      <c r="B1886" t="inlineStr">
        <is>
          <t xml:space="preserve">0958</t>
        </is>
      </c>
    </row>
    <row r="1887" customFormat="false" ht="12.8" hidden="false" customHeight="false" outlineLevel="0" collapsed="false">
      <c r="A1887" t="inlineStr">
        <is>
          <t xml:space="preserve">DEVANAGARI_095A</t>
        </is>
      </c>
      <c r="B1887" t="inlineStr">
        <is>
          <t xml:space="preserve">095A</t>
        </is>
      </c>
    </row>
    <row r="1888" customFormat="false" ht="12.8" hidden="false" customHeight="false" outlineLevel="0" collapsed="false">
      <c r="A1888" t="inlineStr">
        <is>
          <t xml:space="preserve">DEVANAGARI_095B</t>
        </is>
      </c>
      <c r="B1888" t="inlineStr">
        <is>
          <t xml:space="preserve">095B</t>
        </is>
      </c>
    </row>
    <row r="1889" customFormat="false" ht="12.8" hidden="false" customHeight="false" outlineLevel="0" collapsed="false">
      <c r="A1889" t="inlineStr">
        <is>
          <t xml:space="preserve">DEVANAGARI_095C</t>
        </is>
      </c>
      <c r="B1889" t="inlineStr">
        <is>
          <t xml:space="preserve">095C</t>
        </is>
      </c>
    </row>
    <row r="1890" customFormat="false" ht="12.8" hidden="false" customHeight="false" outlineLevel="0" collapsed="false">
      <c r="A1890" t="inlineStr">
        <is>
          <t xml:space="preserve">DEVANAGARI_095E</t>
        </is>
      </c>
      <c r="B1890" t="inlineStr">
        <is>
          <t xml:space="preserve">095E</t>
        </is>
      </c>
    </row>
    <row r="1891" customFormat="false" ht="12.8" hidden="false" customHeight="false" outlineLevel="0" collapsed="false">
      <c r="A1891" t="inlineStr">
        <is>
          <t xml:space="preserve">DEVANAGARI_0950</t>
        </is>
      </c>
      <c r="B1891" t="inlineStr">
        <is>
          <t xml:space="preserve">0950</t>
        </is>
      </c>
    </row>
    <row r="1892" customFormat="false" ht="12.8" hidden="false" customHeight="false" outlineLevel="0" collapsed="false">
      <c r="A1892" t="inlineStr">
        <is>
          <t xml:space="preserve">BENGALI_09CE</t>
        </is>
      </c>
      <c r="B1892" t="inlineStr">
        <is>
          <t xml:space="preserve">09CE</t>
        </is>
      </c>
    </row>
    <row r="1893" customFormat="false" ht="12.8" hidden="false" customHeight="false" outlineLevel="0" collapsed="false">
      <c r="A1893" t="inlineStr">
        <is>
          <t xml:space="preserve">BENGALI_09BD</t>
        </is>
      </c>
      <c r="B1893" t="inlineStr">
        <is>
          <t xml:space="preserve">09BD</t>
        </is>
      </c>
    </row>
    <row r="1894" customFormat="false" ht="12.8" hidden="false" customHeight="false" outlineLevel="0" collapsed="false">
      <c r="A1894" t="inlineStr">
        <is>
          <t xml:space="preserve">BENGALI_09F3</t>
        </is>
      </c>
      <c r="B1894" t="inlineStr">
        <is>
          <t xml:space="preserve">09F3</t>
        </is>
      </c>
    </row>
    <row r="1895" customFormat="false" ht="12.8" hidden="false" customHeight="false" outlineLevel="0" collapsed="false">
      <c r="A1895" t="inlineStr">
        <is>
          <t xml:space="preserve">RUBLE_SIGN</t>
        </is>
      </c>
      <c r="B1895" t="inlineStr">
        <is>
          <t xml:space="preserve">20BD</t>
        </is>
      </c>
    </row>
    <row r="1896" customFormat="false" ht="12.8" hidden="false" customHeight="false" outlineLevel="0" collapsed="false">
      <c r="A1896" t="inlineStr">
        <is>
          <t xml:space="preserve">PESO_SIGN</t>
        </is>
      </c>
      <c r="B1896" t="inlineStr">
        <is>
          <t xml:space="preserve">20B1</t>
        </is>
      </c>
    </row>
    <row r="1897" customFormat="false" ht="12.8" hidden="false" customHeight="false" outlineLevel="0" collapsed="false">
      <c r="A1897" t="inlineStr">
        <is>
          <t xml:space="preserve">MANAT_SIGN</t>
        </is>
      </c>
      <c r="B1897" t="inlineStr">
        <is>
          <t xml:space="preserve">20BC</t>
        </is>
      </c>
    </row>
  </sheetData>
  <mergeCells count="1">
    <mergeCell ref="G102:G29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Q8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E57" activeCellId="0" sqref="AE5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7" width="21.56"/>
    <col collapsed="false" customWidth="true" hidden="false" outlineLevel="0" max="5" min="2" style="18" width="16.9"/>
    <col collapsed="false" customWidth="true" hidden="false" outlineLevel="0" max="9" min="6" style="19" width="16.9"/>
    <col collapsed="false" customWidth="true" hidden="false" outlineLevel="0" max="13" min="10" style="20" width="16.9"/>
    <col collapsed="false" customWidth="true" hidden="false" outlineLevel="0" max="17" min="14" style="21" width="16.9"/>
    <col collapsed="false" customWidth="true" hidden="false" outlineLevel="0" max="21" min="18" style="22" width="16.9"/>
    <col collapsed="false" customWidth="true" hidden="false" outlineLevel="0" max="25" min="22" style="23" width="16.9"/>
    <col collapsed="false" customWidth="true" hidden="false" outlineLevel="0" max="29" min="26" style="24" width="16.9"/>
    <col collapsed="false" customWidth="true" hidden="false" outlineLevel="0" max="33" min="30" style="25" width="16.9"/>
    <col collapsed="false" customWidth="true" hidden="false" outlineLevel="0" max="37" min="34" style="26" width="16.9"/>
    <col collapsed="false" customWidth="true" hidden="false" outlineLevel="0" max="41" min="38" style="27" width="16.9"/>
    <col collapsed="false" customWidth="true" hidden="false" outlineLevel="0" max="44" min="42" style="28" width="16.9"/>
    <col collapsed="false" customWidth="true" hidden="false" outlineLevel="0" max="45" min="45" style="28" width="16.55"/>
    <col collapsed="false" customWidth="true" hidden="false" outlineLevel="0" max="49" min="46" style="29" width="16.55"/>
    <col collapsed="false" customWidth="true" hidden="false" outlineLevel="0" max="53" min="50" style="30" width="16.55"/>
    <col collapsed="false" customWidth="true" hidden="false" outlineLevel="0" max="57" min="54" style="31" width="16.55"/>
    <col collapsed="false" customWidth="true" hidden="false" outlineLevel="0" max="61" min="58" style="32" width="16.55"/>
    <col collapsed="false" customWidth="true" hidden="false" outlineLevel="0" max="64" min="62" style="33" width="16.55"/>
    <col collapsed="false" customWidth="true" hidden="false" outlineLevel="0" max="65" min="65" style="33" width="16.9"/>
    <col collapsed="false" customWidth="true" hidden="false" outlineLevel="0" max="69" min="66" style="19" width="16.9"/>
    <col collapsed="false" customWidth="true" hidden="false" outlineLevel="0" max="73" min="70" style="34" width="16.9"/>
    <col collapsed="false" customWidth="true" hidden="false" outlineLevel="0" max="77" min="74" style="35" width="16.9"/>
    <col collapsed="false" customWidth="true" hidden="false" outlineLevel="0" max="81" min="78" style="36" width="16.82"/>
    <col collapsed="false" customWidth="true" hidden="false" outlineLevel="0" max="93" min="82" style="19" width="16.9"/>
    <col collapsed="false" customWidth="true" hidden="false" outlineLevel="0" max="97" min="94" style="35" width="16.9"/>
    <col collapsed="false" customWidth="true" hidden="false" outlineLevel="0" max="101" min="98" style="34" width="16.9"/>
    <col collapsed="false" customWidth="true" hidden="false" outlineLevel="0" max="105" min="102" style="37" width="16.9"/>
    <col collapsed="false" customWidth="true" hidden="false" outlineLevel="0" max="109" min="106" style="38" width="16.9"/>
    <col collapsed="false" customWidth="false" hidden="false" outlineLevel="0" max="1024" min="110" style="39" width="11.52"/>
    <col collapsed="false" customWidth="false" hidden="false" outlineLevel="0" max="16384" min="1025" style="7" width="11.53"/>
  </cols>
  <sheetData>
    <row r="1" customFormat="false" ht="44.75" hidden="false" customHeight="true" outlineLevel="0" collapsed="false">
      <c r="A1" s="40" t="s">
        <v>1101</v>
      </c>
      <c r="B1" s="41" t="s">
        <v>1102</v>
      </c>
      <c r="C1" s="41"/>
      <c r="D1" s="41"/>
      <c r="E1" s="41" t="n">
        <v>1033</v>
      </c>
      <c r="F1" s="42" t="s">
        <v>1103</v>
      </c>
      <c r="G1" s="42"/>
      <c r="H1" s="42"/>
      <c r="I1" s="42" t="n">
        <v>1031</v>
      </c>
      <c r="J1" s="43" t="s">
        <v>1104</v>
      </c>
      <c r="K1" s="43"/>
      <c r="L1" s="43"/>
      <c r="M1" s="43" t="n">
        <v>1036</v>
      </c>
      <c r="N1" s="44" t="s">
        <v>1105</v>
      </c>
      <c r="O1" s="44"/>
      <c r="P1" s="44"/>
      <c r="Q1" s="44" t="n">
        <v>1034</v>
      </c>
      <c r="R1" s="45" t="s">
        <v>1106</v>
      </c>
      <c r="S1" s="45"/>
      <c r="T1" s="45"/>
      <c r="U1" s="45" t="n">
        <v>2070</v>
      </c>
      <c r="V1" s="46" t="s">
        <v>1107</v>
      </c>
      <c r="W1" s="46"/>
      <c r="X1" s="46"/>
      <c r="Y1" s="46" t="n">
        <v>1040</v>
      </c>
      <c r="Z1" s="47" t="s">
        <v>1108</v>
      </c>
      <c r="AA1" s="47"/>
      <c r="AB1" s="47"/>
      <c r="AC1" s="47" t="n">
        <v>1055</v>
      </c>
      <c r="AD1" s="48" t="s">
        <v>1109</v>
      </c>
      <c r="AE1" s="48"/>
      <c r="AF1" s="48"/>
      <c r="AG1" s="48" t="n">
        <v>1042</v>
      </c>
      <c r="AH1" s="49" t="s">
        <v>1110</v>
      </c>
      <c r="AI1" s="49"/>
      <c r="AJ1" s="49"/>
      <c r="AK1" s="49" t="n">
        <v>1041</v>
      </c>
      <c r="AL1" s="50" t="s">
        <v>1111</v>
      </c>
      <c r="AM1" s="50"/>
      <c r="AN1" s="50"/>
      <c r="AO1" s="50" t="n">
        <v>1025</v>
      </c>
      <c r="AP1" s="51" t="s">
        <v>1112</v>
      </c>
      <c r="AQ1" s="51"/>
      <c r="AR1" s="51"/>
      <c r="AS1" s="51" t="n">
        <v>1032</v>
      </c>
      <c r="AT1" s="52" t="s">
        <v>1113</v>
      </c>
      <c r="AU1" s="52"/>
      <c r="AV1" s="52"/>
      <c r="AW1" s="52" t="n">
        <v>1058</v>
      </c>
      <c r="AX1" s="53" t="s">
        <v>1114</v>
      </c>
      <c r="AY1" s="53"/>
      <c r="AZ1" s="53"/>
      <c r="BA1" s="53" t="n">
        <v>1059</v>
      </c>
      <c r="BB1" s="54" t="s">
        <v>1115</v>
      </c>
      <c r="BC1" s="54"/>
      <c r="BD1" s="54"/>
      <c r="BE1" s="54" t="n">
        <v>1059</v>
      </c>
      <c r="BF1" s="55" t="s">
        <v>1116</v>
      </c>
      <c r="BG1" s="55"/>
      <c r="BH1" s="55"/>
      <c r="BI1" s="55" t="n">
        <v>1087</v>
      </c>
      <c r="BJ1" s="56" t="s">
        <v>1117</v>
      </c>
      <c r="BK1" s="56"/>
      <c r="BL1" s="56"/>
      <c r="BM1" s="56" t="n">
        <v>1026</v>
      </c>
      <c r="BN1" s="42" t="s">
        <v>1118</v>
      </c>
      <c r="BO1" s="42"/>
      <c r="BP1" s="42"/>
      <c r="BQ1" s="42" t="n">
        <v>1045</v>
      </c>
      <c r="BR1" s="57" t="s">
        <v>1119</v>
      </c>
      <c r="BS1" s="57"/>
      <c r="BT1" s="57"/>
      <c r="BU1" s="57" t="n">
        <v>1048</v>
      </c>
      <c r="BV1" s="58" t="s">
        <v>1120</v>
      </c>
      <c r="BW1" s="58"/>
      <c r="BX1" s="58"/>
      <c r="BY1" s="58" t="n">
        <v>2052</v>
      </c>
      <c r="BZ1" s="59" t="s">
        <v>1121</v>
      </c>
      <c r="CA1" s="59"/>
      <c r="CB1" s="59"/>
      <c r="CC1" s="59" t="n">
        <v>1043</v>
      </c>
      <c r="CD1" s="42" t="s">
        <v>1122</v>
      </c>
      <c r="CE1" s="42"/>
      <c r="CF1" s="42"/>
      <c r="CG1" s="42" t="n">
        <v>1037</v>
      </c>
      <c r="CH1" s="60" t="s">
        <v>1123</v>
      </c>
      <c r="CI1" s="60"/>
      <c r="CJ1" s="60"/>
      <c r="CK1" s="60" t="n">
        <v>1053</v>
      </c>
      <c r="CL1" s="61" t="s">
        <v>1124</v>
      </c>
      <c r="CM1" s="61"/>
      <c r="CN1" s="61"/>
      <c r="CO1" s="61" t="n">
        <v>1035</v>
      </c>
      <c r="CP1" s="58" t="s">
        <v>1125</v>
      </c>
      <c r="CQ1" s="58"/>
      <c r="CR1" s="58"/>
      <c r="CS1" s="58" t="n">
        <v>1044</v>
      </c>
      <c r="CT1" s="57" t="s">
        <v>1126</v>
      </c>
      <c r="CU1" s="57"/>
      <c r="CV1" s="57"/>
      <c r="CW1" s="57" t="n">
        <v>1030</v>
      </c>
      <c r="CX1" s="62" t="s">
        <v>1127</v>
      </c>
      <c r="CY1" s="62"/>
      <c r="CZ1" s="62"/>
      <c r="DA1" s="62" t="n">
        <v>1038</v>
      </c>
      <c r="DB1" s="63" t="s">
        <v>1128</v>
      </c>
      <c r="DC1" s="63"/>
      <c r="DD1" s="63"/>
      <c r="DE1" s="63" t="n">
        <v>1029</v>
      </c>
      <c r="DF1" t="inlineStr">
        <is>
          <t xml:space="preserve">hr-HR</t>
        </is>
      </c>
      <c r="DJ1" t="inlineStr">
        <is>
          <t xml:space="preserve">sk-SK</t>
        </is>
      </c>
      <c r="DN1" t="inlineStr">
        <is>
          <t xml:space="preserve">lt-LT</t>
        </is>
      </c>
      <c r="DR1" t="inlineStr">
        <is>
          <t xml:space="preserve">lv-LV</t>
        </is>
      </c>
      <c r="DV1" t="inlineStr">
        <is>
          <t xml:space="preserve">et-EE</t>
        </is>
      </c>
      <c r="DZ1" t="inlineStr">
        <is>
          <t xml:space="preserve">pt-BR</t>
        </is>
      </c>
      <c r="ED1" t="inlineStr">
        <is>
          <t xml:space="preserve">sr-RS</t>
        </is>
      </c>
      <c r="EH1" t="inlineStr">
        <is>
          <t xml:space="preserve">mk-MK</t>
        </is>
      </c>
      <c r="EL1" t="inlineStr">
        <is>
          <t xml:space="preserve">fa-IR</t>
        </is>
      </c>
      <c r="EP1" t="inlineStr">
        <is>
          <t xml:space="preserve">hi-IN</t>
        </is>
      </c>
      <c r="ET1" t="inlineStr">
        <is>
          <t xml:space="preserve">mr-IN</t>
        </is>
      </c>
      <c r="EX1" t="inlineStr">
        <is>
          <t xml:space="preserve">ne-NP</t>
        </is>
      </c>
      <c r="FB1" t="inlineStr">
        <is>
          <t xml:space="preserve">mn-MN</t>
        </is>
      </c>
      <c r="FF1" t="inlineStr">
        <is>
          <t xml:space="preserve">ur-PK</t>
        </is>
      </c>
      <c r="FJ1" t="inlineStr">
        <is>
          <t xml:space="preserve">en-GB</t>
        </is>
      </c>
      <c r="FM1">
        <v>2057</v>
      </c>
      <c r="FN1" t="inlineStr">
        <is>
          <t xml:space="preserve">es-MX</t>
        </is>
      </c>
      <c r="FQ1">
        <v>2058</v>
      </c>
      <c r="FR1" t="inlineStr">
        <is>
          <t xml:space="preserve">de-CH</t>
        </is>
      </c>
      <c r="FU1">
        <v>2055</v>
      </c>
      <c r="FV1" t="inlineStr">
        <is>
          <t xml:space="preserve">fr-BE</t>
        </is>
      </c>
      <c r="FY1">
        <v>2060</v>
      </c>
      <c r="FZ1" t="inlineStr">
        <is>
          <t xml:space="preserve">fr-CA</t>
        </is>
      </c>
      <c r="GC1">
        <v>3084</v>
      </c>
      <c r="GD1" t="inlineStr">
        <is>
          <t xml:space="preserve">th-TH</t>
        </is>
      </c>
      <c r="GG1">
        <v>1054</v>
      </c>
      <c r="GH1" t="inlineStr">
        <is>
          <t xml:space="preserve">bn-IN</t>
        </is>
      </c>
      <c r="GK1">
        <v>1093</v>
      </c>
      <c r="GL1" t="inlineStr">
        <is>
          <t xml:space="preserve">te-IN</t>
        </is>
      </c>
      <c r="GO1">
        <v>1098</v>
      </c>
      <c r="GP1" t="inlineStr">
        <is>
          <t xml:space="preserve">ta-IN</t>
        </is>
      </c>
      <c r="GS1">
        <v>1097</v>
      </c>
      <c r="GT1" t="inlineStr">
        <is>
          <t xml:space="preserve">zh-TW</t>
        </is>
      </c>
      <c r="GX1" t="inlineStr">
        <is>
          <t xml:space="preserve">ka-GE</t>
        </is>
      </c>
      <c r="HB1" t="inlineStr">
        <is>
          <t xml:space="preserve">hy-AM</t>
        </is>
      </c>
      <c r="HF1" t="inlineStr">
        <is>
          <t xml:space="preserve">id-ID</t>
        </is>
      </c>
      <c r="HJ1" t="inlineStr">
        <is>
          <t xml:space="preserve">az-AZ</t>
        </is>
      </c>
      <c r="HN1" t="inlineStr">
        <is>
          <t xml:space="preserve">is-IS</t>
        </is>
      </c>
      <c r="HR1" t="inlineStr">
        <is>
          <t xml:space="preserve">vi-VN</t>
        </is>
      </c>
      <c r="HV1" t="inlineStr">
        <is>
          <t xml:space="preserve">zh-HK</t>
        </is>
      </c>
      <c r="HY1">
        <v>3076</v>
      </c>
      <c r="HZ1" t="inlineStr">
        <is>
          <t xml:space="preserve">en-AU</t>
        </is>
      </c>
      <c r="ID1" t="inlineStr">
        <is>
          <t xml:space="preserve">en-NZ</t>
        </is>
      </c>
      <c r="IH1" t="inlineStr">
        <is>
          <t xml:space="preserve">mi-NZ</t>
        </is>
      </c>
      <c r="IL1" t="inlineStr">
        <is>
          <t xml:space="preserve">sm-WS</t>
        </is>
      </c>
      <c r="IP1" t="inlineStr">
        <is>
          <t xml:space="preserve">fj-FJ</t>
        </is>
      </c>
      <c r="IT1" t="inlineStr">
        <is>
          <t xml:space="preserve">tl-PH</t>
        </is>
      </c>
      <c r="IX1" t="inlineStr">
        <is>
          <t xml:space="preserve">hw-US</t>
        </is>
      </c>
      <c r="JB1" t="inlineStr">
        <is>
          <t xml:space="preserve">en-ZA</t>
        </is>
      </c>
      <c r="JF1" t="inlineStr">
        <is>
          <t xml:space="preserve">af-ZA</t>
        </is>
      </c>
      <c r="JJ1" t="inlineStr">
        <is>
          <t xml:space="preserve">ar-EG</t>
        </is>
      </c>
      <c r="JN1" t="inlineStr">
        <is>
          <t xml:space="preserve">sw-KE</t>
        </is>
      </c>
      <c r="JR1" t="inlineStr">
        <is>
          <t xml:space="preserve">am-ET</t>
        </is>
      </c>
      <c r="JV1" t="inlineStr">
        <is>
          <t xml:space="preserve">yo-NG</t>
        </is>
      </c>
      <c r="JZ1" t="inlineStr">
        <is>
          <t xml:space="preserve">en-NG</t>
        </is>
      </c>
      <c r="KD1" t="inlineStr">
        <is>
          <t xml:space="preserve">ar-MA</t>
        </is>
      </c>
      <c r="KH1" t="inlineStr">
        <is>
          <t xml:space="preserve">ar-IQ</t>
        </is>
      </c>
      <c r="KL1" t="inlineStr">
        <is>
          <t xml:space="preserve">ku-IQ</t>
        </is>
      </c>
      <c r="KP1" t="inlineStr">
        <is>
          <t xml:space="preserve">ms-MY</t>
        </is>
      </c>
      <c r="KT1" t="inlineStr">
        <is>
          <t xml:space="preserve">uz-UZ</t>
        </is>
      </c>
      <c r="KX1" t="inlineStr">
        <is>
          <t xml:space="preserve">en-CA</t>
        </is>
      </c>
      <c r="LB1" t="inlineStr">
        <is>
          <t xml:space="preserve">es-AR</t>
        </is>
      </c>
      <c r="LF1" t="inlineStr">
        <is>
          <t xml:space="preserve">en-PG</t>
        </is>
      </c>
      <c r="LJ1" t="inlineStr">
        <is>
          <t xml:space="preserve">ty-PF</t>
        </is>
      </c>
      <c r="LN1" t="inlineStr">
        <is>
          <t xml:space="preserve">es-CO</t>
        </is>
      </c>
      <c r="LR1" t="inlineStr">
        <is>
          <t xml:space="preserve">es-PE</t>
        </is>
      </c>
      <c r="LV1" t="inlineStr">
        <is>
          <t xml:space="preserve">es-VE</t>
        </is>
      </c>
      <c r="LZ1" t="inlineStr">
        <is>
          <t xml:space="preserve">es-CL</t>
        </is>
      </c>
      <c r="MD1" t="inlineStr">
        <is>
          <t xml:space="preserve">es-EC</t>
        </is>
      </c>
      <c r="MH1" t="inlineStr">
        <is>
          <t xml:space="preserve">es-GT</t>
        </is>
      </c>
      <c r="ML1" t="inlineStr">
        <is>
          <t xml:space="preserve">es-DO</t>
        </is>
      </c>
      <c r="MP1" t="inlineStr">
        <is>
          <t xml:space="preserve">es-BO</t>
        </is>
      </c>
      <c r="MT1" t="inlineStr">
        <is>
          <t xml:space="preserve">es-PY</t>
        </is>
      </c>
      <c r="MX1" t="inlineStr">
        <is>
          <t xml:space="preserve">es-CR</t>
        </is>
      </c>
      <c r="NB1" t="inlineStr">
        <is>
          <t xml:space="preserve">es-SV</t>
        </is>
      </c>
      <c r="NF1" t="inlineStr">
        <is>
          <t xml:space="preserve">es-HN</t>
        </is>
      </c>
      <c r="NJ1" t="inlineStr">
        <is>
          <t xml:space="preserve">es-PA</t>
        </is>
      </c>
      <c r="NN1" t="inlineStr">
        <is>
          <t xml:space="preserve">es-UY</t>
        </is>
      </c>
      <c r="NR1" t="inlineStr">
        <is>
          <t xml:space="preserve">es-NI</t>
        </is>
      </c>
      <c r="NV1" t="inlineStr">
        <is>
          <t xml:space="preserve">de-AT</t>
        </is>
      </c>
      <c r="NZ1" t="inlineStr">
        <is>
          <t xml:space="preserve">nl-BE</t>
        </is>
      </c>
      <c r="OD1" t="inlineStr">
        <is>
          <t xml:space="preserve">ca-ES</t>
        </is>
      </c>
      <c r="OH1" t="inlineStr">
        <is>
          <t xml:space="preserve">en-IE</t>
        </is>
      </c>
      <c r="OL1" t="inlineStr">
        <is>
          <t xml:space="preserve">bs-BA</t>
        </is>
      </c>
      <c r="OP1" t="inlineStr">
        <is>
          <t xml:space="preserve">fr-CH</t>
        </is>
      </c>
      <c r="OT1" t="inlineStr">
        <is>
          <t xml:space="preserve">sl-SI</t>
        </is>
      </c>
      <c r="OX1" t="inlineStr">
        <is>
          <t xml:space="preserve">fo-FO</t>
        </is>
      </c>
      <c r="PB1" t="inlineStr">
        <is>
          <t xml:space="preserve">ar-AE</t>
        </is>
      </c>
      <c r="PF1" t="inlineStr">
        <is>
          <t xml:space="preserve">ar-SY</t>
        </is>
      </c>
      <c r="PJ1" t="inlineStr">
        <is>
          <t xml:space="preserve">ar-JO</t>
        </is>
      </c>
      <c r="PN1" t="inlineStr">
        <is>
          <t xml:space="preserve">ar-LB</t>
        </is>
      </c>
      <c r="PR1" t="inlineStr">
        <is>
          <t xml:space="preserve">ar-YE</t>
        </is>
      </c>
      <c r="PV1" t="inlineStr">
        <is>
          <t xml:space="preserve">ar-KW</t>
        </is>
      </c>
      <c r="PZ1" t="inlineStr">
        <is>
          <t xml:space="preserve">ar-OM</t>
        </is>
      </c>
      <c r="QD1" t="inlineStr">
        <is>
          <t xml:space="preserve">ar-PS</t>
        </is>
      </c>
      <c r="QH1" t="inlineStr">
        <is>
          <t xml:space="preserve">ar-QA</t>
        </is>
      </c>
      <c r="QL1" t="inlineStr">
        <is>
          <t xml:space="preserve">ar-BH</t>
        </is>
      </c>
      <c r="QP1" t="inlineStr">
        <is>
          <t xml:space="preserve">ar-DZ</t>
        </is>
      </c>
      <c r="QT1" t="inlineStr">
        <is>
          <t xml:space="preserve">ar-SD</t>
        </is>
      </c>
      <c r="QX1" t="inlineStr">
        <is>
          <t xml:space="preserve">ar-TN</t>
        </is>
      </c>
      <c r="RB1" t="inlineStr">
        <is>
          <t xml:space="preserve">ar-LY</t>
        </is>
      </c>
      <c r="RF1" t="inlineStr">
        <is>
          <t xml:space="preserve">fr-CD</t>
        </is>
      </c>
      <c r="RJ1" t="inlineStr">
        <is>
          <t xml:space="preserve">fr-CI</t>
        </is>
      </c>
      <c r="RN1" t="inlineStr">
        <is>
          <t xml:space="preserve">fr-CM</t>
        </is>
      </c>
      <c r="RR1" t="inlineStr">
        <is>
          <t xml:space="preserve">fr-SN</t>
        </is>
      </c>
      <c r="RV1" t="inlineStr">
        <is>
          <t xml:space="preserve">fr-MG</t>
        </is>
      </c>
      <c r="RZ1" t="inlineStr">
        <is>
          <t xml:space="preserve">en-GH</t>
        </is>
      </c>
      <c r="SD1" t="inlineStr">
        <is>
          <t xml:space="preserve">en-UG</t>
        </is>
      </c>
      <c r="SH1" t="inlineStr">
        <is>
          <t xml:space="preserve">en-ZM</t>
        </is>
      </c>
      <c r="SL1" t="inlineStr">
        <is>
          <t xml:space="preserve">sw-TZ</t>
        </is>
      </c>
      <c r="SP1" t="inlineStr">
        <is>
          <t xml:space="preserve">pt-AO</t>
        </is>
      </c>
      <c r="ST1" t="inlineStr">
        <is>
          <t xml:space="preserve">pt-MZ</t>
        </is>
      </c>
      <c r="SX1" t="inlineStr">
        <is>
          <t xml:space="preserve">bn-BD</t>
        </is>
      </c>
      <c r="TB1" t="inlineStr">
        <is>
          <t xml:space="preserve">en-IN</t>
        </is>
      </c>
      <c r="TF1" t="inlineStr">
        <is>
          <t xml:space="preserve">en-PK</t>
        </is>
      </c>
      <c r="TJ1" t="inlineStr">
        <is>
          <t xml:space="preserve">en-PH</t>
        </is>
      </c>
      <c r="TN1" t="inlineStr">
        <is>
          <t xml:space="preserve">en-SG</t>
        </is>
      </c>
      <c r="TR1" t="inlineStr">
        <is>
          <t xml:space="preserve">en-LK</t>
        </is>
      </c>
      <c r="TV1" t="inlineStr">
        <is>
          <t xml:space="preserve">ky-KG</t>
        </is>
      </c>
      <c r="TZ1" t="inlineStr">
        <is>
          <t xml:space="preserve">tg-TJ</t>
        </is>
      </c>
      <c r="UD1" t="inlineStr">
        <is>
          <t xml:space="preserve">en-GU</t>
        </is>
      </c>
      <c r="UH1" t="inlineStr">
        <is>
          <t xml:space="preserve">en-SB</t>
        </is>
      </c>
      <c r="UL1" t="inlineStr">
        <is>
          <t xml:space="preserve">en-VU</t>
        </is>
      </c>
      <c r="UP1" t="inlineStr">
        <is>
          <t xml:space="preserve">en-FM</t>
        </is>
      </c>
      <c r="UT1" t="inlineStr">
        <is>
          <t xml:space="preserve">fr-NC</t>
        </is>
      </c>
      <c r="UX1" t="inlineStr">
        <is>
          <t xml:space="preserve">to-TO</t>
        </is>
      </c>
      <c r="VB1" t="inlineStr">
        <is>
          <t xml:space="preserve">eu-ES</t>
        </is>
      </c>
      <c r="VF1" t="inlineStr">
        <is>
          <t xml:space="preserve">gl-ES</t>
        </is>
      </c>
      <c r="VJ1" t="inlineStr">
        <is>
          <t xml:space="preserve">rm-CH</t>
        </is>
      </c>
      <c r="VN1" t="inlineStr">
        <is>
          <t xml:space="preserve">cy-GB</t>
        </is>
      </c>
      <c r="VR1" t="inlineStr">
        <is>
          <t xml:space="preserve">ga-IE</t>
        </is>
      </c>
      <c r="VV1" t="inlineStr">
        <is>
          <t xml:space="preserve">mt-MT</t>
        </is>
      </c>
      <c r="VZ1" t="inlineStr">
        <is>
          <t xml:space="preserve">lb-LU</t>
        </is>
      </c>
      <c r="WD1" t="inlineStr">
        <is>
          <t xml:space="preserve">se-NO</t>
        </is>
      </c>
      <c r="WH1" t="inlineStr">
        <is>
          <t xml:space="preserve">gn-PY</t>
        </is>
      </c>
      <c r="WL1" t="inlineStr">
        <is>
          <t xml:space="preserve">qu-PE</t>
        </is>
      </c>
      <c r="WP1" t="inlineStr">
        <is>
          <t xml:space="preserve">ay-BO</t>
        </is>
      </c>
      <c r="WT1" t="inlineStr">
        <is>
          <t xml:space="preserve">nv-US</t>
        </is>
      </c>
      <c r="WX1" t="inlineStr">
        <is>
          <t xml:space="preserve">nh-MX</t>
        </is>
      </c>
      <c r="XB1" t="inlineStr">
        <is>
          <t xml:space="preserve">ps-AF</t>
        </is>
      </c>
      <c r="XF1" t="inlineStr">
        <is>
          <t xml:space="preserve">iu-CA</t>
        </is>
      </c>
      <c r="XJ1" t="inlineStr">
        <is>
          <t xml:space="preserve">cr-CA</t>
        </is>
      </c>
      <c r="XN1" t="inlineStr">
        <is>
          <t xml:space="preserve">ck-US</t>
        </is>
      </c>
    </row>
    <row r="2" s="92" customFormat="true" ht="15.95" hidden="false" customHeight="true" outlineLevel="0" collapsed="false">
      <c r="A2" s="64" t="s">
        <v>1129</v>
      </c>
      <c r="B2" s="65" t="s">
        <v>1130</v>
      </c>
      <c r="C2" s="65" t="s">
        <v>1131</v>
      </c>
      <c r="D2" s="65"/>
      <c r="E2" s="65"/>
      <c r="F2" s="66"/>
      <c r="G2" s="66"/>
      <c r="H2" s="66"/>
      <c r="I2" s="66"/>
      <c r="J2" s="67" t="s">
        <v>1132</v>
      </c>
      <c r="K2" s="67" t="s">
        <v>1133</v>
      </c>
      <c r="L2" s="67"/>
      <c r="M2" s="67"/>
      <c r="N2" s="68"/>
      <c r="O2" s="68"/>
      <c r="P2" s="68"/>
      <c r="Q2" s="68"/>
      <c r="R2" s="69"/>
      <c r="S2" s="69"/>
      <c r="T2" s="69"/>
      <c r="U2" s="69"/>
      <c r="V2" s="70"/>
      <c r="W2" s="70"/>
      <c r="X2" s="70"/>
      <c r="Y2" s="70"/>
      <c r="Z2" s="71"/>
      <c r="AA2" s="71"/>
      <c r="AB2" s="71"/>
      <c r="AC2" s="72" t="s">
        <v>141</v>
      </c>
      <c r="AD2" s="73" t="s">
        <v>641</v>
      </c>
      <c r="AE2" s="73"/>
      <c r="AF2" s="73"/>
      <c r="AG2" s="73"/>
      <c r="AH2" t="inlineStr">
        <is>
          <t xml:space="preserve">a</t>
        </is>
      </c>
      <c r="AI2" t="inlineStr">
        <is>
          <t xml:space="preserve">A</t>
        </is>
      </c>
      <c r="AK2" t="inlineStr">
        <is>
          <t xml:space="preserve">HIRAGANA_TI</t>
        </is>
      </c>
      <c r="AL2" s="75" t="s">
        <v>558</v>
      </c>
      <c r="AM2" s="75" t="s">
        <v>16</v>
      </c>
      <c r="AN2" s="75" t="s">
        <v>558</v>
      </c>
      <c r="AO2" s="75"/>
      <c r="AP2" s="76" t="s">
        <v>254</v>
      </c>
      <c r="AQ2" s="76" t="s">
        <v>206</v>
      </c>
      <c r="AR2" s="76"/>
      <c r="AS2" s="76"/>
      <c r="AT2" s="77" t="s">
        <v>386</v>
      </c>
      <c r="AU2" s="77" t="s">
        <v>342</v>
      </c>
      <c r="AV2" s="77"/>
      <c r="AW2" s="77"/>
      <c r="AX2" s="78" t="s">
        <v>386</v>
      </c>
      <c r="AY2" s="78" t="s">
        <v>342</v>
      </c>
      <c r="AZ2" s="78"/>
      <c r="BA2" s="78"/>
      <c r="BB2" s="79" t="s">
        <v>386</v>
      </c>
      <c r="BC2" s="79" t="s">
        <v>342</v>
      </c>
      <c r="BD2" s="79"/>
      <c r="BE2" s="79"/>
      <c r="BF2" s="80" t="s">
        <v>386</v>
      </c>
      <c r="BG2" s="80" t="s">
        <v>342</v>
      </c>
      <c r="BH2" s="80"/>
      <c r="BI2" s="80"/>
      <c r="BJ2" s="81" t="s">
        <v>396</v>
      </c>
      <c r="BK2" s="81" t="s">
        <v>352</v>
      </c>
      <c r="BL2" s="81"/>
      <c r="BM2" s="81"/>
      <c r="BN2" s="66"/>
      <c r="BO2" s="66"/>
      <c r="BP2" s="66"/>
      <c r="BQ2" t="inlineStr">
        <is>
          <t xml:space="preserve">U"\f\f\f" LATIN_0105</t>
        </is>
      </c>
      <c r="BR2" s="82"/>
      <c r="BS2" s="82"/>
      <c r="BT2" s="82"/>
      <c r="BU2" s="82"/>
      <c r="BZ2" s="85"/>
      <c r="CA2" s="85"/>
      <c r="CB2" s="85"/>
      <c r="CC2" t="inlineStr">
        <is>
          <t xml:space="preserve">LATIN_00E1</t>
        </is>
      </c>
      <c r="CD2" s="66" t="s">
        <v>496</v>
      </c>
      <c r="CE2" s="66"/>
      <c r="CF2" s="66"/>
      <c r="CG2" s="66"/>
      <c r="CH2" s="86"/>
      <c r="CI2" s="86"/>
      <c r="CJ2" s="86"/>
      <c r="CK2" s="86"/>
      <c r="CL2" s="87"/>
      <c r="CM2" s="87"/>
      <c r="CN2" s="87"/>
      <c r="CO2" s="87"/>
      <c r="CP2" s="83"/>
      <c r="CQ2" s="83"/>
      <c r="CR2" s="83"/>
      <c r="CS2" s="83"/>
      <c r="CT2" s="82"/>
      <c r="CU2" s="82"/>
      <c r="CV2" s="82"/>
      <c r="CW2" s="82"/>
      <c r="CX2" s="88"/>
      <c r="CY2" s="88"/>
      <c r="CZ2" s="88"/>
      <c r="DA2" s="89" t="s">
        <v>139</v>
      </c>
      <c r="DB2" s="90"/>
      <c r="DC2" s="90"/>
      <c r="DD2" s="90"/>
      <c r="DE2" s="91"/>
      <c r="DU2" t="inlineStr">
        <is>
          <t xml:space="preserve">LATIN_0101</t>
        </is>
      </c>
      <c r="ED2" t="inlineStr">
        <is>
          <t xml:space="preserve">CYRILLIC_SM_A</t>
        </is>
      </c>
      <c r="EE2" t="inlineStr">
        <is>
          <t xml:space="preserve">CYRILLIC_A</t>
        </is>
      </c>
      <c r="EH2" t="inlineStr">
        <is>
          <t xml:space="preserve">CYRILLIC_SM_A</t>
        </is>
      </c>
      <c r="EI2" t="inlineStr">
        <is>
          <t xml:space="preserve">CYRILLIC_A</t>
        </is>
      </c>
      <c r="EL2" t="inlineStr">
        <is>
          <t xml:space="preserve">ARABIC_SHEEN</t>
        </is>
      </c>
      <c r="EN2" t="inlineStr">
        <is>
          <t xml:space="preserve">ARABIC_SHEEN</t>
        </is>
      </c>
      <c r="EP2" t="inlineStr">
        <is>
          <t xml:space="preserve">DEVA_DC_094B</t>
        </is>
      </c>
      <c r="EQ2" t="inlineStr">
        <is>
          <t xml:space="preserve">DEVANAGARI_0913</t>
        </is>
      </c>
      <c r="ER2" t="inlineStr">
        <is>
          <t xml:space="preserve">DEVA_DC_094B</t>
        </is>
      </c>
      <c r="ET2" t="inlineStr">
        <is>
          <t xml:space="preserve">DEVA_DC_094B</t>
        </is>
      </c>
      <c r="EU2" t="inlineStr">
        <is>
          <t xml:space="preserve">DEVANAGARI_0913</t>
        </is>
      </c>
      <c r="EV2" t="inlineStr">
        <is>
          <t xml:space="preserve">DEVA_DC_094B</t>
        </is>
      </c>
      <c r="EX2" t="inlineStr">
        <is>
          <t xml:space="preserve">DEVA_DC_094B</t>
        </is>
      </c>
      <c r="EY2" t="inlineStr">
        <is>
          <t xml:space="preserve">DEVANAGARI_0913</t>
        </is>
      </c>
      <c r="EZ2" t="inlineStr">
        <is>
          <t xml:space="preserve">DEVA_DC_094B</t>
        </is>
      </c>
      <c r="FB2" t="inlineStr">
        <is>
          <t xml:space="preserve">CYRILLIC_SM_SHORT_I</t>
        </is>
      </c>
      <c r="FC2" t="inlineStr">
        <is>
          <t xml:space="preserve">CYRILLIC_SHORT_I</t>
        </is>
      </c>
      <c r="FF2" t="inlineStr">
        <is>
          <t xml:space="preserve">ARABIC_MEEM</t>
        </is>
      </c>
      <c r="FG2" t="inlineStr">
        <is>
          <t xml:space="preserve">ARABIC_JEH</t>
        </is>
      </c>
      <c r="FH2" t="inlineStr">
        <is>
          <t xml:space="preserve">ARABIC_MEEM</t>
        </is>
      </c>
      <c r="FV2" t="inlineStr">
        <is>
          <t xml:space="preserve">q</t>
        </is>
      </c>
      <c r="FW2" t="inlineStr">
        <is>
          <t xml:space="preserve">Q</t>
        </is>
      </c>
      <c r="GD2" t="inlineStr">
        <is>
          <t xml:space="preserve">THAI_0E1F</t>
        </is>
      </c>
      <c r="GE2" t="inlineStr">
        <is>
          <t xml:space="preserve">THAI_0E24</t>
        </is>
      </c>
      <c r="GF2" t="inlineStr">
        <is>
          <t xml:space="preserve">THAI_0E1F</t>
        </is>
      </c>
      <c r="GH2" t="inlineStr">
        <is>
          <t xml:space="preserve">BENG_DC_09CB</t>
        </is>
      </c>
      <c r="GI2" t="inlineStr">
        <is>
          <t xml:space="preserve">BENGALI_0993</t>
        </is>
      </c>
      <c r="GJ2" t="inlineStr">
        <is>
          <t xml:space="preserve">BENG_DC_09CB</t>
        </is>
      </c>
      <c r="GL2" t="inlineStr">
        <is>
          <t xml:space="preserve">TELU_DC_0C4B</t>
        </is>
      </c>
      <c r="GM2" t="inlineStr">
        <is>
          <t xml:space="preserve">TELUGU_0C13</t>
        </is>
      </c>
      <c r="GN2" t="inlineStr">
        <is>
          <t xml:space="preserve">TELU_DC_0C4B</t>
        </is>
      </c>
      <c r="GP2" t="inlineStr">
        <is>
          <t xml:space="preserve">TAML_DC_0BCB</t>
        </is>
      </c>
      <c r="GQ2" t="inlineStr">
        <is>
          <t xml:space="preserve"/>
        </is>
      </c>
      <c r="GR2" t="inlineStr">
        <is>
          <t xml:space="preserve">TAML_DC_0BCB</t>
        </is>
      </c>
      <c r="GT2" t="inlineStr">
        <is>
          <t xml:space="preserve">ZHUYIN_3107</t>
        </is>
      </c>
      <c r="GV2" t="inlineStr">
        <is>
          <t xml:space="preserve">ZHUYIN_3107</t>
        </is>
      </c>
      <c r="GX2" t="inlineStr">
        <is>
          <t xml:space="preserve">GEORGIAN_10D0</t>
        </is>
      </c>
      <c r="GZ2" t="inlineStr">
        <is>
          <t xml:space="preserve">GEORGIAN_10D0</t>
        </is>
      </c>
      <c r="HB2" t="inlineStr">
        <is>
          <t xml:space="preserve">ARMENIAN_057B</t>
        </is>
      </c>
      <c r="HC2" t="inlineStr">
        <is>
          <t xml:space="preserve">ARMENIAN_054B</t>
        </is>
      </c>
      <c r="HV2" t="inlineStr">
        <is>
          <t xml:space="preserve">KANGXI_RADICAL_SUN</t>
        </is>
      </c>
      <c r="HW2" t="inlineStr">
        <is>
          <t xml:space="preserve">a</t>
        </is>
      </c>
      <c r="HX2" t="inlineStr">
        <is>
          <t xml:space="preserve">KANGXI_RADICAL_SUN</t>
        </is>
      </c>
      <c r="IK2" t="inlineStr">
        <is>
          <t xml:space="preserve">LATIN_0101</t>
        </is>
      </c>
      <c r="IO2" t="inlineStr">
        <is>
          <t xml:space="preserve">LATIN_0101</t>
        </is>
      </c>
      <c r="IW2" t="inlineStr">
        <is>
          <t xml:space="preserve">LETTER_AE_SMALL</t>
        </is>
      </c>
      <c r="JA2" t="inlineStr">
        <is>
          <t xml:space="preserve">LATIN_0101</t>
        </is>
      </c>
      <c r="JE2" t="inlineStr">
        <is>
          <t xml:space="preserve">UMLAUT_A_SMALL</t>
        </is>
      </c>
      <c r="JI2" t="inlineStr">
        <is>
          <t xml:space="preserve">UMLAUT_A_SMALL</t>
        </is>
      </c>
      <c r="JJ2" t="inlineStr">
        <is>
          <t xml:space="preserve">ARABIC_SHEEN</t>
        </is>
      </c>
      <c r="JK2" t="inlineStr">
        <is>
          <t xml:space="preserve">BACKSLASH</t>
        </is>
      </c>
      <c r="JL2" t="inlineStr">
        <is>
          <t xml:space="preserve">ARABIC_SHEEN</t>
        </is>
      </c>
      <c r="JR2" t="inlineStr">
        <is>
          <t xml:space="preserve">ETHIOPIC_12A0</t>
        </is>
      </c>
      <c r="JT2" t="inlineStr">
        <is>
          <t xml:space="preserve">ETHIOPIC_12A0</t>
        </is>
      </c>
      <c r="KD2" t="inlineStr">
        <is>
          <t xml:space="preserve">ARABIC_SHEEN</t>
        </is>
      </c>
      <c r="KE2" t="inlineStr">
        <is>
          <t xml:space="preserve">BACKSLASH</t>
        </is>
      </c>
      <c r="KF2" t="inlineStr">
        <is>
          <t xml:space="preserve">ARABIC_SHEEN</t>
        </is>
      </c>
      <c r="KH2" t="inlineStr">
        <is>
          <t xml:space="preserve">ARABIC_SHEEN</t>
        </is>
      </c>
      <c r="KI2" t="inlineStr">
        <is>
          <t xml:space="preserve">BACKSLASH</t>
        </is>
      </c>
      <c r="KJ2" t="inlineStr">
        <is>
          <t xml:space="preserve">ARABIC_SHEEN</t>
        </is>
      </c>
      <c r="KL2" t="inlineStr">
        <is>
          <t xml:space="preserve">ARABIC_ALEF</t>
        </is>
      </c>
      <c r="KM2" t="inlineStr">
        <is>
          <t xml:space="preserve">ARABIC_ALEF_MADDA_A</t>
        </is>
      </c>
      <c r="KN2" t="inlineStr">
        <is>
          <t xml:space="preserve">ARABIC_ALEF</t>
        </is>
      </c>
      <c r="LJ2" t="inlineStr">
        <is>
          <t xml:space="preserve">q</t>
        </is>
      </c>
      <c r="LK2" t="inlineStr">
        <is>
          <t xml:space="preserve">Q</t>
        </is>
      </c>
      <c r="NZ2" t="inlineStr">
        <is>
          <t xml:space="preserve">q</t>
        </is>
      </c>
      <c r="OA2" t="inlineStr">
        <is>
          <t xml:space="preserve">Q</t>
        </is>
      </c>
      <c r="OH2" t="inlineStr">
        <is>
          <t xml:space="preserve">a</t>
        </is>
      </c>
      <c r="OI2" t="inlineStr">
        <is>
          <t xml:space="preserve">A</t>
        </is>
      </c>
      <c r="OK2" t="inlineStr">
        <is>
          <t xml:space="preserve">A_WITH_ACUTE_SMALL</t>
        </is>
      </c>
      <c r="PB2" t="inlineStr">
        <is>
          <t xml:space="preserve">ARABIC_SHEEN</t>
        </is>
      </c>
      <c r="PC2" t="inlineStr">
        <is>
          <t xml:space="preserve">BACKSLASH</t>
        </is>
      </c>
      <c r="PD2" t="inlineStr">
        <is>
          <t xml:space="preserve">ARABIC_SHEEN</t>
        </is>
      </c>
      <c r="PF2" t="inlineStr">
        <is>
          <t xml:space="preserve">ARABIC_SHEEN</t>
        </is>
      </c>
      <c r="PG2" t="inlineStr">
        <is>
          <t xml:space="preserve">BACKSLASH</t>
        </is>
      </c>
      <c r="PH2" t="inlineStr">
        <is>
          <t xml:space="preserve">ARABIC_SHEEN</t>
        </is>
      </c>
      <c r="PJ2" t="inlineStr">
        <is>
          <t xml:space="preserve">ARABIC_SHEEN</t>
        </is>
      </c>
      <c r="PK2" t="inlineStr">
        <is>
          <t xml:space="preserve">BACKSLASH</t>
        </is>
      </c>
      <c r="PL2" t="inlineStr">
        <is>
          <t xml:space="preserve">ARABIC_SHEEN</t>
        </is>
      </c>
      <c r="PN2" t="inlineStr">
        <is>
          <t xml:space="preserve">ARABIC_SHEEN</t>
        </is>
      </c>
      <c r="PO2" t="inlineStr">
        <is>
          <t xml:space="preserve">BACKSLASH</t>
        </is>
      </c>
      <c r="PP2" t="inlineStr">
        <is>
          <t xml:space="preserve">ARABIC_SHEEN</t>
        </is>
      </c>
      <c r="PR2" t="inlineStr">
        <is>
          <t xml:space="preserve">ARABIC_SHEEN</t>
        </is>
      </c>
      <c r="PS2" t="inlineStr">
        <is>
          <t xml:space="preserve">BACKSLASH</t>
        </is>
      </c>
      <c r="PT2" t="inlineStr">
        <is>
          <t xml:space="preserve">ARABIC_SHEEN</t>
        </is>
      </c>
      <c r="PV2" t="inlineStr">
        <is>
          <t xml:space="preserve">ARABIC_SHEEN</t>
        </is>
      </c>
      <c r="PW2" t="inlineStr">
        <is>
          <t xml:space="preserve">BACKSLASH</t>
        </is>
      </c>
      <c r="PX2" t="inlineStr">
        <is>
          <t xml:space="preserve">ARABIC_SHEEN</t>
        </is>
      </c>
      <c r="PZ2" t="inlineStr">
        <is>
          <t xml:space="preserve">ARABIC_SHEEN</t>
        </is>
      </c>
      <c r="QA2" t="inlineStr">
        <is>
          <t xml:space="preserve">BACKSLASH</t>
        </is>
      </c>
      <c r="QB2" t="inlineStr">
        <is>
          <t xml:space="preserve">ARABIC_SHEEN</t>
        </is>
      </c>
      <c r="QD2" t="inlineStr">
        <is>
          <t xml:space="preserve">ARABIC_SHEEN</t>
        </is>
      </c>
      <c r="QE2" t="inlineStr">
        <is>
          <t xml:space="preserve">BACKSLASH</t>
        </is>
      </c>
      <c r="QF2" t="inlineStr">
        <is>
          <t xml:space="preserve">ARABIC_SHEEN</t>
        </is>
      </c>
      <c r="QH2" t="inlineStr">
        <is>
          <t xml:space="preserve">ARABIC_SHEEN</t>
        </is>
      </c>
      <c r="QI2" t="inlineStr">
        <is>
          <t xml:space="preserve">BACKSLASH</t>
        </is>
      </c>
      <c r="QJ2" t="inlineStr">
        <is>
          <t xml:space="preserve">ARABIC_SHEEN</t>
        </is>
      </c>
      <c r="QL2" t="inlineStr">
        <is>
          <t xml:space="preserve">ARABIC_SHEEN</t>
        </is>
      </c>
      <c r="QM2" t="inlineStr">
        <is>
          <t xml:space="preserve">BACKSLASH</t>
        </is>
      </c>
      <c r="QN2" t="inlineStr">
        <is>
          <t xml:space="preserve">ARABIC_SHEEN</t>
        </is>
      </c>
      <c r="QP2" t="inlineStr">
        <is>
          <t xml:space="preserve">ARABIC_SHEEN</t>
        </is>
      </c>
      <c r="QQ2" t="inlineStr">
        <is>
          <t xml:space="preserve">BACKSLASH</t>
        </is>
      </c>
      <c r="QR2" t="inlineStr">
        <is>
          <t xml:space="preserve">ARABIC_SHEEN</t>
        </is>
      </c>
      <c r="QT2" t="inlineStr">
        <is>
          <t xml:space="preserve">ARABIC_SHEEN</t>
        </is>
      </c>
      <c r="QU2" t="inlineStr">
        <is>
          <t xml:space="preserve">BACKSLASH</t>
        </is>
      </c>
      <c r="QV2" t="inlineStr">
        <is>
          <t xml:space="preserve">ARABIC_SHEEN</t>
        </is>
      </c>
      <c r="QX2" t="inlineStr">
        <is>
          <t xml:space="preserve">ARABIC_SHEEN</t>
        </is>
      </c>
      <c r="QY2" t="inlineStr">
        <is>
          <t xml:space="preserve">BACKSLASH</t>
        </is>
      </c>
      <c r="QZ2" t="inlineStr">
        <is>
          <t xml:space="preserve">ARABIC_SHEEN</t>
        </is>
      </c>
      <c r="RB2" t="inlineStr">
        <is>
          <t xml:space="preserve">ARABIC_SHEEN</t>
        </is>
      </c>
      <c r="RC2" t="inlineStr">
        <is>
          <t xml:space="preserve">BACKSLASH</t>
        </is>
      </c>
      <c r="RD2" t="inlineStr">
        <is>
          <t xml:space="preserve">ARABIC_SHEEN</t>
        </is>
      </c>
      <c r="RF2" t="inlineStr">
        <is>
          <t xml:space="preserve">q</t>
        </is>
      </c>
      <c r="RG2" t="inlineStr">
        <is>
          <t xml:space="preserve">Q</t>
        </is>
      </c>
      <c r="RJ2" t="inlineStr">
        <is>
          <t xml:space="preserve">q</t>
        </is>
      </c>
      <c r="RK2" t="inlineStr">
        <is>
          <t xml:space="preserve">Q</t>
        </is>
      </c>
      <c r="RN2" t="inlineStr">
        <is>
          <t xml:space="preserve">q</t>
        </is>
      </c>
      <c r="RO2" t="inlineStr">
        <is>
          <t xml:space="preserve">Q</t>
        </is>
      </c>
      <c r="RR2" t="inlineStr">
        <is>
          <t xml:space="preserve">q</t>
        </is>
      </c>
      <c r="RS2" t="inlineStr">
        <is>
          <t xml:space="preserve">Q</t>
        </is>
      </c>
      <c r="RV2" t="inlineStr">
        <is>
          <t xml:space="preserve">q</t>
        </is>
      </c>
      <c r="RW2" t="inlineStr">
        <is>
          <t xml:space="preserve">Q</t>
        </is>
      </c>
      <c r="SX2" t="inlineStr">
        <is>
          <t xml:space="preserve">BENG_DC_09CB</t>
        </is>
      </c>
      <c r="SY2" t="inlineStr">
        <is>
          <t xml:space="preserve">BENGALI_0993</t>
        </is>
      </c>
      <c r="SZ2" t="inlineStr">
        <is>
          <t xml:space="preserve">BENG_DC_09CB</t>
        </is>
      </c>
      <c r="TM2" t="inlineStr">
        <is>
          <t xml:space="preserve">LETTER_AE_SMALL</t>
        </is>
      </c>
      <c r="TU2" t="inlineStr">
        <is>
          <t xml:space="preserve">UMLAUT_A_SMALL</t>
        </is>
      </c>
      <c r="TV2" t="inlineStr">
        <is>
          <t xml:space="preserve">CYRILLIC_SM_EF</t>
        </is>
      </c>
      <c r="TW2" t="inlineStr">
        <is>
          <t xml:space="preserve">CYRILLIC_EF</t>
        </is>
      </c>
      <c r="TZ2" t="inlineStr">
        <is>
          <t xml:space="preserve">CYRILLIC_SM_EF</t>
        </is>
      </c>
      <c r="UA2" t="inlineStr">
        <is>
          <t xml:space="preserve">CYRILLIC_EF</t>
        </is>
      </c>
      <c r="UT2" t="inlineStr">
        <is>
          <t xml:space="preserve">q</t>
        </is>
      </c>
      <c r="UU2" t="inlineStr">
        <is>
          <t xml:space="preserve">Q</t>
        </is>
      </c>
      <c r="VA2" t="inlineStr">
        <is>
          <t xml:space="preserve">LATIN_0101</t>
        </is>
      </c>
      <c r="VE2" t="inlineStr">
        <is>
          <t xml:space="preserve">UMLAUT_A_SMALL</t>
        </is>
      </c>
      <c r="VR2" t="inlineStr">
        <is>
          <t xml:space="preserve">a</t>
        </is>
      </c>
      <c r="VS2" t="inlineStr">
        <is>
          <t xml:space="preserve">A</t>
        </is>
      </c>
      <c r="VU2" t="inlineStr">
        <is>
          <t xml:space="preserve">A_WITH_ACUTE_SMALL</t>
        </is>
      </c>
      <c r="VV2" t="inlineStr">
        <is>
          <t xml:space="preserve">a</t>
        </is>
      </c>
      <c r="VW2" t="inlineStr">
        <is>
          <t xml:space="preserve">A</t>
        </is>
      </c>
      <c r="VY2" t="inlineStr">
        <is>
          <t xml:space="preserve">A_WITH_GRAVE_SMALL</t>
        </is>
      </c>
      <c r="WG2" t="inlineStr">
        <is>
          <t xml:space="preserve">LATIN_00E2</t>
        </is>
      </c>
      <c r="WH2" t="inlineStr">
        <is>
          <t xml:space="preserve">a</t>
        </is>
      </c>
      <c r="WI2" t="inlineStr">
        <is>
          <t xml:space="preserve">A</t>
        </is>
      </c>
      <c r="WK2" t="inlineStr">
        <is>
          <t xml:space="preserve">LATIN_00E3</t>
        </is>
      </c>
      <c r="WT2" t="inlineStr">
        <is>
          <t xml:space="preserve">a</t>
        </is>
      </c>
      <c r="WU2" t="inlineStr">
        <is>
          <t xml:space="preserve">A</t>
        </is>
      </c>
      <c r="WW2" t="inlineStr">
        <is>
          <t xml:space="preserve">LATIN_0105</t>
        </is>
      </c>
      <c r="XB2" t="inlineStr">
        <is>
          <t xml:space="preserve">U"\f" ARABIC_0634</t>
        </is>
      </c>
      <c r="XC2" t="inlineStr">
        <is>
          <t xml:space="preserve">ARABIC_069A</t>
        </is>
      </c>
      <c r="XD2" t="inlineStr">
        <is>
          <t xml:space="preserve">ARABIC_0634</t>
        </is>
      </c>
      <c r="XF2" t="inlineStr">
        <is>
          <t xml:space="preserve">UCAS_1591</t>
        </is>
      </c>
      <c r="XG2" t="inlineStr">
        <is>
          <t xml:space="preserve">U"\x06\x06" UCAS_148D</t>
        </is>
      </c>
      <c r="XH2" t="inlineStr">
        <is>
          <t xml:space="preserve">UCAS_1591</t>
        </is>
      </c>
      <c r="XJ2" t="inlineStr">
        <is>
          <t xml:space="preserve">a</t>
        </is>
      </c>
      <c r="XK2" t="inlineStr">
        <is>
          <t xml:space="preserve">A</t>
        </is>
      </c>
      <c r="XM2" t="inlineStr">
        <is>
          <t xml:space="preserve">UCAS_140A</t>
        </is>
      </c>
      <c r="XN2" t="inlineStr">
        <is>
          <t xml:space="preserve">CHEROKEE_13A0</t>
        </is>
      </c>
      <c r="XO2" t="inlineStr">
        <is>
          <t xml:space="preserve">CHEROKEE_13CC</t>
        </is>
      </c>
      <c r="XP2" t="inlineStr">
        <is>
          <t xml:space="preserve">CHEROKEE_13A0</t>
        </is>
      </c>
      <c r="XQ2" t="inlineStr">
        <is>
          <t xml:space="preserve">a</t>
        </is>
      </c>
    </row>
    <row r="3" s="116" customFormat="true" ht="15.95" hidden="false" customHeight="true" outlineLevel="0" collapsed="false">
      <c r="A3" s="93" t="s">
        <v>1134</v>
      </c>
      <c r="B3" s="94" t="s">
        <v>1135</v>
      </c>
      <c r="C3" s="94" t="s">
        <v>1136</v>
      </c>
      <c r="D3" s="94"/>
      <c r="E3" s="94"/>
      <c r="F3" s="95"/>
      <c r="G3" s="95"/>
      <c r="H3" s="95"/>
      <c r="I3" s="95"/>
      <c r="J3" s="96"/>
      <c r="K3" s="96"/>
      <c r="L3" s="96"/>
      <c r="M3" s="96"/>
      <c r="N3" s="97"/>
      <c r="O3" s="97"/>
      <c r="P3" s="97"/>
      <c r="Q3" s="97"/>
      <c r="R3" s="98"/>
      <c r="S3" s="98"/>
      <c r="T3" s="98"/>
      <c r="U3" s="98"/>
      <c r="V3" s="99"/>
      <c r="W3" s="99"/>
      <c r="X3" s="99"/>
      <c r="Y3" s="99"/>
      <c r="Z3" s="100"/>
      <c r="AA3" s="100"/>
      <c r="AB3" s="100"/>
      <c r="AC3" s="100"/>
      <c r="AD3" s="101" t="s">
        <v>673</v>
      </c>
      <c r="AE3" s="101"/>
      <c r="AF3" s="101"/>
      <c r="AG3" s="101"/>
      <c r="AH3" t="inlineStr">
        <is>
          <t xml:space="preserve">b</t>
        </is>
      </c>
      <c r="AI3" t="inlineStr">
        <is>
          <t xml:space="preserve">B</t>
        </is>
      </c>
      <c r="AK3" t="inlineStr">
        <is>
          <t xml:space="preserve">HIRAGANA_KO</t>
        </is>
      </c>
      <c r="AL3" s="103" t="s">
        <v>1019</v>
      </c>
      <c r="AM3" s="103" t="s">
        <v>1017</v>
      </c>
      <c r="AN3" s="103"/>
      <c r="AO3" s="103"/>
      <c r="AP3" s="104" t="s">
        <v>256</v>
      </c>
      <c r="AQ3" s="104" t="s">
        <v>208</v>
      </c>
      <c r="AR3" s="104"/>
      <c r="AS3" s="104"/>
      <c r="AT3" s="105" t="s">
        <v>368</v>
      </c>
      <c r="AU3" s="105" t="s">
        <v>324</v>
      </c>
      <c r="AV3" s="105"/>
      <c r="AW3" s="105"/>
      <c r="AX3" s="106" t="s">
        <v>368</v>
      </c>
      <c r="AY3" s="106" t="s">
        <v>324</v>
      </c>
      <c r="AZ3" s="106"/>
      <c r="BA3" s="106"/>
      <c r="BB3" s="107" t="s">
        <v>406</v>
      </c>
      <c r="BC3" s="107" t="s">
        <v>308</v>
      </c>
      <c r="BD3" s="107"/>
      <c r="BE3" s="107"/>
      <c r="BF3" s="108" t="s">
        <v>406</v>
      </c>
      <c r="BG3" s="108" t="s">
        <v>308</v>
      </c>
      <c r="BH3" s="108"/>
      <c r="BI3" s="108"/>
      <c r="BJ3" s="109" t="s">
        <v>386</v>
      </c>
      <c r="BK3" s="109" t="s">
        <v>342</v>
      </c>
      <c r="BL3" s="109"/>
      <c r="BM3" s="109"/>
      <c r="BN3" s="95"/>
      <c r="BO3" s="95"/>
      <c r="BP3" s="95"/>
      <c r="BQ3" s="95" t="s">
        <v>1137</v>
      </c>
      <c r="BR3" s="110"/>
      <c r="BS3" s="110"/>
      <c r="BT3" s="110"/>
      <c r="BU3" s="110"/>
      <c r="BZ3" s="111"/>
      <c r="CA3" s="111"/>
      <c r="CB3" s="111"/>
      <c r="CC3" s="111"/>
      <c r="CD3" s="95" t="s">
        <v>487</v>
      </c>
      <c r="CE3" s="95"/>
      <c r="CF3" s="95"/>
      <c r="CG3" s="95"/>
      <c r="CH3" s="112"/>
      <c r="CI3" s="112"/>
      <c r="CJ3" s="112"/>
      <c r="CK3" s="112"/>
      <c r="CL3" s="113"/>
      <c r="CM3" s="113"/>
      <c r="CN3" s="113"/>
      <c r="CO3" s="113"/>
      <c r="CP3" s="84"/>
      <c r="CQ3" s="84"/>
      <c r="CR3" s="84"/>
      <c r="CS3" s="84"/>
      <c r="CT3" s="110"/>
      <c r="CU3" s="110"/>
      <c r="CV3" s="110"/>
      <c r="CW3" s="110"/>
      <c r="CX3" s="114"/>
      <c r="CY3" s="114"/>
      <c r="CZ3" s="114"/>
      <c r="DA3" s="114" t="s">
        <v>1137</v>
      </c>
      <c r="DB3" s="115"/>
      <c r="DC3" s="115"/>
      <c r="DD3" s="115"/>
      <c r="DE3" s="115" t="s">
        <v>1137</v>
      </c>
      <c r="DI3" t="inlineStr">
        <is>
          <t xml:space="preserve">{</t>
        </is>
      </c>
      <c r="ED3" t="inlineStr">
        <is>
          <t xml:space="preserve">CYRILLIC_SM_BE</t>
        </is>
      </c>
      <c r="EE3" t="inlineStr">
        <is>
          <t xml:space="preserve">CYRILLIC_BE</t>
        </is>
      </c>
      <c r="EH3" t="inlineStr">
        <is>
          <t xml:space="preserve">CYRILLIC_SM_BE</t>
        </is>
      </c>
      <c r="EI3" t="inlineStr">
        <is>
          <t xml:space="preserve">CYRILLIC_BE</t>
        </is>
      </c>
      <c r="EL3" t="inlineStr">
        <is>
          <t xml:space="preserve">ARABIC_THAL</t>
        </is>
      </c>
      <c r="EN3" t="inlineStr">
        <is>
          <t xml:space="preserve">ARABIC_THAL</t>
        </is>
      </c>
      <c r="EP3" t="inlineStr">
        <is>
          <t xml:space="preserve">DEVANAGARI_0935</t>
        </is>
      </c>
      <c r="EQ3" t="inlineStr">
        <is>
          <t xml:space="preserve">DEVANAGARI_0934</t>
        </is>
      </c>
      <c r="ER3" t="inlineStr">
        <is>
          <t xml:space="preserve">DEVANAGARI_0935</t>
        </is>
      </c>
      <c r="ET3" t="inlineStr">
        <is>
          <t xml:space="preserve">DEVANAGARI_0935</t>
        </is>
      </c>
      <c r="EU3" t="inlineStr">
        <is>
          <t xml:space="preserve">DEVANAGARI_0934</t>
        </is>
      </c>
      <c r="EV3" t="inlineStr">
        <is>
          <t xml:space="preserve">DEVANAGARI_0935</t>
        </is>
      </c>
      <c r="EX3" t="inlineStr">
        <is>
          <t xml:space="preserve">DEVANAGARI_0935</t>
        </is>
      </c>
      <c r="EY3" t="inlineStr">
        <is>
          <t xml:space="preserve">DEVANAGARI_0934</t>
        </is>
      </c>
      <c r="EZ3" t="inlineStr">
        <is>
          <t xml:space="preserve">DEVANAGARI_0935</t>
        </is>
      </c>
      <c r="FB3" t="inlineStr">
        <is>
          <t xml:space="preserve">CYRILLIC_SM_EM</t>
        </is>
      </c>
      <c r="FC3" t="inlineStr">
        <is>
          <t xml:space="preserve">CYRILLIC_EM</t>
        </is>
      </c>
      <c r="FF3" t="inlineStr">
        <is>
          <t xml:space="preserve">ARABIC_SHEEN</t>
        </is>
      </c>
      <c r="FG3" t="inlineStr">
        <is>
          <t xml:space="preserve">ARABIC_WAW_HAMZA_A</t>
        </is>
      </c>
      <c r="FH3" t="inlineStr">
        <is>
          <t xml:space="preserve">ARABIC_SHEEN</t>
        </is>
      </c>
      <c r="GD3" t="inlineStr">
        <is>
          <t xml:space="preserve">THAI_DC_0E34</t>
        </is>
      </c>
      <c r="GE3" t="inlineStr">
        <is>
          <t xml:space="preserve">THAI_DC_0E3A</t>
        </is>
      </c>
      <c r="GF3" t="inlineStr">
        <is>
          <t xml:space="preserve">THAI_DC_0E34</t>
        </is>
      </c>
      <c r="GL3" t="inlineStr">
        <is>
          <t xml:space="preserve">TELUGU_0C35</t>
        </is>
      </c>
      <c r="GM3" t="inlineStr">
        <is>
          <t xml:space="preserve">TELUGU_0C34</t>
        </is>
      </c>
      <c r="GN3" t="inlineStr">
        <is>
          <t xml:space="preserve">TELUGU_0C35</t>
        </is>
      </c>
      <c r="GP3" t="inlineStr">
        <is>
          <t xml:space="preserve">TAMIL_0BB5</t>
        </is>
      </c>
      <c r="GQ3" t="inlineStr">
        <is>
          <t xml:space="preserve">TAMIL_0BB4</t>
        </is>
      </c>
      <c r="GR3" t="inlineStr">
        <is>
          <t xml:space="preserve">TAMIL_0BB5</t>
        </is>
      </c>
      <c r="GT3" t="inlineStr">
        <is>
          <t xml:space="preserve">ZHUYIN_3116</t>
        </is>
      </c>
      <c r="GV3" t="inlineStr">
        <is>
          <t xml:space="preserve">ZHUYIN_3116</t>
        </is>
      </c>
      <c r="GX3" t="inlineStr">
        <is>
          <t xml:space="preserve">GEORGIAN_10D1</t>
        </is>
      </c>
      <c r="GZ3" t="inlineStr">
        <is>
          <t xml:space="preserve">GEORGIAN_10D1</t>
        </is>
      </c>
      <c r="HB3" t="inlineStr">
        <is>
          <t xml:space="preserve">ARMENIAN_0566</t>
        </is>
      </c>
      <c r="HC3" t="inlineStr">
        <is>
          <t xml:space="preserve">ARMENIAN_0536</t>
        </is>
      </c>
      <c r="HV3" t="inlineStr">
        <is>
          <t xml:space="preserve">KANGXI_RADICAL_MOON</t>
        </is>
      </c>
      <c r="HW3" t="inlineStr">
        <is>
          <t xml:space="preserve">b</t>
        </is>
      </c>
      <c r="HX3" t="inlineStr">
        <is>
          <t xml:space="preserve">KANGXI_RADICAL_MOON</t>
        </is>
      </c>
      <c r="JJ3" t="inlineStr">
        <is>
          <t xml:space="preserve">ARABIC_LAM_ALEF</t>
        </is>
      </c>
      <c r="JK3" t="inlineStr">
        <is>
          <t xml:space="preserve">ARABIC_LAM_ALEF_MADDA</t>
        </is>
      </c>
      <c r="JR3" t="inlineStr">
        <is>
          <t xml:space="preserve">ETHIOPIC_1260</t>
        </is>
      </c>
      <c r="JT3" t="inlineStr">
        <is>
          <t xml:space="preserve">ETHIOPIC_1260</t>
        </is>
      </c>
      <c r="KD3" t="inlineStr">
        <is>
          <t xml:space="preserve">ARABIC_LAM_ALEF</t>
        </is>
      </c>
      <c r="KE3" t="inlineStr">
        <is>
          <t xml:space="preserve">ARABIC_LAM_ALEF_MADDA</t>
        </is>
      </c>
      <c r="KH3" t="inlineStr">
        <is>
          <t xml:space="preserve">ARABIC_LAM_ALEF</t>
        </is>
      </c>
      <c r="KI3" t="inlineStr">
        <is>
          <t xml:space="preserve">ARABIC_LAM_ALEF_MADDA</t>
        </is>
      </c>
      <c r="KL3" t="inlineStr">
        <is>
          <t xml:space="preserve">ARABIC_BEH</t>
        </is>
      </c>
      <c r="KM3" t="inlineStr">
        <is>
          <t xml:space="preserve">ARABIC_ALEF_MAKSURA</t>
        </is>
      </c>
      <c r="KN3" t="inlineStr">
        <is>
          <t xml:space="preserve">ARABIC_BEH</t>
        </is>
      </c>
      <c r="OO3" t="inlineStr">
        <is>
          <t xml:space="preserve">{</t>
        </is>
      </c>
      <c r="OW3" t="inlineStr">
        <is>
          <t xml:space="preserve">{</t>
        </is>
      </c>
      <c r="PB3" t="inlineStr">
        <is>
          <t xml:space="preserve">ARABIC_LAM_ALEF</t>
        </is>
      </c>
      <c r="PC3" t="inlineStr">
        <is>
          <t xml:space="preserve">ARABIC_LAM_ALEF_MADDA</t>
        </is>
      </c>
      <c r="PF3" t="inlineStr">
        <is>
          <t xml:space="preserve">ARABIC_LAM_ALEF</t>
        </is>
      </c>
      <c r="PG3" t="inlineStr">
        <is>
          <t xml:space="preserve">ARABIC_LAM_ALEF_MADDA</t>
        </is>
      </c>
      <c r="PJ3" t="inlineStr">
        <is>
          <t xml:space="preserve">ARABIC_LAM_ALEF</t>
        </is>
      </c>
      <c r="PK3" t="inlineStr">
        <is>
          <t xml:space="preserve">ARABIC_LAM_ALEF_MADDA</t>
        </is>
      </c>
      <c r="PN3" t="inlineStr">
        <is>
          <t xml:space="preserve">ARABIC_LAM_ALEF</t>
        </is>
      </c>
      <c r="PO3" t="inlineStr">
        <is>
          <t xml:space="preserve">ARABIC_LAM_ALEF_MADDA</t>
        </is>
      </c>
      <c r="PR3" t="inlineStr">
        <is>
          <t xml:space="preserve">ARABIC_LAM_ALEF</t>
        </is>
      </c>
      <c r="PS3" t="inlineStr">
        <is>
          <t xml:space="preserve">ARABIC_LAM_ALEF_MADDA</t>
        </is>
      </c>
      <c r="PV3" t="inlineStr">
        <is>
          <t xml:space="preserve">ARABIC_LAM_ALEF</t>
        </is>
      </c>
      <c r="PW3" t="inlineStr">
        <is>
          <t xml:space="preserve">ARABIC_LAM_ALEF_MADDA</t>
        </is>
      </c>
      <c r="PZ3" t="inlineStr">
        <is>
          <t xml:space="preserve">ARABIC_LAM_ALEF</t>
        </is>
      </c>
      <c r="QA3" t="inlineStr">
        <is>
          <t xml:space="preserve">ARABIC_LAM_ALEF_MADDA</t>
        </is>
      </c>
      <c r="QD3" t="inlineStr">
        <is>
          <t xml:space="preserve">ARABIC_LAM_ALEF</t>
        </is>
      </c>
      <c r="QE3" t="inlineStr">
        <is>
          <t xml:space="preserve">ARABIC_LAM_ALEF_MADDA</t>
        </is>
      </c>
      <c r="QH3" t="inlineStr">
        <is>
          <t xml:space="preserve">ARABIC_LAM_ALEF</t>
        </is>
      </c>
      <c r="QI3" t="inlineStr">
        <is>
          <t xml:space="preserve">ARABIC_LAM_ALEF_MADDA</t>
        </is>
      </c>
      <c r="QL3" t="inlineStr">
        <is>
          <t xml:space="preserve">ARABIC_LAM_ALEF</t>
        </is>
      </c>
      <c r="QM3" t="inlineStr">
        <is>
          <t xml:space="preserve">ARABIC_LAM_ALEF_MADDA</t>
        </is>
      </c>
      <c r="QP3" t="inlineStr">
        <is>
          <t xml:space="preserve">ARABIC_LAM_ALEF</t>
        </is>
      </c>
      <c r="QQ3" t="inlineStr">
        <is>
          <t xml:space="preserve">ARABIC_LAM_ALEF_MADDA</t>
        </is>
      </c>
      <c r="QT3" t="inlineStr">
        <is>
          <t xml:space="preserve">ARABIC_LAM_ALEF</t>
        </is>
      </c>
      <c r="QU3" t="inlineStr">
        <is>
          <t xml:space="preserve">ARABIC_LAM_ALEF_MADDA</t>
        </is>
      </c>
      <c r="QX3" t="inlineStr">
        <is>
          <t xml:space="preserve">ARABIC_LAM_ALEF</t>
        </is>
      </c>
      <c r="QY3" t="inlineStr">
        <is>
          <t xml:space="preserve">ARABIC_LAM_ALEF_MADDA</t>
        </is>
      </c>
      <c r="RB3" t="inlineStr">
        <is>
          <t xml:space="preserve">ARABIC_LAM_ALEF</t>
        </is>
      </c>
      <c r="RC3" t="inlineStr">
        <is>
          <t xml:space="preserve">ARABIC_LAM_ALEF_MADDA</t>
        </is>
      </c>
      <c r="TV3" t="inlineStr">
        <is>
          <t xml:space="preserve">CYRILLIC_SM_I</t>
        </is>
      </c>
      <c r="TW3" t="inlineStr">
        <is>
          <t xml:space="preserve">CYRILLIC_I</t>
        </is>
      </c>
      <c r="TZ3" t="inlineStr">
        <is>
          <t xml:space="preserve">CYRILLIC_SM_I</t>
        </is>
      </c>
      <c r="UA3" t="inlineStr">
        <is>
          <t xml:space="preserve">CYRILLIC_I</t>
        </is>
      </c>
      <c r="VE3" t="inlineStr">
        <is>
          <t xml:space="preserve">I_WITH_ACUTE_SMALL</t>
        </is>
      </c>
      <c r="XB3" t="inlineStr">
        <is>
          <t xml:space="preserve">ARABIC_0630</t>
        </is>
      </c>
      <c r="XD3" t="inlineStr">
        <is>
          <t xml:space="preserve">ARABIC_0630</t>
        </is>
      </c>
      <c r="XE3" t="inlineStr">
        <is>
          <t xml:space="preserve">ARABIC_ALEF_HAMZA_B</t>
        </is>
      </c>
      <c r="XF3" t="inlineStr">
        <is>
          <t xml:space="preserve">UCAS_1455</t>
        </is>
      </c>
      <c r="XG3" t="inlineStr">
        <is>
          <t xml:space="preserve">UCAS_157C</t>
        </is>
      </c>
      <c r="XH3" t="inlineStr">
        <is>
          <t xml:space="preserve">UCAS_1455</t>
        </is>
      </c>
      <c r="XN3" t="inlineStr">
        <is>
          <t xml:space="preserve">CHEROKEE_13A8</t>
        </is>
      </c>
      <c r="XO3" t="inlineStr">
        <is>
          <t xml:space="preserve">CHEROKEE_13F0</t>
        </is>
      </c>
      <c r="XP3" t="inlineStr">
        <is>
          <t xml:space="preserve">CHEROKEE_13A8</t>
        </is>
      </c>
      <c r="XQ3" t="inlineStr">
        <is>
          <t xml:space="preserve">b</t>
        </is>
      </c>
    </row>
    <row r="4" s="116" customFormat="true" ht="15.95" hidden="false" customHeight="true" outlineLevel="0" collapsed="false">
      <c r="A4" s="93" t="s">
        <v>1138</v>
      </c>
      <c r="B4" s="94" t="s">
        <v>1139</v>
      </c>
      <c r="C4" s="94" t="s">
        <v>1140</v>
      </c>
      <c r="D4" s="94"/>
      <c r="E4" s="94"/>
      <c r="F4" s="95"/>
      <c r="G4" s="95"/>
      <c r="H4" s="95"/>
      <c r="I4" s="95"/>
      <c r="J4" s="96"/>
      <c r="K4" s="96"/>
      <c r="L4" s="96"/>
      <c r="M4" s="96"/>
      <c r="N4" s="97"/>
      <c r="O4" s="97"/>
      <c r="P4" s="97"/>
      <c r="Q4" s="97"/>
      <c r="R4" s="98"/>
      <c r="S4" s="98"/>
      <c r="T4" s="98"/>
      <c r="U4" s="98"/>
      <c r="V4" s="99"/>
      <c r="W4" s="99"/>
      <c r="X4" s="99"/>
      <c r="Y4" s="99"/>
      <c r="Z4" s="100"/>
      <c r="AA4" s="100"/>
      <c r="AB4" s="100"/>
      <c r="AC4" s="100"/>
      <c r="AD4" s="101" t="s">
        <v>653</v>
      </c>
      <c r="AE4" s="101"/>
      <c r="AF4" s="101"/>
      <c r="AG4" s="101"/>
      <c r="AH4" t="inlineStr">
        <is>
          <t xml:space="preserve">c</t>
        </is>
      </c>
      <c r="AI4" t="inlineStr">
        <is>
          <t xml:space="preserve">C</t>
        </is>
      </c>
      <c r="AK4" t="inlineStr">
        <is>
          <t xml:space="preserve">HIRAGANA_SO</t>
        </is>
      </c>
      <c r="AL4" s="103" t="s">
        <v>520</v>
      </c>
      <c r="AM4" s="117" t="s">
        <v>619</v>
      </c>
      <c r="AN4" s="103" t="s">
        <v>520</v>
      </c>
      <c r="AO4" s="103"/>
      <c r="AP4" s="104" t="s">
        <v>300</v>
      </c>
      <c r="AQ4" s="118" t="s">
        <v>250</v>
      </c>
      <c r="AR4" s="104"/>
      <c r="AS4" s="118" t="s">
        <v>70</v>
      </c>
      <c r="AT4" s="105" t="s">
        <v>383</v>
      </c>
      <c r="AU4" s="119" t="s">
        <v>339</v>
      </c>
      <c r="AV4" s="105"/>
      <c r="AW4" s="105"/>
      <c r="AX4" s="106" t="s">
        <v>383</v>
      </c>
      <c r="AY4" s="120" t="s">
        <v>339</v>
      </c>
      <c r="AZ4" s="106"/>
      <c r="BA4" s="106"/>
      <c r="BB4" s="107" t="s">
        <v>383</v>
      </c>
      <c r="BC4" s="121" t="s">
        <v>339</v>
      </c>
      <c r="BD4" s="107"/>
      <c r="BE4" s="107"/>
      <c r="BF4" s="108" t="s">
        <v>383</v>
      </c>
      <c r="BG4" s="122" t="s">
        <v>339</v>
      </c>
      <c r="BH4" s="108"/>
      <c r="BI4" s="108"/>
      <c r="BJ4" s="109" t="s">
        <v>392</v>
      </c>
      <c r="BK4" s="123" t="s">
        <v>348</v>
      </c>
      <c r="BL4" s="109"/>
      <c r="BM4" s="109"/>
      <c r="BN4" s="95"/>
      <c r="BO4" s="95"/>
      <c r="BP4" s="95"/>
      <c r="BQ4" t="inlineStr">
        <is>
          <t xml:space="preserve">LATIN_0107</t>
        </is>
      </c>
      <c r="BR4" s="110"/>
      <c r="BS4" s="110"/>
      <c r="BT4" s="110"/>
      <c r="BU4" s="124" t="s">
        <v>62</v>
      </c>
      <c r="BZ4" s="111"/>
      <c r="CA4" s="111"/>
      <c r="CB4" s="125" t="s">
        <v>47</v>
      </c>
      <c r="CC4" s="125"/>
      <c r="CD4" s="95" t="s">
        <v>472</v>
      </c>
      <c r="CE4" s="95"/>
      <c r="CF4" s="95"/>
      <c r="CG4" s="95"/>
      <c r="CH4" s="112"/>
      <c r="CI4" s="112"/>
      <c r="CJ4" s="112"/>
      <c r="CK4" s="112"/>
      <c r="CL4" s="113"/>
      <c r="CM4" s="113"/>
      <c r="CN4" s="113"/>
      <c r="CO4" s="113"/>
      <c r="CP4" s="84"/>
      <c r="CQ4" s="84"/>
      <c r="CR4" s="84"/>
      <c r="CS4" s="84"/>
      <c r="CT4" s="110"/>
      <c r="CU4" s="110"/>
      <c r="CV4" s="110"/>
      <c r="CW4" s="110"/>
      <c r="CX4" s="114"/>
      <c r="CY4" s="114"/>
      <c r="CZ4" s="114"/>
      <c r="DA4" s="126" t="s">
        <v>1141</v>
      </c>
      <c r="DB4" s="115"/>
      <c r="DC4" s="115"/>
      <c r="DD4" s="115"/>
      <c r="DE4" s="127" t="s">
        <v>1141</v>
      </c>
      <c r="DU4" t="inlineStr">
        <is>
          <t xml:space="preserve">LATIN_010D</t>
        </is>
      </c>
      <c r="ED4" t="inlineStr">
        <is>
          <t xml:space="preserve">CYRILLIC_SM_TSE</t>
        </is>
      </c>
      <c r="EE4" t="inlineStr">
        <is>
          <t xml:space="preserve">CYRILLIC_TSE</t>
        </is>
      </c>
      <c r="EH4" t="inlineStr">
        <is>
          <t xml:space="preserve">CYRILLIC_SM_TSE</t>
        </is>
      </c>
      <c r="EI4" t="inlineStr">
        <is>
          <t xml:space="preserve">CYRILLIC_TSE</t>
        </is>
      </c>
      <c r="EL4" t="inlineStr">
        <is>
          <t xml:space="preserve">ARABIC_ZAIN</t>
        </is>
      </c>
      <c r="EM4" t="inlineStr">
        <is>
          <t xml:space="preserve">ARABIC_JEH</t>
        </is>
      </c>
      <c r="EN4" t="inlineStr">
        <is>
          <t xml:space="preserve">ARABIC_ZAIN</t>
        </is>
      </c>
      <c r="EP4" t="inlineStr">
        <is>
          <t xml:space="preserve">DEVANAGARI_092E</t>
        </is>
      </c>
      <c r="EQ4" t="inlineStr">
        <is>
          <t xml:space="preserve">DEVANAGARI_0923</t>
        </is>
      </c>
      <c r="ER4" t="inlineStr">
        <is>
          <t xml:space="preserve">DEVANAGARI_092E</t>
        </is>
      </c>
      <c r="ET4" t="inlineStr">
        <is>
          <t xml:space="preserve">DEVANAGARI_092E</t>
        </is>
      </c>
      <c r="EU4" t="inlineStr">
        <is>
          <t xml:space="preserve">DEVANAGARI_0923</t>
        </is>
      </c>
      <c r="EV4" t="inlineStr">
        <is>
          <t xml:space="preserve">DEVANAGARI_092E</t>
        </is>
      </c>
      <c r="EX4" t="inlineStr">
        <is>
          <t xml:space="preserve">DEVANAGARI_092E</t>
        </is>
      </c>
      <c r="EY4" t="inlineStr">
        <is>
          <t xml:space="preserve">DEVANAGARI_0923</t>
        </is>
      </c>
      <c r="EZ4" t="inlineStr">
        <is>
          <t xml:space="preserve">DEVANAGARI_092E</t>
        </is>
      </c>
      <c r="FB4" t="inlineStr">
        <is>
          <t xml:space="preserve">CYRILLIC_SM_IO</t>
        </is>
      </c>
      <c r="FC4" t="inlineStr">
        <is>
          <t xml:space="preserve">CYRILLIC_IO</t>
        </is>
      </c>
      <c r="FF4" t="inlineStr">
        <is>
          <t xml:space="preserve">ARABIC_YEH_BARREE</t>
        </is>
      </c>
      <c r="FG4" t="inlineStr">
        <is>
          <t xml:space="preserve">ARABIC_YEH_BARREE_HAMZA</t>
        </is>
      </c>
      <c r="FH4" t="inlineStr">
        <is>
          <t xml:space="preserve">ARABIC_YEH_BARREE</t>
        </is>
      </c>
      <c r="GD4" t="inlineStr">
        <is>
          <t xml:space="preserve">THAI_0E41</t>
        </is>
      </c>
      <c r="GE4" t="inlineStr">
        <is>
          <t xml:space="preserve">THAI_0E09</t>
        </is>
      </c>
      <c r="GF4" t="inlineStr">
        <is>
          <t xml:space="preserve">THAI_0E41</t>
        </is>
      </c>
      <c r="GH4" t="inlineStr">
        <is>
          <t xml:space="preserve">BENGALI_09AE</t>
        </is>
      </c>
      <c r="GI4" t="inlineStr">
        <is>
          <t xml:space="preserve">BENGALI_09A3</t>
        </is>
      </c>
      <c r="GJ4" t="inlineStr">
        <is>
          <t xml:space="preserve">BENGALI_09AE</t>
        </is>
      </c>
      <c r="GL4" t="inlineStr">
        <is>
          <t xml:space="preserve">TELUGU_0C2E</t>
        </is>
      </c>
      <c r="GM4" t="inlineStr">
        <is>
          <t xml:space="preserve">TELUGU_0C23</t>
        </is>
      </c>
      <c r="GN4" t="inlineStr">
        <is>
          <t xml:space="preserve">TELUGU_0C2E</t>
        </is>
      </c>
      <c r="GP4" t="inlineStr">
        <is>
          <t xml:space="preserve">TAMIL_0BAE</t>
        </is>
      </c>
      <c r="GQ4" t="inlineStr">
        <is>
          <t xml:space="preserve">TAMIL_0BA3</t>
        </is>
      </c>
      <c r="GR4" t="inlineStr">
        <is>
          <t xml:space="preserve">TAMIL_0BAE</t>
        </is>
      </c>
      <c r="GT4" t="inlineStr">
        <is>
          <t xml:space="preserve">ZHUYIN_310F</t>
        </is>
      </c>
      <c r="GV4" t="inlineStr">
        <is>
          <t xml:space="preserve">ZHUYIN_310F</t>
        </is>
      </c>
      <c r="GX4" t="inlineStr">
        <is>
          <t xml:space="preserve">GEORGIAN_10EA</t>
        </is>
      </c>
      <c r="GY4" t="inlineStr">
        <is>
          <t xml:space="preserve">GEORGIAN_10E9</t>
        </is>
      </c>
      <c r="GZ4" t="inlineStr">
        <is>
          <t xml:space="preserve">GEORGIAN_10EA</t>
        </is>
      </c>
      <c r="HB4" t="inlineStr">
        <is>
          <t xml:space="preserve">ARMENIAN_0579</t>
        </is>
      </c>
      <c r="HC4" t="inlineStr">
        <is>
          <t xml:space="preserve">ARMENIAN_0549</t>
        </is>
      </c>
      <c r="HV4" t="inlineStr">
        <is>
          <t xml:space="preserve">KANGXI_RADICAL_GOLD</t>
        </is>
      </c>
      <c r="HW4" t="inlineStr">
        <is>
          <t xml:space="preserve">c</t>
        </is>
      </c>
      <c r="HX4" t="inlineStr">
        <is>
          <t xml:space="preserve">KANGXI_RADICAL_GOLD</t>
        </is>
      </c>
      <c r="JJ4" t="inlineStr">
        <is>
          <t xml:space="preserve">ARABIC_WAW_HAMZA_A</t>
        </is>
      </c>
      <c r="JK4" t="inlineStr">
        <is>
          <t xml:space="preserve">ARABIC_KASRA</t>
        </is>
      </c>
      <c r="JL4" t="inlineStr">
        <is>
          <t xml:space="preserve">ARABIC_WAW_HAMZA_A</t>
        </is>
      </c>
      <c r="JR4" t="inlineStr">
        <is>
          <t xml:space="preserve">ETHIOPIC_1278</t>
        </is>
      </c>
      <c r="JT4" t="inlineStr">
        <is>
          <t xml:space="preserve">ETHIOPIC_1278</t>
        </is>
      </c>
      <c r="KD4" t="inlineStr">
        <is>
          <t xml:space="preserve">ARABIC_WAW_HAMZA_A</t>
        </is>
      </c>
      <c r="KE4" t="inlineStr">
        <is>
          <t xml:space="preserve">ARABIC_KASRA</t>
        </is>
      </c>
      <c r="KF4" t="inlineStr">
        <is>
          <t xml:space="preserve">ARABIC_WAW_HAMZA_A</t>
        </is>
      </c>
      <c r="KH4" t="inlineStr">
        <is>
          <t xml:space="preserve">ARABIC_WAW_HAMZA_A</t>
        </is>
      </c>
      <c r="KI4" t="inlineStr">
        <is>
          <t xml:space="preserve">ARABIC_KASRA</t>
        </is>
      </c>
      <c r="KJ4" t="inlineStr">
        <is>
          <t xml:space="preserve">ARABIC_WAW_HAMZA_A</t>
        </is>
      </c>
      <c r="KL4" t="inlineStr">
        <is>
          <t xml:space="preserve">ARABIC_JEEM</t>
        </is>
      </c>
      <c r="KM4" t="inlineStr">
        <is>
          <t xml:space="preserve">ARABIC_TCHEH</t>
        </is>
      </c>
      <c r="KN4" t="inlineStr">
        <is>
          <t xml:space="preserve">ARABIC_JEEM</t>
        </is>
      </c>
      <c r="PB4" t="inlineStr">
        <is>
          <t xml:space="preserve">ARABIC_WAW_HAMZA_A</t>
        </is>
      </c>
      <c r="PC4" t="inlineStr">
        <is>
          <t xml:space="preserve">ARABIC_KASRA</t>
        </is>
      </c>
      <c r="PD4" t="inlineStr">
        <is>
          <t xml:space="preserve">ARABIC_WAW_HAMZA_A</t>
        </is>
      </c>
      <c r="PF4" t="inlineStr">
        <is>
          <t xml:space="preserve">ARABIC_WAW_HAMZA_A</t>
        </is>
      </c>
      <c r="PG4" t="inlineStr">
        <is>
          <t xml:space="preserve">ARABIC_KASRA</t>
        </is>
      </c>
      <c r="PH4" t="inlineStr">
        <is>
          <t xml:space="preserve">ARABIC_WAW_HAMZA_A</t>
        </is>
      </c>
      <c r="PJ4" t="inlineStr">
        <is>
          <t xml:space="preserve">ARABIC_WAW_HAMZA_A</t>
        </is>
      </c>
      <c r="PK4" t="inlineStr">
        <is>
          <t xml:space="preserve">ARABIC_KASRA</t>
        </is>
      </c>
      <c r="PL4" t="inlineStr">
        <is>
          <t xml:space="preserve">ARABIC_WAW_HAMZA_A</t>
        </is>
      </c>
      <c r="PN4" t="inlineStr">
        <is>
          <t xml:space="preserve">ARABIC_WAW_HAMZA_A</t>
        </is>
      </c>
      <c r="PO4" t="inlineStr">
        <is>
          <t xml:space="preserve">ARABIC_KASRA</t>
        </is>
      </c>
      <c r="PP4" t="inlineStr">
        <is>
          <t xml:space="preserve">ARABIC_WAW_HAMZA_A</t>
        </is>
      </c>
      <c r="PR4" t="inlineStr">
        <is>
          <t xml:space="preserve">ARABIC_WAW_HAMZA_A</t>
        </is>
      </c>
      <c r="PS4" t="inlineStr">
        <is>
          <t xml:space="preserve">ARABIC_KASRA</t>
        </is>
      </c>
      <c r="PT4" t="inlineStr">
        <is>
          <t xml:space="preserve">ARABIC_WAW_HAMZA_A</t>
        </is>
      </c>
      <c r="PV4" t="inlineStr">
        <is>
          <t xml:space="preserve">ARABIC_WAW_HAMZA_A</t>
        </is>
      </c>
      <c r="PW4" t="inlineStr">
        <is>
          <t xml:space="preserve">ARABIC_KASRA</t>
        </is>
      </c>
      <c r="PX4" t="inlineStr">
        <is>
          <t xml:space="preserve">ARABIC_WAW_HAMZA_A</t>
        </is>
      </c>
      <c r="PZ4" t="inlineStr">
        <is>
          <t xml:space="preserve">ARABIC_WAW_HAMZA_A</t>
        </is>
      </c>
      <c r="QA4" t="inlineStr">
        <is>
          <t xml:space="preserve">ARABIC_KASRA</t>
        </is>
      </c>
      <c r="QB4" t="inlineStr">
        <is>
          <t xml:space="preserve">ARABIC_WAW_HAMZA_A</t>
        </is>
      </c>
      <c r="QD4" t="inlineStr">
        <is>
          <t xml:space="preserve">ARABIC_WAW_HAMZA_A</t>
        </is>
      </c>
      <c r="QE4" t="inlineStr">
        <is>
          <t xml:space="preserve">ARABIC_KASRA</t>
        </is>
      </c>
      <c r="QF4" t="inlineStr">
        <is>
          <t xml:space="preserve">ARABIC_WAW_HAMZA_A</t>
        </is>
      </c>
      <c r="QH4" t="inlineStr">
        <is>
          <t xml:space="preserve">ARABIC_WAW_HAMZA_A</t>
        </is>
      </c>
      <c r="QI4" t="inlineStr">
        <is>
          <t xml:space="preserve">ARABIC_KASRA</t>
        </is>
      </c>
      <c r="QJ4" t="inlineStr">
        <is>
          <t xml:space="preserve">ARABIC_WAW_HAMZA_A</t>
        </is>
      </c>
      <c r="QL4" t="inlineStr">
        <is>
          <t xml:space="preserve">ARABIC_WAW_HAMZA_A</t>
        </is>
      </c>
      <c r="QM4" t="inlineStr">
        <is>
          <t xml:space="preserve">ARABIC_KASRA</t>
        </is>
      </c>
      <c r="QN4" t="inlineStr">
        <is>
          <t xml:space="preserve">ARABIC_WAW_HAMZA_A</t>
        </is>
      </c>
      <c r="QP4" t="inlineStr">
        <is>
          <t xml:space="preserve">ARABIC_WAW_HAMZA_A</t>
        </is>
      </c>
      <c r="QQ4" t="inlineStr">
        <is>
          <t xml:space="preserve">ARABIC_KASRA</t>
        </is>
      </c>
      <c r="QR4" t="inlineStr">
        <is>
          <t xml:space="preserve">ARABIC_WAW_HAMZA_A</t>
        </is>
      </c>
      <c r="QT4" t="inlineStr">
        <is>
          <t xml:space="preserve">ARABIC_WAW_HAMZA_A</t>
        </is>
      </c>
      <c r="QU4" t="inlineStr">
        <is>
          <t xml:space="preserve">ARABIC_KASRA</t>
        </is>
      </c>
      <c r="QV4" t="inlineStr">
        <is>
          <t xml:space="preserve">ARABIC_WAW_HAMZA_A</t>
        </is>
      </c>
      <c r="QX4" t="inlineStr">
        <is>
          <t xml:space="preserve">ARABIC_WAW_HAMZA_A</t>
        </is>
      </c>
      <c r="QY4" t="inlineStr">
        <is>
          <t xml:space="preserve">ARABIC_KASRA</t>
        </is>
      </c>
      <c r="QZ4" t="inlineStr">
        <is>
          <t xml:space="preserve">ARABIC_WAW_HAMZA_A</t>
        </is>
      </c>
      <c r="RB4" t="inlineStr">
        <is>
          <t xml:space="preserve">ARABIC_WAW_HAMZA_A</t>
        </is>
      </c>
      <c r="RC4" t="inlineStr">
        <is>
          <t xml:space="preserve">ARABIC_KASRA</t>
        </is>
      </c>
      <c r="RD4" t="inlineStr">
        <is>
          <t xml:space="preserve">ARABIC_WAW_HAMZA_A</t>
        </is>
      </c>
      <c r="SX4" t="inlineStr">
        <is>
          <t xml:space="preserve">BENGALI_09AE</t>
        </is>
      </c>
      <c r="SY4" t="inlineStr">
        <is>
          <t xml:space="preserve">BENGALI_09A3</t>
        </is>
      </c>
      <c r="SZ4" t="inlineStr">
        <is>
          <t xml:space="preserve">BENGALI_09AE</t>
        </is>
      </c>
      <c r="TA4" t="inlineStr">
        <is>
          <t xml:space="preserve">BENGALI_098F</t>
        </is>
      </c>
      <c r="TV4" t="inlineStr">
        <is>
          <t xml:space="preserve">CYRILLIC_SM_ES</t>
        </is>
      </c>
      <c r="TW4" t="inlineStr">
        <is>
          <t xml:space="preserve">CYRILLIC_ES</t>
        </is>
      </c>
      <c r="TZ4" t="inlineStr">
        <is>
          <t xml:space="preserve">CYRILLIC_SM_ES</t>
        </is>
      </c>
      <c r="UA4" t="inlineStr">
        <is>
          <t xml:space="preserve">CYRILLIC_ES</t>
        </is>
      </c>
      <c r="VE4" t="inlineStr">
        <is>
          <t xml:space="preserve">U"\f\f\f\f" C_WITH_CEDILLA_SMALL</t>
        </is>
      </c>
      <c r="XB4" t="inlineStr">
        <is>
          <t xml:space="preserve">U"\x06" ARABIC_ZAIN</t>
        </is>
      </c>
      <c r="XC4" t="inlineStr">
        <is>
          <t xml:space="preserve">ARABIC_0698</t>
        </is>
      </c>
      <c r="XD4" t="inlineStr">
        <is>
          <t xml:space="preserve">ARABIC_0632</t>
        </is>
      </c>
      <c r="XF4" t="inlineStr">
        <is>
          <t xml:space="preserve">UCAS_1583</t>
        </is>
      </c>
      <c r="XG4" t="inlineStr">
        <is>
          <t xml:space="preserve">UCAS_154B</t>
        </is>
      </c>
      <c r="XH4" t="inlineStr">
        <is>
          <t xml:space="preserve">UCAS_1583</t>
        </is>
      </c>
      <c r="XJ4" t="inlineStr">
        <is>
          <t xml:space="preserve">c</t>
        </is>
      </c>
      <c r="XK4" t="inlineStr">
        <is>
          <t xml:space="preserve">C</t>
        </is>
      </c>
      <c r="XM4" t="inlineStr">
        <is>
          <t xml:space="preserve">UCAS_1490</t>
        </is>
      </c>
      <c r="XN4" t="inlineStr">
        <is>
          <t xml:space="preserve">CHEROKEE_13D3</t>
        </is>
      </c>
      <c r="XO4" t="inlineStr">
        <is>
          <t xml:space="preserve">CHEROKEE_13DF</t>
        </is>
      </c>
      <c r="XP4" t="inlineStr">
        <is>
          <t xml:space="preserve">CHEROKEE_13D3</t>
        </is>
      </c>
      <c r="XQ4" t="inlineStr">
        <is>
          <t xml:space="preserve">c</t>
        </is>
      </c>
    </row>
    <row r="5" s="116" customFormat="true" ht="15.95" hidden="false" customHeight="true" outlineLevel="0" collapsed="false">
      <c r="A5" s="93" t="s">
        <v>1142</v>
      </c>
      <c r="B5" s="94" t="s">
        <v>1143</v>
      </c>
      <c r="C5" s="94" t="s">
        <v>1144</v>
      </c>
      <c r="D5" s="94"/>
      <c r="E5" s="94"/>
      <c r="F5" s="95"/>
      <c r="G5" s="95"/>
      <c r="H5" s="95"/>
      <c r="I5" s="95"/>
      <c r="J5" s="96"/>
      <c r="K5" s="96"/>
      <c r="L5" s="96"/>
      <c r="M5" s="96"/>
      <c r="N5" s="97"/>
      <c r="O5" s="97"/>
      <c r="P5" s="97"/>
      <c r="Q5" s="97"/>
      <c r="R5" s="98"/>
      <c r="S5" s="98"/>
      <c r="T5" s="98"/>
      <c r="U5" s="98"/>
      <c r="V5" s="99"/>
      <c r="W5" s="99"/>
      <c r="X5" s="99"/>
      <c r="Y5" s="99"/>
      <c r="Z5" s="100"/>
      <c r="AA5" s="100"/>
      <c r="AB5" s="100"/>
      <c r="AC5" s="100"/>
      <c r="AD5" s="101" t="s">
        <v>647</v>
      </c>
      <c r="AE5" s="101"/>
      <c r="AF5" s="101"/>
      <c r="AG5" s="101"/>
      <c r="AH5" t="inlineStr">
        <is>
          <t xml:space="preserve">d</t>
        </is>
      </c>
      <c r="AI5" t="inlineStr">
        <is>
          <t xml:space="preserve">D</t>
        </is>
      </c>
      <c r="AK5" t="inlineStr">
        <is>
          <t xml:space="preserve">HIRAGANA_SI</t>
        </is>
      </c>
      <c r="AL5" s="103" t="s">
        <v>607</v>
      </c>
      <c r="AM5" s="103" t="s">
        <v>1145</v>
      </c>
      <c r="AN5" s="103" t="s">
        <v>607</v>
      </c>
      <c r="AO5" s="103"/>
      <c r="AP5" s="104" t="s">
        <v>260</v>
      </c>
      <c r="AQ5" s="104" t="s">
        <v>212</v>
      </c>
      <c r="AR5" s="104"/>
      <c r="AS5" s="104"/>
      <c r="AT5" s="105" t="s">
        <v>362</v>
      </c>
      <c r="AU5" s="105" t="s">
        <v>318</v>
      </c>
      <c r="AV5" s="105"/>
      <c r="AW5" s="105"/>
      <c r="AX5" s="106" t="s">
        <v>362</v>
      </c>
      <c r="AY5" s="106" t="s">
        <v>318</v>
      </c>
      <c r="AZ5" s="106"/>
      <c r="BA5" s="106"/>
      <c r="BB5" s="107" t="s">
        <v>362</v>
      </c>
      <c r="BC5" s="107" t="s">
        <v>318</v>
      </c>
      <c r="BD5" s="107"/>
      <c r="BE5" s="107"/>
      <c r="BF5" s="108" t="s">
        <v>362</v>
      </c>
      <c r="BG5" s="108" t="s">
        <v>318</v>
      </c>
      <c r="BH5" s="108"/>
      <c r="BI5" s="108"/>
      <c r="BJ5" s="109" t="s">
        <v>360</v>
      </c>
      <c r="BK5" s="109" t="s">
        <v>316</v>
      </c>
      <c r="BL5" s="109"/>
      <c r="BM5" s="123" t="s">
        <v>412</v>
      </c>
      <c r="BN5" s="95"/>
      <c r="BO5" s="95"/>
      <c r="BP5" s="95"/>
      <c r="BQ5" s="95" t="s">
        <v>1146</v>
      </c>
      <c r="BR5" s="110"/>
      <c r="BS5" s="110"/>
      <c r="BT5" s="110"/>
      <c r="BU5" s="110" t="s">
        <v>1146</v>
      </c>
      <c r="BZ5" s="111"/>
      <c r="CA5" s="111"/>
      <c r="CB5" s="111"/>
      <c r="CC5" s="111"/>
      <c r="CD5" s="95" t="s">
        <v>473</v>
      </c>
      <c r="CE5" s="95"/>
      <c r="CF5" s="95"/>
      <c r="CG5" s="95"/>
      <c r="CH5" s="112"/>
      <c r="CI5" s="112"/>
      <c r="CJ5" s="112"/>
      <c r="CK5" s="112"/>
      <c r="CL5" s="113"/>
      <c r="CM5" s="113"/>
      <c r="CN5" s="113"/>
      <c r="CO5" s="113"/>
      <c r="CP5" s="84"/>
      <c r="CQ5" s="84"/>
      <c r="CR5" s="84"/>
      <c r="CS5" s="84"/>
      <c r="CT5" s="110"/>
      <c r="CU5" s="110"/>
      <c r="CV5" s="110"/>
      <c r="CW5" s="110"/>
      <c r="CX5" s="114"/>
      <c r="CY5" s="114"/>
      <c r="CZ5" s="114"/>
      <c r="DA5" s="114" t="s">
        <v>1146</v>
      </c>
      <c r="DB5" s="115"/>
      <c r="DC5" s="115"/>
      <c r="DD5" s="115"/>
      <c r="DE5" s="115" t="s">
        <v>1146</v>
      </c>
      <c r="ED5" t="inlineStr">
        <is>
          <t xml:space="preserve">CYRILLIC_SM_DE</t>
        </is>
      </c>
      <c r="EE5" t="inlineStr">
        <is>
          <t xml:space="preserve">CYRILLIC_DE</t>
        </is>
      </c>
      <c r="EH5" t="inlineStr">
        <is>
          <t xml:space="preserve">CYRILLIC_SM_DE</t>
        </is>
      </c>
      <c r="EI5" t="inlineStr">
        <is>
          <t xml:space="preserve">CYRILLIC_DE</t>
        </is>
      </c>
      <c r="EL5" t="inlineStr">
        <is>
          <t xml:space="preserve">ARABIC_FARSI_YEH</t>
        </is>
      </c>
      <c r="EN5" t="inlineStr">
        <is>
          <t xml:space="preserve">ARABIC_FARSI_YEH</t>
        </is>
      </c>
      <c r="EP5" t="inlineStr">
        <is>
          <t xml:space="preserve">DEVA_DC_094D</t>
        </is>
      </c>
      <c r="EQ5" t="inlineStr">
        <is>
          <t xml:space="preserve">DEVANAGARI_0905</t>
        </is>
      </c>
      <c r="ER5" t="inlineStr">
        <is>
          <t xml:space="preserve">DEVA_DC_094D</t>
        </is>
      </c>
      <c r="ET5" t="inlineStr">
        <is>
          <t xml:space="preserve">DEVA_DC_094D</t>
        </is>
      </c>
      <c r="EU5" t="inlineStr">
        <is>
          <t xml:space="preserve">DEVANAGARI_0905</t>
        </is>
      </c>
      <c r="EV5" t="inlineStr">
        <is>
          <t xml:space="preserve">DEVA_DC_094D</t>
        </is>
      </c>
      <c r="EX5" t="inlineStr">
        <is>
          <t xml:space="preserve">DEVA_DC_094D</t>
        </is>
      </c>
      <c r="EY5" t="inlineStr">
        <is>
          <t xml:space="preserve">DEVANAGARI_0905</t>
        </is>
      </c>
      <c r="EZ5" t="inlineStr">
        <is>
          <t xml:space="preserve">DEVA_DC_094D</t>
        </is>
      </c>
      <c r="FB5" t="inlineStr">
        <is>
          <t xml:space="preserve">CYRILLIC_SM_BE</t>
        </is>
      </c>
      <c r="FC5" t="inlineStr">
        <is>
          <t xml:space="preserve">CYRILLIC_BE</t>
        </is>
      </c>
      <c r="FF5" t="inlineStr">
        <is>
          <t xml:space="preserve">ARABIC_REH</t>
        </is>
      </c>
      <c r="FG5" t="inlineStr">
        <is>
          <t xml:space="preserve">ARABIC_RREH</t>
        </is>
      </c>
      <c r="FH5" t="inlineStr">
        <is>
          <t xml:space="preserve">ARABIC_REH</t>
        </is>
      </c>
      <c r="GD5" t="inlineStr">
        <is>
          <t xml:space="preserve">THAI_0E01</t>
        </is>
      </c>
      <c r="GE5" t="inlineStr">
        <is>
          <t xml:space="preserve">THAI_0E0F</t>
        </is>
      </c>
      <c r="GF5" t="inlineStr">
        <is>
          <t xml:space="preserve">THAI_0E01</t>
        </is>
      </c>
      <c r="GH5" t="inlineStr">
        <is>
          <t xml:space="preserve">BENG_DC_09CD</t>
        </is>
      </c>
      <c r="GI5" t="inlineStr">
        <is>
          <t xml:space="preserve">BENGALI_0985</t>
        </is>
      </c>
      <c r="GJ5" t="inlineStr">
        <is>
          <t xml:space="preserve">BENG_DC_09CD</t>
        </is>
      </c>
      <c r="GL5" t="inlineStr">
        <is>
          <t xml:space="preserve">TELU_DC_0C4D</t>
        </is>
      </c>
      <c r="GM5" t="inlineStr">
        <is>
          <t xml:space="preserve">TELUGU_0C05</t>
        </is>
      </c>
      <c r="GN5" t="inlineStr">
        <is>
          <t xml:space="preserve">TELU_DC_0C4D</t>
        </is>
      </c>
      <c r="GP5" t="inlineStr">
        <is>
          <t xml:space="preserve">TAML_DC_0BCD</t>
        </is>
      </c>
      <c r="GQ5" t="inlineStr">
        <is>
          <t xml:space="preserve">TAMIL_0B85</t>
        </is>
      </c>
      <c r="GR5" t="inlineStr">
        <is>
          <t xml:space="preserve">TAML_DC_0BCD</t>
        </is>
      </c>
      <c r="GT5" t="inlineStr">
        <is>
          <t xml:space="preserve">ZHUYIN_310E</t>
        </is>
      </c>
      <c r="GV5" t="inlineStr">
        <is>
          <t xml:space="preserve">ZHUYIN_310E</t>
        </is>
      </c>
      <c r="GX5" t="inlineStr">
        <is>
          <t xml:space="preserve">GEORGIAN_10D3</t>
        </is>
      </c>
      <c r="GZ5" t="inlineStr">
        <is>
          <t xml:space="preserve">GEORGIAN_10D3</t>
        </is>
      </c>
      <c r="HB5" t="inlineStr">
        <is>
          <t xml:space="preserve">ARMENIAN_0563</t>
        </is>
      </c>
      <c r="HC5" t="inlineStr">
        <is>
          <t xml:space="preserve">ARMENIAN_0533</t>
        </is>
      </c>
      <c r="HV5" t="inlineStr">
        <is>
          <t xml:space="preserve">KANGXI_RADICAL_TREE</t>
        </is>
      </c>
      <c r="HW5" t="inlineStr">
        <is>
          <t xml:space="preserve">d</t>
        </is>
      </c>
      <c r="HX5" t="inlineStr">
        <is>
          <t xml:space="preserve">KANGXI_RADICAL_TREE</t>
        </is>
      </c>
      <c r="JJ5" t="inlineStr">
        <is>
          <t xml:space="preserve">ARABIC_YEH</t>
        </is>
      </c>
      <c r="JK5" t="inlineStr">
        <is>
          <t xml:space="preserve">]</t>
        </is>
      </c>
      <c r="JL5" t="inlineStr">
        <is>
          <t xml:space="preserve">ARABIC_YEH</t>
        </is>
      </c>
      <c r="JR5" t="inlineStr">
        <is>
          <t xml:space="preserve">ETHIOPIC_12F0</t>
        </is>
      </c>
      <c r="JS5" t="inlineStr">
        <is>
          <t xml:space="preserve">ETHIOPIC_12F8</t>
        </is>
      </c>
      <c r="JT5" t="inlineStr">
        <is>
          <t xml:space="preserve">ETHIOPIC_12F0</t>
        </is>
      </c>
      <c r="KD5" t="inlineStr">
        <is>
          <t xml:space="preserve">ARABIC_YEH</t>
        </is>
      </c>
      <c r="KE5" t="inlineStr">
        <is>
          <t xml:space="preserve">]</t>
        </is>
      </c>
      <c r="KF5" t="inlineStr">
        <is>
          <t xml:space="preserve">ARABIC_YEH</t>
        </is>
      </c>
      <c r="KH5" t="inlineStr">
        <is>
          <t xml:space="preserve">ARABIC_YEH</t>
        </is>
      </c>
      <c r="KI5" t="inlineStr">
        <is>
          <t xml:space="preserve">]</t>
        </is>
      </c>
      <c r="KJ5" t="inlineStr">
        <is>
          <t xml:space="preserve">ARABIC_YEH</t>
        </is>
      </c>
      <c r="KL5" t="inlineStr">
        <is>
          <t xml:space="preserve">ARABIC_DAL</t>
        </is>
      </c>
      <c r="KM5" t="inlineStr">
        <is>
          <t xml:space="preserve">ARABIC_THAL</t>
        </is>
      </c>
      <c r="KN5" t="inlineStr">
        <is>
          <t xml:space="preserve">ARABIC_DAL</t>
        </is>
      </c>
      <c r="PB5" t="inlineStr">
        <is>
          <t xml:space="preserve">ARABIC_YEH</t>
        </is>
      </c>
      <c r="PC5" t="inlineStr">
        <is>
          <t xml:space="preserve">]</t>
        </is>
      </c>
      <c r="PD5" t="inlineStr">
        <is>
          <t xml:space="preserve">ARABIC_YEH</t>
        </is>
      </c>
      <c r="PF5" t="inlineStr">
        <is>
          <t xml:space="preserve">ARABIC_YEH</t>
        </is>
      </c>
      <c r="PG5" t="inlineStr">
        <is>
          <t xml:space="preserve">]</t>
        </is>
      </c>
      <c r="PH5" t="inlineStr">
        <is>
          <t xml:space="preserve">ARABIC_YEH</t>
        </is>
      </c>
      <c r="PJ5" t="inlineStr">
        <is>
          <t xml:space="preserve">ARABIC_YEH</t>
        </is>
      </c>
      <c r="PK5" t="inlineStr">
        <is>
          <t xml:space="preserve">]</t>
        </is>
      </c>
      <c r="PL5" t="inlineStr">
        <is>
          <t xml:space="preserve">ARABIC_YEH</t>
        </is>
      </c>
      <c r="PN5" t="inlineStr">
        <is>
          <t xml:space="preserve">ARABIC_YEH</t>
        </is>
      </c>
      <c r="PO5" t="inlineStr">
        <is>
          <t xml:space="preserve">]</t>
        </is>
      </c>
      <c r="PP5" t="inlineStr">
        <is>
          <t xml:space="preserve">ARABIC_YEH</t>
        </is>
      </c>
      <c r="PR5" t="inlineStr">
        <is>
          <t xml:space="preserve">ARABIC_YEH</t>
        </is>
      </c>
      <c r="PS5" t="inlineStr">
        <is>
          <t xml:space="preserve">]</t>
        </is>
      </c>
      <c r="PT5" t="inlineStr">
        <is>
          <t xml:space="preserve">ARABIC_YEH</t>
        </is>
      </c>
      <c r="PV5" t="inlineStr">
        <is>
          <t xml:space="preserve">ARABIC_YEH</t>
        </is>
      </c>
      <c r="PW5" t="inlineStr">
        <is>
          <t xml:space="preserve">]</t>
        </is>
      </c>
      <c r="PX5" t="inlineStr">
        <is>
          <t xml:space="preserve">ARABIC_YEH</t>
        </is>
      </c>
      <c r="PZ5" t="inlineStr">
        <is>
          <t xml:space="preserve">ARABIC_YEH</t>
        </is>
      </c>
      <c r="QA5" t="inlineStr">
        <is>
          <t xml:space="preserve">]</t>
        </is>
      </c>
      <c r="QB5" t="inlineStr">
        <is>
          <t xml:space="preserve">ARABIC_YEH</t>
        </is>
      </c>
      <c r="QD5" t="inlineStr">
        <is>
          <t xml:space="preserve">ARABIC_YEH</t>
        </is>
      </c>
      <c r="QE5" t="inlineStr">
        <is>
          <t xml:space="preserve">]</t>
        </is>
      </c>
      <c r="QF5" t="inlineStr">
        <is>
          <t xml:space="preserve">ARABIC_YEH</t>
        </is>
      </c>
      <c r="QH5" t="inlineStr">
        <is>
          <t xml:space="preserve">ARABIC_YEH</t>
        </is>
      </c>
      <c r="QI5" t="inlineStr">
        <is>
          <t xml:space="preserve">]</t>
        </is>
      </c>
      <c r="QJ5" t="inlineStr">
        <is>
          <t xml:space="preserve">ARABIC_YEH</t>
        </is>
      </c>
      <c r="QL5" t="inlineStr">
        <is>
          <t xml:space="preserve">ARABIC_YEH</t>
        </is>
      </c>
      <c r="QM5" t="inlineStr">
        <is>
          <t xml:space="preserve">]</t>
        </is>
      </c>
      <c r="QN5" t="inlineStr">
        <is>
          <t xml:space="preserve">ARABIC_YEH</t>
        </is>
      </c>
      <c r="QP5" t="inlineStr">
        <is>
          <t xml:space="preserve">ARABIC_YEH</t>
        </is>
      </c>
      <c r="QQ5" t="inlineStr">
        <is>
          <t xml:space="preserve">]</t>
        </is>
      </c>
      <c r="QR5" t="inlineStr">
        <is>
          <t xml:space="preserve">ARABIC_YEH</t>
        </is>
      </c>
      <c r="QT5" t="inlineStr">
        <is>
          <t xml:space="preserve">ARABIC_YEH</t>
        </is>
      </c>
      <c r="QU5" t="inlineStr">
        <is>
          <t xml:space="preserve">]</t>
        </is>
      </c>
      <c r="QV5" t="inlineStr">
        <is>
          <t xml:space="preserve">ARABIC_YEH</t>
        </is>
      </c>
      <c r="QX5" t="inlineStr">
        <is>
          <t xml:space="preserve">ARABIC_YEH</t>
        </is>
      </c>
      <c r="QY5" t="inlineStr">
        <is>
          <t xml:space="preserve">]</t>
        </is>
      </c>
      <c r="QZ5" t="inlineStr">
        <is>
          <t xml:space="preserve">ARABIC_YEH</t>
        </is>
      </c>
      <c r="RB5" t="inlineStr">
        <is>
          <t xml:space="preserve">ARABIC_YEH</t>
        </is>
      </c>
      <c r="RC5" t="inlineStr">
        <is>
          <t xml:space="preserve">]</t>
        </is>
      </c>
      <c r="RD5" t="inlineStr">
        <is>
          <t xml:space="preserve">ARABIC_YEH</t>
        </is>
      </c>
      <c r="SX5" t="inlineStr">
        <is>
          <t xml:space="preserve">BENG_DC_09CD</t>
        </is>
      </c>
      <c r="SY5" t="inlineStr">
        <is>
          <t xml:space="preserve">U"\x06\x06" BENGALI_0985</t>
        </is>
      </c>
      <c r="SZ5" t="inlineStr">
        <is>
          <t xml:space="preserve">BENG_DC_09CD</t>
        </is>
      </c>
      <c r="TA5" t="inlineStr">
        <is>
          <t xml:space="preserve">BENGALI_0987</t>
        </is>
      </c>
      <c r="TV5" t="inlineStr">
        <is>
          <t xml:space="preserve">CYRILLIC_SM_VE</t>
        </is>
      </c>
      <c r="TW5" t="inlineStr">
        <is>
          <t xml:space="preserve">CYRILLIC_VE</t>
        </is>
      </c>
      <c r="TZ5" t="inlineStr">
        <is>
          <t xml:space="preserve">CYRILLIC_SM_VE</t>
        </is>
      </c>
      <c r="UA5" t="inlineStr">
        <is>
          <t xml:space="preserve">CYRILLIC_VE</t>
        </is>
      </c>
      <c r="VE5" t="inlineStr">
        <is>
          <t xml:space="preserve">LATIN_00F0</t>
        </is>
      </c>
      <c r="WG5" t="inlineStr">
        <is>
          <t xml:space="preserve">LATIN_00F0</t>
        </is>
      </c>
      <c r="XB5" t="inlineStr">
        <is>
          <t xml:space="preserve">U"\f\f\f" ARABIC_FARSI_YEH</t>
        </is>
      </c>
      <c r="XC5" t="inlineStr">
        <is>
          <t xml:space="preserve">U"\f\f\f" ARABIC_YEH</t>
        </is>
      </c>
      <c r="XD5" t="inlineStr">
        <is>
          <t xml:space="preserve">ARABIC_06CC</t>
        </is>
      </c>
      <c r="XF5" t="inlineStr">
        <is>
          <t xml:space="preserve">UCAS_1581</t>
        </is>
      </c>
      <c r="XG5" t="inlineStr">
        <is>
          <t xml:space="preserve">UCAS_1548</t>
        </is>
      </c>
      <c r="XH5" t="inlineStr">
        <is>
          <t xml:space="preserve">UCAS_1581</t>
        </is>
      </c>
      <c r="XN5" t="inlineStr">
        <is>
          <t xml:space="preserve">CHEROKEE_13D7</t>
        </is>
      </c>
      <c r="XO5" t="inlineStr">
        <is>
          <t xml:space="preserve">CHEROKEE_13D0</t>
        </is>
      </c>
      <c r="XP5" t="inlineStr">
        <is>
          <t xml:space="preserve">CHEROKEE_13D7</t>
        </is>
      </c>
      <c r="XQ5" t="inlineStr">
        <is>
          <t xml:space="preserve">d</t>
        </is>
      </c>
    </row>
    <row r="6" s="116" customFormat="true" ht="15.95" hidden="false" customHeight="true" outlineLevel="0" collapsed="false">
      <c r="A6" s="93" t="s">
        <v>1147</v>
      </c>
      <c r="B6" s="94" t="s">
        <v>1148</v>
      </c>
      <c r="C6" s="94" t="s">
        <v>1149</v>
      </c>
      <c r="D6" s="94"/>
      <c r="E6" s="94"/>
      <c r="F6" s="95"/>
      <c r="G6" s="95"/>
      <c r="H6" s="95"/>
      <c r="I6" s="95" t="s">
        <v>682</v>
      </c>
      <c r="J6" s="96"/>
      <c r="K6" s="96"/>
      <c r="L6" s="96"/>
      <c r="M6" s="96" t="s">
        <v>682</v>
      </c>
      <c r="N6" s="97"/>
      <c r="O6" s="97"/>
      <c r="P6" s="97"/>
      <c r="Q6" s="97" t="s">
        <v>682</v>
      </c>
      <c r="R6" s="98"/>
      <c r="S6" s="98"/>
      <c r="T6" s="98"/>
      <c r="U6" s="98" t="s">
        <v>682</v>
      </c>
      <c r="V6" s="99"/>
      <c r="W6" s="99"/>
      <c r="X6" s="99"/>
      <c r="Y6" s="99" t="s">
        <v>682</v>
      </c>
      <c r="Z6" s="100"/>
      <c r="AA6" s="100"/>
      <c r="AB6" s="100"/>
      <c r="AC6" s="100" t="s">
        <v>682</v>
      </c>
      <c r="AD6" s="101" t="s">
        <v>638</v>
      </c>
      <c r="AE6" s="101" t="s">
        <v>639</v>
      </c>
      <c r="AF6" s="101"/>
      <c r="AG6" s="101"/>
      <c r="AH6" t="inlineStr">
        <is>
          <t xml:space="preserve">e</t>
        </is>
      </c>
      <c r="AI6" t="inlineStr">
        <is>
          <t xml:space="preserve">E</t>
        </is>
      </c>
      <c r="AK6" t="inlineStr">
        <is>
          <t xml:space="preserve">HIRAGANA_I</t>
        </is>
      </c>
      <c r="AL6" s="103" t="s">
        <v>535</v>
      </c>
      <c r="AM6" t="inlineStr">
        <is>
          <t xml:space="preserve">U"\v" ARABIC_DAMMA</t>
        </is>
      </c>
      <c r="AN6" s="103" t="s">
        <v>535</v>
      </c>
      <c r="AO6" s="103"/>
      <c r="AP6" s="104" t="s">
        <v>262</v>
      </c>
      <c r="AQ6" s="118" t="s">
        <v>214</v>
      </c>
      <c r="AR6" s="104"/>
      <c r="AS6" s="104" t="s">
        <v>682</v>
      </c>
      <c r="AT6" s="105" t="s">
        <v>385</v>
      </c>
      <c r="AU6" s="119" t="s">
        <v>341</v>
      </c>
      <c r="AV6" s="105"/>
      <c r="AW6" t="inlineStr">
        <is>
          <t xml:space="preserve">U"\f\f\f\f" CYRILLIC_SM_SHORT_U</t>
        </is>
      </c>
      <c r="AX6" s="106" t="s">
        <v>385</v>
      </c>
      <c r="AY6" s="120" t="s">
        <v>341</v>
      </c>
      <c r="AZ6" s="106"/>
      <c r="BA6" s="106"/>
      <c r="BB6" s="107" t="s">
        <v>385</v>
      </c>
      <c r="BC6" s="121" t="s">
        <v>341</v>
      </c>
      <c r="BD6" s="107"/>
      <c r="BE6" s="107"/>
      <c r="BF6" s="108" t="s">
        <v>385</v>
      </c>
      <c r="BG6" s="122" t="s">
        <v>341</v>
      </c>
      <c r="BH6" s="108"/>
      <c r="BI6" s="108"/>
      <c r="BJ6" s="109" t="s">
        <v>365</v>
      </c>
      <c r="BK6" s="123" t="s">
        <v>321</v>
      </c>
      <c r="BL6" s="109"/>
      <c r="BM6" s="123" t="s">
        <v>413</v>
      </c>
      <c r="BN6" s="95"/>
      <c r="BO6" s="95"/>
      <c r="BP6" s="95"/>
      <c r="BQ6" t="inlineStr">
        <is>
          <t xml:space="preserve">U"\f\f\f" LATIN_0119</t>
        </is>
      </c>
      <c r="BR6" s="110"/>
      <c r="BS6" s="110"/>
      <c r="BT6" s="110"/>
      <c r="BU6" s="110" t="s">
        <v>682</v>
      </c>
      <c r="BZ6" s="111"/>
      <c r="CA6" s="111"/>
      <c r="CB6" s="111" t="s">
        <v>682</v>
      </c>
      <c r="CC6" t="inlineStr">
        <is>
          <t xml:space="preserve">EURO_SIGN</t>
        </is>
      </c>
      <c r="CD6" s="95" t="s">
        <v>494</v>
      </c>
      <c r="CE6" s="95"/>
      <c r="CF6" s="95"/>
      <c r="CG6" s="95" t="s">
        <v>682</v>
      </c>
      <c r="CH6" s="112"/>
      <c r="CI6" s="112"/>
      <c r="CJ6" s="112"/>
      <c r="CK6" s="112" t="s">
        <v>682</v>
      </c>
      <c r="CL6" s="113"/>
      <c r="CM6" s="113"/>
      <c r="CN6" s="113"/>
      <c r="CO6" s="113" t="s">
        <v>682</v>
      </c>
      <c r="CP6" s="84"/>
      <c r="CQ6" s="84"/>
      <c r="CR6" s="84"/>
      <c r="CS6" s="84" t="s">
        <v>682</v>
      </c>
      <c r="CT6" s="110"/>
      <c r="CU6" s="110"/>
      <c r="CV6" s="110"/>
      <c r="CW6" s="110" t="s">
        <v>682</v>
      </c>
      <c r="CX6" s="114"/>
      <c r="CY6" s="114"/>
      <c r="CZ6" s="114"/>
      <c r="DA6" s="114" t="s">
        <v>106</v>
      </c>
      <c r="DB6" s="115"/>
      <c r="DC6" s="115"/>
      <c r="DD6" s="115"/>
      <c r="DE6" s="115" t="s">
        <v>682</v>
      </c>
      <c r="DI6" t="inlineStr">
        <is>
          <t xml:space="preserve">EURO_SIGN</t>
        </is>
      </c>
      <c r="DM6" t="inlineStr">
        <is>
          <t xml:space="preserve">EURO_SIGN</t>
        </is>
      </c>
      <c r="DQ6" t="inlineStr">
        <is>
          <t xml:space="preserve">EURO_SIGN</t>
        </is>
      </c>
      <c r="DU6" t="inlineStr">
        <is>
          <t xml:space="preserve">LATIN_0113</t>
        </is>
      </c>
      <c r="DY6" t="inlineStr">
        <is>
          <t xml:space="preserve">EURO_SIGN</t>
        </is>
      </c>
      <c r="EC6" t="inlineStr">
        <is>
          <t xml:space="preserve">EURO_SIGN</t>
        </is>
      </c>
      <c r="ED6" t="inlineStr">
        <is>
          <t xml:space="preserve">CYRILLIC_SM_IE</t>
        </is>
      </c>
      <c r="EE6" t="inlineStr">
        <is>
          <t xml:space="preserve">CYRILLIC_IE</t>
        </is>
      </c>
      <c r="EH6" t="inlineStr">
        <is>
          <t xml:space="preserve">CYRILLIC_SM_IE</t>
        </is>
      </c>
      <c r="EI6" t="inlineStr">
        <is>
          <t xml:space="preserve">CYRILLIC_IE</t>
        </is>
      </c>
      <c r="EL6" t="inlineStr">
        <is>
          <t xml:space="preserve">ARABIC_THEH</t>
        </is>
      </c>
      <c r="EN6" t="inlineStr">
        <is>
          <t xml:space="preserve">ARABIC_THEH</t>
        </is>
      </c>
      <c r="EP6" t="inlineStr">
        <is>
          <t xml:space="preserve">DEVA_DC_093E</t>
        </is>
      </c>
      <c r="EQ6" t="inlineStr">
        <is>
          <t xml:space="preserve">DEVANAGARI_0906</t>
        </is>
      </c>
      <c r="ER6" t="inlineStr">
        <is>
          <t xml:space="preserve">DEVA_DC_093E</t>
        </is>
      </c>
      <c r="ET6" t="inlineStr">
        <is>
          <t xml:space="preserve">DEVA_DC_093E</t>
        </is>
      </c>
      <c r="EU6" t="inlineStr">
        <is>
          <t xml:space="preserve">DEVANAGARI_0906</t>
        </is>
      </c>
      <c r="EV6" t="inlineStr">
        <is>
          <t xml:space="preserve">DEVA_DC_093E</t>
        </is>
      </c>
      <c r="EX6" t="inlineStr">
        <is>
          <t xml:space="preserve">DEVA_DC_093E</t>
        </is>
      </c>
      <c r="EY6" t="inlineStr">
        <is>
          <t xml:space="preserve">DEVANAGARI_0906</t>
        </is>
      </c>
      <c r="EZ6" t="inlineStr">
        <is>
          <t xml:space="preserve">DEVA_DC_093E</t>
        </is>
      </c>
      <c r="FB6" t="inlineStr">
        <is>
          <t xml:space="preserve">CYRILLIC_SM_U</t>
        </is>
      </c>
      <c r="FC6" t="inlineStr">
        <is>
          <t xml:space="preserve">CYRILLIC_U</t>
        </is>
      </c>
      <c r="FF6" t="inlineStr">
        <is>
          <t xml:space="preserve">ARABIC_HEH_DOACHASHMEE</t>
        </is>
      </c>
      <c r="FG6" t="inlineStr">
        <is>
          <t xml:space="preserve">ARABIC_THAL</t>
        </is>
      </c>
      <c r="FH6" t="inlineStr">
        <is>
          <t xml:space="preserve">ARABIC_HEH_DOACHASHMEE</t>
        </is>
      </c>
      <c r="FR6" t="inlineStr">
        <is>
          <t xml:space="preserve">e</t>
        </is>
      </c>
      <c r="FS6" t="inlineStr">
        <is>
          <t xml:space="preserve">E</t>
        </is>
      </c>
      <c r="FU6" t="inlineStr">
        <is>
          <t xml:space="preserve">EURO_SIGN</t>
        </is>
      </c>
      <c r="FV6" t="inlineStr">
        <is>
          <t xml:space="preserve">e</t>
        </is>
      </c>
      <c r="FW6" t="inlineStr">
        <is>
          <t xml:space="preserve">E</t>
        </is>
      </c>
      <c r="FY6" t="inlineStr">
        <is>
          <t xml:space="preserve">EURO_SIGN</t>
        </is>
      </c>
      <c r="FZ6" t="inlineStr">
        <is>
          <t xml:space="preserve">e</t>
        </is>
      </c>
      <c r="GA6" t="inlineStr">
        <is>
          <t xml:space="preserve">E</t>
        </is>
      </c>
      <c r="GC6" t="inlineStr">
        <is>
          <t xml:space="preserve">EURO_SIGN</t>
        </is>
      </c>
      <c r="GD6" t="inlineStr">
        <is>
          <t xml:space="preserve">THAI_0E33</t>
        </is>
      </c>
      <c r="GE6" t="inlineStr">
        <is>
          <t xml:space="preserve">THAI_0E0E</t>
        </is>
      </c>
      <c r="GF6" t="inlineStr">
        <is>
          <t xml:space="preserve">THAI_0E33</t>
        </is>
      </c>
      <c r="GH6" t="inlineStr">
        <is>
          <t xml:space="preserve">BENG_DC_09BE</t>
        </is>
      </c>
      <c r="GI6" t="inlineStr">
        <is>
          <t xml:space="preserve">BENGALI_0986</t>
        </is>
      </c>
      <c r="GJ6" t="inlineStr">
        <is>
          <t xml:space="preserve">BENG_DC_09BE</t>
        </is>
      </c>
      <c r="GL6" t="inlineStr">
        <is>
          <t xml:space="preserve">TELU_DC_0C3E</t>
        </is>
      </c>
      <c r="GM6" t="inlineStr">
        <is>
          <t xml:space="preserve">TELUGU_0C06</t>
        </is>
      </c>
      <c r="GN6" t="inlineStr">
        <is>
          <t xml:space="preserve">TELU_DC_0C3E</t>
        </is>
      </c>
      <c r="GP6" t="inlineStr">
        <is>
          <t xml:space="preserve">TAML_DC_0BBE</t>
        </is>
      </c>
      <c r="GQ6" t="inlineStr">
        <is>
          <t xml:space="preserve">TAMIL_0B86</t>
        </is>
      </c>
      <c r="GR6" t="inlineStr">
        <is>
          <t xml:space="preserve">TAML_DC_0BBE</t>
        </is>
      </c>
      <c r="GT6" t="inlineStr">
        <is>
          <t xml:space="preserve">ZHUYIN_310D</t>
        </is>
      </c>
      <c r="GV6" t="inlineStr">
        <is>
          <t xml:space="preserve">ZHUYIN_310D</t>
        </is>
      </c>
      <c r="GX6" t="inlineStr">
        <is>
          <t xml:space="preserve">GEORGIAN_10D4</t>
        </is>
      </c>
      <c r="GZ6" t="inlineStr">
        <is>
          <t xml:space="preserve">GEORGIAN_10D4</t>
        </is>
      </c>
      <c r="HA6" t="inlineStr">
        <is>
          <t xml:space="preserve">GEORGIAN_10F1</t>
        </is>
      </c>
      <c r="HB6" t="inlineStr">
        <is>
          <t xml:space="preserve">ARMENIAN_0562</t>
        </is>
      </c>
      <c r="HC6" t="inlineStr">
        <is>
          <t xml:space="preserve">ARMENIAN_0532</t>
        </is>
      </c>
      <c r="HQ6" t="inlineStr">
        <is>
          <t xml:space="preserve">EURO_SIGN</t>
        </is>
      </c>
      <c r="HV6" t="inlineStr">
        <is>
          <t xml:space="preserve">KANGXI_RADICAL_WATER</t>
        </is>
      </c>
      <c r="HW6" t="inlineStr">
        <is>
          <t xml:space="preserve">e</t>
        </is>
      </c>
      <c r="HX6" t="inlineStr">
        <is>
          <t xml:space="preserve">KANGXI_RADICAL_WATER</t>
        </is>
      </c>
      <c r="IK6" t="inlineStr">
        <is>
          <t xml:space="preserve">LATIN_0113</t>
        </is>
      </c>
      <c r="IO6" t="inlineStr">
        <is>
          <t xml:space="preserve">LATIN_0113</t>
        </is>
      </c>
      <c r="IW6" t="inlineStr">
        <is>
          <t xml:space="preserve">LATIN_0153</t>
        </is>
      </c>
      <c r="JA6" t="inlineStr">
        <is>
          <t xml:space="preserve">LATIN_0113</t>
        </is>
      </c>
      <c r="JE6" t="inlineStr">
        <is>
          <t xml:space="preserve">LATIN_00EB</t>
        </is>
      </c>
      <c r="JI6" t="inlineStr">
        <is>
          <t xml:space="preserve">LATIN_00EB</t>
        </is>
      </c>
      <c r="JJ6" t="inlineStr">
        <is>
          <t xml:space="preserve">ARABIC_THEH</t>
        </is>
      </c>
      <c r="JK6" t="inlineStr">
        <is>
          <t xml:space="preserve">U"\v" ARABIC_DAMMA</t>
        </is>
      </c>
      <c r="JL6" t="inlineStr">
        <is>
          <t xml:space="preserve">ARABIC_THEH</t>
        </is>
      </c>
      <c r="JR6" t="inlineStr">
        <is>
          <t xml:space="preserve">ETHIOPIC_12A4</t>
        </is>
      </c>
      <c r="JT6" t="inlineStr">
        <is>
          <t xml:space="preserve">ETHIOPIC_12A4</t>
        </is>
      </c>
      <c r="KD6" t="inlineStr">
        <is>
          <t xml:space="preserve">ARABIC_THEH</t>
        </is>
      </c>
      <c r="KE6" t="inlineStr">
        <is>
          <t xml:space="preserve">U"\v" ARABIC_DAMMA</t>
        </is>
      </c>
      <c r="KF6" t="inlineStr">
        <is>
          <t xml:space="preserve">ARABIC_THEH</t>
        </is>
      </c>
      <c r="KH6" t="inlineStr">
        <is>
          <t xml:space="preserve">ARABIC_THEH</t>
        </is>
      </c>
      <c r="KI6" t="inlineStr">
        <is>
          <t xml:space="preserve">U"\v" ARABIC_DAMMA</t>
        </is>
      </c>
      <c r="KJ6" t="inlineStr">
        <is>
          <t xml:space="preserve">ARABIC_THEH</t>
        </is>
      </c>
      <c r="KL6" t="inlineStr">
        <is>
          <t xml:space="preserve">ARABIC_AE</t>
        </is>
      </c>
      <c r="KM6" t="inlineStr">
        <is>
          <t xml:space="preserve">ARABIC_HEH</t>
        </is>
      </c>
      <c r="KN6" t="inlineStr">
        <is>
          <t xml:space="preserve">ARABIC_AE</t>
        </is>
      </c>
      <c r="LA6" t="inlineStr">
        <is>
          <t xml:space="preserve">EURO_SIGN</t>
        </is>
      </c>
      <c r="LM6" t="inlineStr">
        <is>
          <t xml:space="preserve">EURO_SIGN</t>
        </is>
      </c>
      <c r="NY6" t="inlineStr">
        <is>
          <t xml:space="preserve">EURO_SIGN</t>
        </is>
      </c>
      <c r="NZ6" t="inlineStr">
        <is>
          <t xml:space="preserve">e</t>
        </is>
      </c>
      <c r="OA6" t="inlineStr">
        <is>
          <t xml:space="preserve">E</t>
        </is>
      </c>
      <c r="OC6" t="inlineStr">
        <is>
          <t xml:space="preserve">EURO_SIGN</t>
        </is>
      </c>
      <c r="OG6" t="inlineStr">
        <is>
          <t xml:space="preserve">EURO_SIGN</t>
        </is>
      </c>
      <c r="OH6" t="inlineStr">
        <is>
          <t xml:space="preserve">e</t>
        </is>
      </c>
      <c r="OI6" t="inlineStr">
        <is>
          <t xml:space="preserve">E</t>
        </is>
      </c>
      <c r="OK6" t="inlineStr">
        <is>
          <t xml:space="preserve">E_WITH_ACUTE_SMALL</t>
        </is>
      </c>
      <c r="OO6" t="inlineStr">
        <is>
          <t xml:space="preserve">EURO_SIGN</t>
        </is>
      </c>
      <c r="OP6" t="inlineStr">
        <is>
          <t xml:space="preserve">e</t>
        </is>
      </c>
      <c r="OQ6" t="inlineStr">
        <is>
          <t xml:space="preserve">E</t>
        </is>
      </c>
      <c r="OS6" t="inlineStr">
        <is>
          <t xml:space="preserve">EURO_SIGN</t>
        </is>
      </c>
      <c r="OW6" t="inlineStr">
        <is>
          <t xml:space="preserve">EURO_SIGN</t>
        </is>
      </c>
      <c r="PA6" t="inlineStr">
        <is>
          <t xml:space="preserve">EURO_SIGN</t>
        </is>
      </c>
      <c r="PB6" t="inlineStr">
        <is>
          <t xml:space="preserve">ARABIC_THEH</t>
        </is>
      </c>
      <c r="PC6" t="inlineStr">
        <is>
          <t xml:space="preserve">U"\v" ARABIC_DAMMA</t>
        </is>
      </c>
      <c r="PD6" t="inlineStr">
        <is>
          <t xml:space="preserve">ARABIC_THEH</t>
        </is>
      </c>
      <c r="PF6" t="inlineStr">
        <is>
          <t xml:space="preserve">ARABIC_THEH</t>
        </is>
      </c>
      <c r="PG6" t="inlineStr">
        <is>
          <t xml:space="preserve">U"\v" ARABIC_DAMMA</t>
        </is>
      </c>
      <c r="PH6" t="inlineStr">
        <is>
          <t xml:space="preserve">ARABIC_THEH</t>
        </is>
      </c>
      <c r="PJ6" t="inlineStr">
        <is>
          <t xml:space="preserve">ARABIC_THEH</t>
        </is>
      </c>
      <c r="PK6" t="inlineStr">
        <is>
          <t xml:space="preserve">U"\v" ARABIC_DAMMA</t>
        </is>
      </c>
      <c r="PL6" t="inlineStr">
        <is>
          <t xml:space="preserve">ARABIC_THEH</t>
        </is>
      </c>
      <c r="PN6" t="inlineStr">
        <is>
          <t xml:space="preserve">ARABIC_THEH</t>
        </is>
      </c>
      <c r="PO6" t="inlineStr">
        <is>
          <t xml:space="preserve">U"\v" ARABIC_DAMMA</t>
        </is>
      </c>
      <c r="PP6" t="inlineStr">
        <is>
          <t xml:space="preserve">ARABIC_THEH</t>
        </is>
      </c>
      <c r="PR6" t="inlineStr">
        <is>
          <t xml:space="preserve">ARABIC_THEH</t>
        </is>
      </c>
      <c r="PS6" t="inlineStr">
        <is>
          <t xml:space="preserve">U"\v" ARABIC_DAMMA</t>
        </is>
      </c>
      <c r="PT6" t="inlineStr">
        <is>
          <t xml:space="preserve">ARABIC_THEH</t>
        </is>
      </c>
      <c r="PV6" t="inlineStr">
        <is>
          <t xml:space="preserve">ARABIC_THEH</t>
        </is>
      </c>
      <c r="PW6" t="inlineStr">
        <is>
          <t xml:space="preserve">U"\v" ARABIC_DAMMA</t>
        </is>
      </c>
      <c r="PX6" t="inlineStr">
        <is>
          <t xml:space="preserve">ARABIC_THEH</t>
        </is>
      </c>
      <c r="PZ6" t="inlineStr">
        <is>
          <t xml:space="preserve">ARABIC_THEH</t>
        </is>
      </c>
      <c r="QA6" t="inlineStr">
        <is>
          <t xml:space="preserve">U"\v" ARABIC_DAMMA</t>
        </is>
      </c>
      <c r="QB6" t="inlineStr">
        <is>
          <t xml:space="preserve">ARABIC_THEH</t>
        </is>
      </c>
      <c r="QD6" t="inlineStr">
        <is>
          <t xml:space="preserve">ARABIC_THEH</t>
        </is>
      </c>
      <c r="QE6" t="inlineStr">
        <is>
          <t xml:space="preserve">U"\v" ARABIC_DAMMA</t>
        </is>
      </c>
      <c r="QF6" t="inlineStr">
        <is>
          <t xml:space="preserve">ARABIC_THEH</t>
        </is>
      </c>
      <c r="QH6" t="inlineStr">
        <is>
          <t xml:space="preserve">ARABIC_THEH</t>
        </is>
      </c>
      <c r="QI6" t="inlineStr">
        <is>
          <t xml:space="preserve">U"\v" ARABIC_DAMMA</t>
        </is>
      </c>
      <c r="QJ6" t="inlineStr">
        <is>
          <t xml:space="preserve">ARABIC_THEH</t>
        </is>
      </c>
      <c r="QL6" t="inlineStr">
        <is>
          <t xml:space="preserve">ARABIC_THEH</t>
        </is>
      </c>
      <c r="QM6" t="inlineStr">
        <is>
          <t xml:space="preserve">U"\v" ARABIC_DAMMA</t>
        </is>
      </c>
      <c r="QN6" t="inlineStr">
        <is>
          <t xml:space="preserve">ARABIC_THEH</t>
        </is>
      </c>
      <c r="QP6" t="inlineStr">
        <is>
          <t xml:space="preserve">ARABIC_THEH</t>
        </is>
      </c>
      <c r="QQ6" t="inlineStr">
        <is>
          <t xml:space="preserve">U"\v" ARABIC_DAMMA</t>
        </is>
      </c>
      <c r="QR6" t="inlineStr">
        <is>
          <t xml:space="preserve">ARABIC_THEH</t>
        </is>
      </c>
      <c r="QT6" t="inlineStr">
        <is>
          <t xml:space="preserve">ARABIC_THEH</t>
        </is>
      </c>
      <c r="QU6" t="inlineStr">
        <is>
          <t xml:space="preserve">U"\v" ARABIC_DAMMA</t>
        </is>
      </c>
      <c r="QV6" t="inlineStr">
        <is>
          <t xml:space="preserve">ARABIC_THEH</t>
        </is>
      </c>
      <c r="QX6" t="inlineStr">
        <is>
          <t xml:space="preserve">ARABIC_THEH</t>
        </is>
      </c>
      <c r="QY6" t="inlineStr">
        <is>
          <t xml:space="preserve">U"\v" ARABIC_DAMMA</t>
        </is>
      </c>
      <c r="QZ6" t="inlineStr">
        <is>
          <t xml:space="preserve">ARABIC_THEH</t>
        </is>
      </c>
      <c r="RB6" t="inlineStr">
        <is>
          <t xml:space="preserve">ARABIC_THEH</t>
        </is>
      </c>
      <c r="RC6" t="inlineStr">
        <is>
          <t xml:space="preserve">U"\v" ARABIC_DAMMA</t>
        </is>
      </c>
      <c r="RD6" t="inlineStr">
        <is>
          <t xml:space="preserve">ARABIC_THEH</t>
        </is>
      </c>
      <c r="RI6" t="inlineStr">
        <is>
          <t xml:space="preserve">EURO_SIGN</t>
        </is>
      </c>
      <c r="RM6" t="inlineStr">
        <is>
          <t xml:space="preserve">EURO_SIGN</t>
        </is>
      </c>
      <c r="RQ6" t="inlineStr">
        <is>
          <t xml:space="preserve">EURO_SIGN</t>
        </is>
      </c>
      <c r="RU6" t="inlineStr">
        <is>
          <t xml:space="preserve">EURO_SIGN</t>
        </is>
      </c>
      <c r="RY6" t="inlineStr">
        <is>
          <t xml:space="preserve">EURO_SIGN</t>
        </is>
      </c>
      <c r="SS6" t="inlineStr">
        <is>
          <t xml:space="preserve">EURO_SIGN</t>
        </is>
      </c>
      <c r="SW6" t="inlineStr">
        <is>
          <t xml:space="preserve">EURO_SIGN</t>
        </is>
      </c>
      <c r="SX6" t="inlineStr">
        <is>
          <t xml:space="preserve">BENG_DC_09BE</t>
        </is>
      </c>
      <c r="SY6" t="inlineStr">
        <is>
          <t xml:space="preserve">BENGALI_0986</t>
        </is>
      </c>
      <c r="SZ6" t="inlineStr">
        <is>
          <t xml:space="preserve">BENG_DC_09BE</t>
        </is>
      </c>
      <c r="TM6" t="inlineStr">
        <is>
          <t xml:space="preserve">LATIN_0153</t>
        </is>
      </c>
      <c r="TU6" t="inlineStr">
        <is>
          <t xml:space="preserve">LATIN_00EB</t>
        </is>
      </c>
      <c r="TV6" t="inlineStr">
        <is>
          <t xml:space="preserve">CYRILLIC_SM_U</t>
        </is>
      </c>
      <c r="TW6" t="inlineStr">
        <is>
          <t xml:space="preserve">CYRILLIC_U</t>
        </is>
      </c>
      <c r="TZ6" t="inlineStr">
        <is>
          <t xml:space="preserve">CYRILLIC_SM_U</t>
        </is>
      </c>
      <c r="UA6" t="inlineStr">
        <is>
          <t xml:space="preserve">CYRILLIC_U</t>
        </is>
      </c>
      <c r="UW6" t="inlineStr">
        <is>
          <t xml:space="preserve">EURO_SIGN</t>
        </is>
      </c>
      <c r="VA6" t="inlineStr">
        <is>
          <t xml:space="preserve">LATIN_0113</t>
        </is>
      </c>
      <c r="VE6" t="inlineStr">
        <is>
          <t xml:space="preserve">EURO_SIGN</t>
        </is>
      </c>
      <c r="VI6" t="inlineStr">
        <is>
          <t xml:space="preserve">EURO_SIGN</t>
        </is>
      </c>
      <c r="VJ6" t="inlineStr">
        <is>
          <t xml:space="preserve">e</t>
        </is>
      </c>
      <c r="VK6" t="inlineStr">
        <is>
          <t xml:space="preserve">E</t>
        </is>
      </c>
      <c r="VM6" t="inlineStr">
        <is>
          <t xml:space="preserve">EURO_SIGN</t>
        </is>
      </c>
      <c r="VR6" t="inlineStr">
        <is>
          <t xml:space="preserve">e</t>
        </is>
      </c>
      <c r="VS6" t="inlineStr">
        <is>
          <t xml:space="preserve">E</t>
        </is>
      </c>
      <c r="VU6" t="inlineStr">
        <is>
          <t xml:space="preserve">E_WITH_ACUTE_SMALL</t>
        </is>
      </c>
      <c r="VV6" t="inlineStr">
        <is>
          <t xml:space="preserve">e</t>
        </is>
      </c>
      <c r="VW6" t="inlineStr">
        <is>
          <t xml:space="preserve">E</t>
        </is>
      </c>
      <c r="VY6" t="inlineStr">
        <is>
          <t xml:space="preserve">E_WITH_GRAVE_SMALL</t>
        </is>
      </c>
      <c r="VZ6" t="inlineStr">
        <is>
          <t xml:space="preserve">e</t>
        </is>
      </c>
      <c r="WA6" t="inlineStr">
        <is>
          <t xml:space="preserve">E</t>
        </is>
      </c>
      <c r="WC6" t="inlineStr">
        <is>
          <t xml:space="preserve">EURO_SIGN</t>
        </is>
      </c>
      <c r="WH6" t="inlineStr">
        <is>
          <t xml:space="preserve">e</t>
        </is>
      </c>
      <c r="WI6" t="inlineStr">
        <is>
          <t xml:space="preserve">E</t>
        </is>
      </c>
      <c r="WK6" t="inlineStr">
        <is>
          <t xml:space="preserve">LATIN_1EBD</t>
        </is>
      </c>
      <c r="WT6" t="inlineStr">
        <is>
          <t xml:space="preserve">e</t>
        </is>
      </c>
      <c r="WU6" t="inlineStr">
        <is>
          <t xml:space="preserve">E</t>
        </is>
      </c>
      <c r="WW6" t="inlineStr">
        <is>
          <t xml:space="preserve">LATIN_0119</t>
        </is>
      </c>
      <c r="XB6" t="inlineStr">
        <is>
          <t xml:space="preserve">ARABIC_062B</t>
        </is>
      </c>
      <c r="XD6" t="inlineStr">
        <is>
          <t xml:space="preserve">ARABIC_062B</t>
        </is>
      </c>
      <c r="XE6" t="inlineStr">
        <is>
          <t xml:space="preserve">EURO_SIGN</t>
        </is>
      </c>
      <c r="XF6" t="inlineStr">
        <is>
          <t xml:space="preserve">UCAS_157F</t>
        </is>
      </c>
      <c r="XG6" t="inlineStr">
        <is>
          <t xml:space="preserve">UCAS_1546</t>
        </is>
      </c>
      <c r="XH6" t="inlineStr">
        <is>
          <t xml:space="preserve">UCAS_157F</t>
        </is>
      </c>
      <c r="XJ6" t="inlineStr">
        <is>
          <t xml:space="preserve">e</t>
        </is>
      </c>
      <c r="XK6" t="inlineStr">
        <is>
          <t xml:space="preserve">E</t>
        </is>
      </c>
      <c r="XM6" t="inlineStr">
        <is>
          <t xml:space="preserve">UCAS_1401</t>
        </is>
      </c>
      <c r="XN6" t="inlineStr">
        <is>
          <t xml:space="preserve">CHEROKEE_13A1</t>
        </is>
      </c>
      <c r="XO6" t="inlineStr">
        <is>
          <t xml:space="preserve">CHEROKEE_13E3</t>
        </is>
      </c>
      <c r="XP6" t="inlineStr">
        <is>
          <t xml:space="preserve">CHEROKEE_13A1</t>
        </is>
      </c>
      <c r="XQ6" t="inlineStr">
        <is>
          <t xml:space="preserve">e</t>
        </is>
      </c>
    </row>
    <row r="7" s="116" customFormat="true" ht="15.95" hidden="false" customHeight="true" outlineLevel="0" collapsed="false">
      <c r="A7" s="93" t="s">
        <v>1151</v>
      </c>
      <c r="B7" s="94" t="s">
        <v>1152</v>
      </c>
      <c r="C7" s="94" t="s">
        <v>1153</v>
      </c>
      <c r="D7" s="94"/>
      <c r="E7" s="94"/>
      <c r="F7" s="95"/>
      <c r="G7" s="95"/>
      <c r="H7" s="95"/>
      <c r="I7" s="95"/>
      <c r="J7" s="96"/>
      <c r="K7" s="96"/>
      <c r="L7" s="96"/>
      <c r="M7" s="96"/>
      <c r="N7" s="97"/>
      <c r="O7" s="97"/>
      <c r="P7" s="97"/>
      <c r="Q7" s="97"/>
      <c r="R7" s="98"/>
      <c r="S7" s="98"/>
      <c r="T7" s="98"/>
      <c r="U7" s="98"/>
      <c r="V7" s="99"/>
      <c r="W7" s="99"/>
      <c r="X7" s="99"/>
      <c r="Y7" s="99"/>
      <c r="Z7" s="100"/>
      <c r="AA7" s="100"/>
      <c r="AB7" s="100"/>
      <c r="AC7" s="100"/>
      <c r="AD7" s="101" t="s">
        <v>640</v>
      </c>
      <c r="AE7" s="101"/>
      <c r="AF7" s="101"/>
      <c r="AG7" s="101"/>
      <c r="AH7" t="inlineStr">
        <is>
          <t xml:space="preserve">f</t>
        </is>
      </c>
      <c r="AI7" t="inlineStr">
        <is>
          <t xml:space="preserve">F</t>
        </is>
      </c>
      <c r="AK7" t="inlineStr">
        <is>
          <t xml:space="preserve">HIRAGANA_HA</t>
        </is>
      </c>
      <c r="AL7" s="103" t="s">
        <v>528</v>
      </c>
      <c r="AM7" s="103" t="s">
        <v>1154</v>
      </c>
      <c r="AN7" s="103" t="s">
        <v>528</v>
      </c>
      <c r="AO7" t="inlineStr">
        <is>
          <t xml:space="preserve">ARABIC_PEH</t>
        </is>
      </c>
      <c r="AP7" s="104" t="s">
        <v>296</v>
      </c>
      <c r="AQ7" s="104" t="s">
        <v>246</v>
      </c>
      <c r="AR7" s="104"/>
      <c r="AS7" s="104"/>
      <c r="AT7" s="105" t="s">
        <v>360</v>
      </c>
      <c r="AU7" s="105" t="s">
        <v>316</v>
      </c>
      <c r="AV7" s="105"/>
      <c r="AW7" s="105"/>
      <c r="AX7" s="106" t="s">
        <v>360</v>
      </c>
      <c r="AY7" s="106" t="s">
        <v>316</v>
      </c>
      <c r="AZ7" s="106"/>
      <c r="BA7" s="106"/>
      <c r="BB7" s="107" t="s">
        <v>360</v>
      </c>
      <c r="BC7" s="107" t="s">
        <v>316</v>
      </c>
      <c r="BD7" s="107"/>
      <c r="BE7" s="107"/>
      <c r="BF7" s="108" t="s">
        <v>360</v>
      </c>
      <c r="BG7" s="108" t="s">
        <v>316</v>
      </c>
      <c r="BH7" s="108"/>
      <c r="BI7" s="108"/>
      <c r="BJ7" s="109" t="s">
        <v>378</v>
      </c>
      <c r="BK7" s="109" t="s">
        <v>334</v>
      </c>
      <c r="BL7" s="109"/>
      <c r="BM7" s="109"/>
      <c r="BN7" s="95"/>
      <c r="BO7" s="95"/>
      <c r="BP7" s="95"/>
      <c r="BQ7" s="95"/>
      <c r="BR7" s="110"/>
      <c r="BS7" s="110"/>
      <c r="BT7" s="110"/>
      <c r="BU7" s="110"/>
      <c r="BZ7" s="111"/>
      <c r="CA7" s="111"/>
      <c r="CB7" s="111"/>
      <c r="CC7" s="111"/>
      <c r="CD7" s="95" t="s">
        <v>482</v>
      </c>
      <c r="CE7" s="95"/>
      <c r="CF7" s="95"/>
      <c r="CG7" s="95"/>
      <c r="CH7" s="112"/>
      <c r="CI7" s="112"/>
      <c r="CJ7" s="112"/>
      <c r="CK7" s="112"/>
      <c r="CL7" s="113"/>
      <c r="CM7" s="113"/>
      <c r="CN7" s="113"/>
      <c r="CO7" s="113"/>
      <c r="CP7" s="84"/>
      <c r="CQ7" s="84"/>
      <c r="CR7" s="84"/>
      <c r="CS7" s="84"/>
      <c r="CT7" s="110"/>
      <c r="CU7" s="110"/>
      <c r="CV7" s="110"/>
      <c r="CW7" s="110"/>
      <c r="CX7" s="114"/>
      <c r="CY7" s="114"/>
      <c r="CZ7" s="114"/>
      <c r="DA7" s="114" t="s">
        <v>1154</v>
      </c>
      <c r="DB7" s="115"/>
      <c r="DC7" s="115"/>
      <c r="DD7" s="115"/>
      <c r="DE7" s="115" t="s">
        <v>1154</v>
      </c>
      <c r="DI7" t="inlineStr">
        <is>
          <t xml:space="preserve">[</t>
        </is>
      </c>
      <c r="ED7" t="inlineStr">
        <is>
          <t xml:space="preserve">CYRILLIC_SM_EF</t>
        </is>
      </c>
      <c r="EE7" t="inlineStr">
        <is>
          <t xml:space="preserve">CYRILLIC_EF</t>
        </is>
      </c>
      <c r="EH7" t="inlineStr">
        <is>
          <t xml:space="preserve">CYRILLIC_SM_EF</t>
        </is>
      </c>
      <c r="EI7" t="inlineStr">
        <is>
          <t xml:space="preserve">CYRILLIC_EF</t>
        </is>
      </c>
      <c r="EL7" t="inlineStr">
        <is>
          <t xml:space="preserve">ARABIC_BEH</t>
        </is>
      </c>
      <c r="EN7" t="inlineStr">
        <is>
          <t xml:space="preserve">ARABIC_BEH</t>
        </is>
      </c>
      <c r="EP7" t="inlineStr">
        <is>
          <t xml:space="preserve">DEVA_DC_093F</t>
        </is>
      </c>
      <c r="EQ7" t="inlineStr">
        <is>
          <t xml:space="preserve">DEVANAGARI_0907</t>
        </is>
      </c>
      <c r="ER7" t="inlineStr">
        <is>
          <t xml:space="preserve">DEVA_DC_093F</t>
        </is>
      </c>
      <c r="ET7" t="inlineStr">
        <is>
          <t xml:space="preserve">DEVA_DC_093F</t>
        </is>
      </c>
      <c r="EU7" t="inlineStr">
        <is>
          <t xml:space="preserve">DEVANAGARI_0907</t>
        </is>
      </c>
      <c r="EV7" t="inlineStr">
        <is>
          <t xml:space="preserve">DEVA_DC_093F</t>
        </is>
      </c>
      <c r="EX7" t="inlineStr">
        <is>
          <t xml:space="preserve">DEVA_DC_093F</t>
        </is>
      </c>
      <c r="EY7" t="inlineStr">
        <is>
          <t xml:space="preserve">DEVANAGARI_0907</t>
        </is>
      </c>
      <c r="EZ7" t="inlineStr">
        <is>
          <t xml:space="preserve">DEVA_DC_093F</t>
        </is>
      </c>
      <c r="FB7" t="inlineStr">
        <is>
          <t xml:space="preserve">CYRILLIC_SM_BARRED_O</t>
        </is>
      </c>
      <c r="FC7" t="inlineStr">
        <is>
          <t xml:space="preserve">CYRILLIC_BARRED_O</t>
        </is>
      </c>
      <c r="FF7" t="inlineStr">
        <is>
          <t xml:space="preserve">ARABIC_NOON</t>
        </is>
      </c>
      <c r="FG7" t="inlineStr">
        <is>
          <t xml:space="preserve">ARABIC_NOON_GHUNNA</t>
        </is>
      </c>
      <c r="FH7" t="inlineStr">
        <is>
          <t xml:space="preserve">ARABIC_NOON</t>
        </is>
      </c>
      <c r="GD7" t="inlineStr">
        <is>
          <t xml:space="preserve">THAI_0E14</t>
        </is>
      </c>
      <c r="GE7" t="inlineStr">
        <is>
          <t xml:space="preserve">THAI_0E42</t>
        </is>
      </c>
      <c r="GF7" t="inlineStr">
        <is>
          <t xml:space="preserve">THAI_0E14</t>
        </is>
      </c>
      <c r="GH7" t="inlineStr">
        <is>
          <t xml:space="preserve">BENG_DC_09BF</t>
        </is>
      </c>
      <c r="GI7" t="inlineStr">
        <is>
          <t xml:space="preserve">BENGALI_0987</t>
        </is>
      </c>
      <c r="GJ7" t="inlineStr">
        <is>
          <t xml:space="preserve">BENG_DC_09BF</t>
        </is>
      </c>
      <c r="GL7" t="inlineStr">
        <is>
          <t xml:space="preserve">TELU_DC_0C3F</t>
        </is>
      </c>
      <c r="GM7" t="inlineStr">
        <is>
          <t xml:space="preserve">TELUGU_0C07</t>
        </is>
      </c>
      <c r="GN7" t="inlineStr">
        <is>
          <t xml:space="preserve">TELU_DC_0C3F</t>
        </is>
      </c>
      <c r="GP7" t="inlineStr">
        <is>
          <t xml:space="preserve">TAML_DC_0BBF</t>
        </is>
      </c>
      <c r="GQ7" t="inlineStr">
        <is>
          <t xml:space="preserve">TAMIL_0B87</t>
        </is>
      </c>
      <c r="GR7" t="inlineStr">
        <is>
          <t xml:space="preserve">TAML_DC_0BBF</t>
        </is>
      </c>
      <c r="GT7" t="inlineStr">
        <is>
          <t xml:space="preserve">ZHUYIN_3111</t>
        </is>
      </c>
      <c r="GV7" t="inlineStr">
        <is>
          <t xml:space="preserve">ZHUYIN_3111</t>
        </is>
      </c>
      <c r="GX7" t="inlineStr">
        <is>
          <t xml:space="preserve">GEORGIAN_10E4</t>
        </is>
      </c>
      <c r="GZ7" t="inlineStr">
        <is>
          <t xml:space="preserve">GEORGIAN_10E4</t>
        </is>
      </c>
      <c r="HA7" t="inlineStr">
        <is>
          <t xml:space="preserve">U"\f\f" GEORGIAN_10F6</t>
        </is>
      </c>
      <c r="HB7" t="inlineStr">
        <is>
          <t xml:space="preserve">ARMENIAN_0565</t>
        </is>
      </c>
      <c r="HC7" t="inlineStr">
        <is>
          <t xml:space="preserve">ARMENIAN_0535</t>
        </is>
      </c>
      <c r="HV7" t="inlineStr">
        <is>
          <t xml:space="preserve">KANGXI_RADICAL_FIRE</t>
        </is>
      </c>
      <c r="HW7" t="inlineStr">
        <is>
          <t xml:space="preserve">f</t>
        </is>
      </c>
      <c r="HX7" t="inlineStr">
        <is>
          <t xml:space="preserve">KANGXI_RADICAL_FIRE</t>
        </is>
      </c>
      <c r="JJ7" t="inlineStr">
        <is>
          <t xml:space="preserve">ARABIC_BEH</t>
        </is>
      </c>
      <c r="JK7" t="inlineStr">
        <is>
          <t xml:space="preserve">[</t>
        </is>
      </c>
      <c r="JL7" t="inlineStr">
        <is>
          <t xml:space="preserve">ARABIC_BEH</t>
        </is>
      </c>
      <c r="JM7" t="inlineStr">
        <is>
          <t xml:space="preserve">ARABIC_PEH</t>
        </is>
      </c>
      <c r="JR7" t="inlineStr">
        <is>
          <t xml:space="preserve">ETHIOPIC_1348</t>
        </is>
      </c>
      <c r="JT7" t="inlineStr">
        <is>
          <t xml:space="preserve">ETHIOPIC_1348</t>
        </is>
      </c>
      <c r="KD7" t="inlineStr">
        <is>
          <t xml:space="preserve">ARABIC_BEH</t>
        </is>
      </c>
      <c r="KE7" t="inlineStr">
        <is>
          <t xml:space="preserve">[</t>
        </is>
      </c>
      <c r="KF7" t="inlineStr">
        <is>
          <t xml:space="preserve">ARABIC_BEH</t>
        </is>
      </c>
      <c r="KG7" t="inlineStr">
        <is>
          <t xml:space="preserve">ARABIC_PEH</t>
        </is>
      </c>
      <c r="KH7" t="inlineStr">
        <is>
          <t xml:space="preserve">ARABIC_BEH</t>
        </is>
      </c>
      <c r="KI7" t="inlineStr">
        <is>
          <t xml:space="preserve">[</t>
        </is>
      </c>
      <c r="KJ7" t="inlineStr">
        <is>
          <t xml:space="preserve">ARABIC_BEH</t>
        </is>
      </c>
      <c r="KK7" t="inlineStr">
        <is>
          <t xml:space="preserve">ARABIC_PEH</t>
        </is>
      </c>
      <c r="KL7" t="inlineStr">
        <is>
          <t xml:space="preserve">ARABIC_FEH</t>
        </is>
      </c>
      <c r="KM7" t="inlineStr">
        <is>
          <t xml:space="preserve">ARABIC_ALEF_HAMZA_B</t>
        </is>
      </c>
      <c r="KN7" t="inlineStr">
        <is>
          <t xml:space="preserve">ARABIC_FEH</t>
        </is>
      </c>
      <c r="OO7" t="inlineStr">
        <is>
          <t xml:space="preserve">[</t>
        </is>
      </c>
      <c r="OW7" t="inlineStr">
        <is>
          <t xml:space="preserve">[</t>
        </is>
      </c>
      <c r="PB7" t="inlineStr">
        <is>
          <t xml:space="preserve">ARABIC_BEH</t>
        </is>
      </c>
      <c r="PC7" t="inlineStr">
        <is>
          <t xml:space="preserve">[</t>
        </is>
      </c>
      <c r="PD7" t="inlineStr">
        <is>
          <t xml:space="preserve">ARABIC_BEH</t>
        </is>
      </c>
      <c r="PE7" t="inlineStr">
        <is>
          <t xml:space="preserve">U"\x05\x05" ARABIC_PEH</t>
        </is>
      </c>
      <c r="PF7" t="inlineStr">
        <is>
          <t xml:space="preserve">ARABIC_BEH</t>
        </is>
      </c>
      <c r="PG7" t="inlineStr">
        <is>
          <t xml:space="preserve">[</t>
        </is>
      </c>
      <c r="PH7" t="inlineStr">
        <is>
          <t xml:space="preserve">ARABIC_BEH</t>
        </is>
      </c>
      <c r="PI7" t="inlineStr">
        <is>
          <t xml:space="preserve">ARABIC_PEH</t>
        </is>
      </c>
      <c r="PJ7" t="inlineStr">
        <is>
          <t xml:space="preserve">ARABIC_BEH</t>
        </is>
      </c>
      <c r="PK7" t="inlineStr">
        <is>
          <t xml:space="preserve">[</t>
        </is>
      </c>
      <c r="PL7" t="inlineStr">
        <is>
          <t xml:space="preserve">ARABIC_BEH</t>
        </is>
      </c>
      <c r="PM7" t="inlineStr">
        <is>
          <t xml:space="preserve">ARABIC_PEH</t>
        </is>
      </c>
      <c r="PN7" t="inlineStr">
        <is>
          <t xml:space="preserve">ARABIC_BEH</t>
        </is>
      </c>
      <c r="PO7" t="inlineStr">
        <is>
          <t xml:space="preserve">[</t>
        </is>
      </c>
      <c r="PP7" t="inlineStr">
        <is>
          <t xml:space="preserve">ARABIC_BEH</t>
        </is>
      </c>
      <c r="PQ7" t="inlineStr">
        <is>
          <t xml:space="preserve">ARABIC_PEH</t>
        </is>
      </c>
      <c r="PR7" t="inlineStr">
        <is>
          <t xml:space="preserve">ARABIC_BEH</t>
        </is>
      </c>
      <c r="PS7" t="inlineStr">
        <is>
          <t xml:space="preserve">[</t>
        </is>
      </c>
      <c r="PT7" t="inlineStr">
        <is>
          <t xml:space="preserve">ARABIC_BEH</t>
        </is>
      </c>
      <c r="PU7" t="inlineStr">
        <is>
          <t xml:space="preserve">ARABIC_PEH</t>
        </is>
      </c>
      <c r="PV7" t="inlineStr">
        <is>
          <t xml:space="preserve">ARABIC_BEH</t>
        </is>
      </c>
      <c r="PW7" t="inlineStr">
        <is>
          <t xml:space="preserve">[</t>
        </is>
      </c>
      <c r="PX7" t="inlineStr">
        <is>
          <t xml:space="preserve">ARABIC_BEH</t>
        </is>
      </c>
      <c r="PY7" t="inlineStr">
        <is>
          <t xml:space="preserve">ARABIC_PEH</t>
        </is>
      </c>
      <c r="PZ7" t="inlineStr">
        <is>
          <t xml:space="preserve">ARABIC_BEH</t>
        </is>
      </c>
      <c r="QA7" t="inlineStr">
        <is>
          <t xml:space="preserve">[</t>
        </is>
      </c>
      <c r="QB7" t="inlineStr">
        <is>
          <t xml:space="preserve">ARABIC_BEH</t>
        </is>
      </c>
      <c r="QC7" t="inlineStr">
        <is>
          <t xml:space="preserve">ARABIC_PEH</t>
        </is>
      </c>
      <c r="QD7" t="inlineStr">
        <is>
          <t xml:space="preserve">ARABIC_BEH</t>
        </is>
      </c>
      <c r="QE7" t="inlineStr">
        <is>
          <t xml:space="preserve">[</t>
        </is>
      </c>
      <c r="QF7" t="inlineStr">
        <is>
          <t xml:space="preserve">ARABIC_BEH</t>
        </is>
      </c>
      <c r="QG7" t="inlineStr">
        <is>
          <t xml:space="preserve">ARABIC_PEH</t>
        </is>
      </c>
      <c r="QH7" t="inlineStr">
        <is>
          <t xml:space="preserve">ARABIC_BEH</t>
        </is>
      </c>
      <c r="QI7" t="inlineStr">
        <is>
          <t xml:space="preserve">[</t>
        </is>
      </c>
      <c r="QJ7" t="inlineStr">
        <is>
          <t xml:space="preserve">ARABIC_BEH</t>
        </is>
      </c>
      <c r="QK7" t="inlineStr">
        <is>
          <t xml:space="preserve">ARABIC_PEH</t>
        </is>
      </c>
      <c r="QL7" t="inlineStr">
        <is>
          <t xml:space="preserve">ARABIC_BEH</t>
        </is>
      </c>
      <c r="QM7" t="inlineStr">
        <is>
          <t xml:space="preserve">[</t>
        </is>
      </c>
      <c r="QN7" t="inlineStr">
        <is>
          <t xml:space="preserve">ARABIC_BEH</t>
        </is>
      </c>
      <c r="QO7" t="inlineStr">
        <is>
          <t xml:space="preserve">ARABIC_PEH</t>
        </is>
      </c>
      <c r="QP7" t="inlineStr">
        <is>
          <t xml:space="preserve">ARABIC_BEH</t>
        </is>
      </c>
      <c r="QQ7" t="inlineStr">
        <is>
          <t xml:space="preserve">[</t>
        </is>
      </c>
      <c r="QR7" t="inlineStr">
        <is>
          <t xml:space="preserve">ARABIC_BEH</t>
        </is>
      </c>
      <c r="QS7" t="inlineStr">
        <is>
          <t xml:space="preserve">ARABIC_PEH</t>
        </is>
      </c>
      <c r="QT7" t="inlineStr">
        <is>
          <t xml:space="preserve">ARABIC_BEH</t>
        </is>
      </c>
      <c r="QU7" t="inlineStr">
        <is>
          <t xml:space="preserve">[</t>
        </is>
      </c>
      <c r="QV7" t="inlineStr">
        <is>
          <t xml:space="preserve">ARABIC_BEH</t>
        </is>
      </c>
      <c r="QW7" t="inlineStr">
        <is>
          <t xml:space="preserve">ARABIC_PEH</t>
        </is>
      </c>
      <c r="QX7" t="inlineStr">
        <is>
          <t xml:space="preserve">ARABIC_BEH</t>
        </is>
      </c>
      <c r="QY7" t="inlineStr">
        <is>
          <t xml:space="preserve">[</t>
        </is>
      </c>
      <c r="QZ7" t="inlineStr">
        <is>
          <t xml:space="preserve">ARABIC_BEH</t>
        </is>
      </c>
      <c r="RA7" t="inlineStr">
        <is>
          <t xml:space="preserve">ARABIC_PEH</t>
        </is>
      </c>
      <c r="RB7" t="inlineStr">
        <is>
          <t xml:space="preserve">ARABIC_BEH</t>
        </is>
      </c>
      <c r="RC7" t="inlineStr">
        <is>
          <t xml:space="preserve">[</t>
        </is>
      </c>
      <c r="RD7" t="inlineStr">
        <is>
          <t xml:space="preserve">ARABIC_BEH</t>
        </is>
      </c>
      <c r="RE7" t="inlineStr">
        <is>
          <t xml:space="preserve">ARABIC_PEH</t>
        </is>
      </c>
      <c r="SX7" t="inlineStr">
        <is>
          <t xml:space="preserve">BENG_DC_09BF</t>
        </is>
      </c>
      <c r="SY7" t="inlineStr">
        <is>
          <t xml:space="preserve">BENGALI_0987</t>
        </is>
      </c>
      <c r="SZ7" t="inlineStr">
        <is>
          <t xml:space="preserve">BENG_DC_09BF</t>
        </is>
      </c>
      <c r="TV7" t="inlineStr">
        <is>
          <t xml:space="preserve">CYRILLIC_SM_A</t>
        </is>
      </c>
      <c r="TW7" t="inlineStr">
        <is>
          <t xml:space="preserve">CYRILLIC_A</t>
        </is>
      </c>
      <c r="TZ7" t="inlineStr">
        <is>
          <t xml:space="preserve">CYRILLIC_SM_A</t>
        </is>
      </c>
      <c r="UA7" t="inlineStr">
        <is>
          <t xml:space="preserve">CYRILLIC_A</t>
        </is>
      </c>
      <c r="VE7" t="inlineStr">
        <is>
          <t xml:space="preserve">E_WITH_GRAVE_SMALL</t>
        </is>
      </c>
      <c r="XB7" t="inlineStr">
        <is>
          <t xml:space="preserve">ARABIC_BEH</t>
        </is>
      </c>
      <c r="XC7" t="inlineStr">
        <is>
          <t xml:space="preserve">U"\x06" ARABIC_PEH</t>
        </is>
      </c>
      <c r="XD7" t="inlineStr">
        <is>
          <t xml:space="preserve">ARABIC_0628</t>
        </is>
      </c>
      <c r="XF7" t="inlineStr">
        <is>
          <t xml:space="preserve">UCAS_146F</t>
        </is>
      </c>
      <c r="XG7" t="inlineStr">
        <is>
          <t xml:space="preserve">UCAS_1555</t>
        </is>
      </c>
      <c r="XH7" t="inlineStr">
        <is>
          <t xml:space="preserve">UCAS_146F</t>
        </is>
      </c>
      <c r="XN7" t="inlineStr">
        <is>
          <t xml:space="preserve">CHEROKEE_13A9</t>
        </is>
      </c>
      <c r="XO7" t="inlineStr">
        <is>
          <t xml:space="preserve">CHEROKEE_13C8</t>
        </is>
      </c>
      <c r="XP7" t="inlineStr">
        <is>
          <t xml:space="preserve">CHEROKEE_13A9</t>
        </is>
      </c>
      <c r="XQ7" t="inlineStr">
        <is>
          <t xml:space="preserve">f</t>
        </is>
      </c>
    </row>
    <row r="8" s="116" customFormat="true" ht="15.95" hidden="false" customHeight="true" outlineLevel="0" collapsed="false">
      <c r="A8" s="93" t="s">
        <v>1155</v>
      </c>
      <c r="B8" s="94" t="s">
        <v>1156</v>
      </c>
      <c r="C8" s="94" t="s">
        <v>1157</v>
      </c>
      <c r="D8" s="94"/>
      <c r="E8" s="94"/>
      <c r="F8" s="95"/>
      <c r="G8" s="95"/>
      <c r="H8" s="95"/>
      <c r="I8" s="95"/>
      <c r="J8" s="96"/>
      <c r="K8" s="96"/>
      <c r="L8" s="96"/>
      <c r="M8" s="96"/>
      <c r="N8" s="97"/>
      <c r="O8" s="97"/>
      <c r="P8" s="97"/>
      <c r="Q8" s="97"/>
      <c r="R8" s="98"/>
      <c r="S8" s="98"/>
      <c r="T8" s="98"/>
      <c r="U8" s="98"/>
      <c r="V8" s="99"/>
      <c r="W8" s="99"/>
      <c r="X8" s="99"/>
      <c r="Y8" s="99"/>
      <c r="Z8" s="100"/>
      <c r="AA8" s="100"/>
      <c r="AB8" s="100"/>
      <c r="AC8" s="100"/>
      <c r="AD8" s="101" t="s">
        <v>659</v>
      </c>
      <c r="AE8" s="101"/>
      <c r="AF8" s="101"/>
      <c r="AG8" s="101"/>
      <c r="AH8" t="inlineStr">
        <is>
          <t xml:space="preserve">g</t>
        </is>
      </c>
      <c r="AI8" t="inlineStr">
        <is>
          <t xml:space="preserve">G</t>
        </is>
      </c>
      <c r="AK8" t="inlineStr">
        <is>
          <t xml:space="preserve">HIRAGANA_KI</t>
        </is>
      </c>
      <c r="AL8" s="103" t="s">
        <v>596</v>
      </c>
      <c r="AM8" s="103"/>
      <c r="AN8" s="103"/>
      <c r="AO8" s="103"/>
      <c r="AP8" s="104" t="s">
        <v>258</v>
      </c>
      <c r="AQ8" s="104" t="s">
        <v>210</v>
      </c>
      <c r="AR8" s="104"/>
      <c r="AS8" s="104"/>
      <c r="AT8" s="105" t="s">
        <v>380</v>
      </c>
      <c r="AU8" s="105" t="s">
        <v>336</v>
      </c>
      <c r="AV8" s="105"/>
      <c r="AW8" s="105"/>
      <c r="AX8" s="106" t="s">
        <v>380</v>
      </c>
      <c r="AY8" s="106" t="s">
        <v>336</v>
      </c>
      <c r="AZ8" s="106"/>
      <c r="BA8" s="106"/>
      <c r="BB8" s="107" t="s">
        <v>380</v>
      </c>
      <c r="BC8" s="107" t="s">
        <v>336</v>
      </c>
      <c r="BD8" s="107"/>
      <c r="BE8" s="107"/>
      <c r="BF8" s="108" t="s">
        <v>380</v>
      </c>
      <c r="BG8" s="108" t="s">
        <v>336</v>
      </c>
      <c r="BH8" s="108"/>
      <c r="BI8" s="108"/>
      <c r="BJ8" s="109" t="s">
        <v>366</v>
      </c>
      <c r="BK8" s="109" t="s">
        <v>322</v>
      </c>
      <c r="BL8" s="109"/>
      <c r="BM8" s="109"/>
      <c r="BN8" s="95"/>
      <c r="BO8" s="95"/>
      <c r="BP8" s="95"/>
      <c r="BQ8" s="95"/>
      <c r="BR8" s="110"/>
      <c r="BS8" s="110"/>
      <c r="BT8" s="110"/>
      <c r="BU8" s="110"/>
      <c r="BZ8" s="111"/>
      <c r="CA8" s="111"/>
      <c r="CB8" s="111"/>
      <c r="CC8" s="111"/>
      <c r="CD8" s="95" t="s">
        <v>489</v>
      </c>
      <c r="CE8" s="95" t="s">
        <v>501</v>
      </c>
      <c r="CF8" s="95"/>
      <c r="CG8" s="95"/>
      <c r="CH8" s="112"/>
      <c r="CI8" s="112"/>
      <c r="CJ8" s="112"/>
      <c r="CK8" s="112"/>
      <c r="CL8" s="113"/>
      <c r="CM8" s="113"/>
      <c r="CN8" s="113"/>
      <c r="CO8" s="113"/>
      <c r="CP8" s="84"/>
      <c r="CQ8" s="84"/>
      <c r="CR8" s="84"/>
      <c r="CS8" s="84"/>
      <c r="CT8" s="110"/>
      <c r="CU8" s="110"/>
      <c r="CV8" s="110"/>
      <c r="CW8" s="110"/>
      <c r="CX8" s="114"/>
      <c r="CY8" s="114"/>
      <c r="CZ8" s="114"/>
      <c r="DA8" s="114" t="s">
        <v>1145</v>
      </c>
      <c r="DB8" s="115"/>
      <c r="DC8" s="115"/>
      <c r="DD8" s="115"/>
      <c r="DE8" s="115" t="s">
        <v>1145</v>
      </c>
      <c r="DI8" t="inlineStr">
        <is>
          <t xml:space="preserve">]</t>
        </is>
      </c>
      <c r="DU8" t="inlineStr">
        <is>
          <t xml:space="preserve">LATIN_0123</t>
        </is>
      </c>
      <c r="ED8" t="inlineStr">
        <is>
          <t xml:space="preserve">CYRILLIC_SM_GHE</t>
        </is>
      </c>
      <c r="EE8" t="inlineStr">
        <is>
          <t xml:space="preserve">CYRILLIC_GHE</t>
        </is>
      </c>
      <c r="EH8" t="inlineStr">
        <is>
          <t xml:space="preserve">CYRILLIC_SM_GHE</t>
        </is>
      </c>
      <c r="EI8" t="inlineStr">
        <is>
          <t xml:space="preserve">CYRILLIC_GHE</t>
        </is>
      </c>
      <c r="EL8" t="inlineStr">
        <is>
          <t xml:space="preserve">ARABIC_LAM</t>
        </is>
      </c>
      <c r="EN8" t="inlineStr">
        <is>
          <t xml:space="preserve">ARABIC_LAM</t>
        </is>
      </c>
      <c r="EP8" t="inlineStr">
        <is>
          <t xml:space="preserve">DEVA_DC_0941</t>
        </is>
      </c>
      <c r="EQ8" t="inlineStr">
        <is>
          <t xml:space="preserve">DEVANAGARI_0909</t>
        </is>
      </c>
      <c r="ER8" t="inlineStr">
        <is>
          <t xml:space="preserve">DEVA_DC_0941</t>
        </is>
      </c>
      <c r="ET8" t="inlineStr">
        <is>
          <t xml:space="preserve">DEVA_DC_0941</t>
        </is>
      </c>
      <c r="EU8" t="inlineStr">
        <is>
          <t xml:space="preserve">DEVANAGARI_0909</t>
        </is>
      </c>
      <c r="EV8" t="inlineStr">
        <is>
          <t xml:space="preserve">DEVA_DC_0941</t>
        </is>
      </c>
      <c r="EX8" t="inlineStr">
        <is>
          <t xml:space="preserve">DEVA_DC_0941</t>
        </is>
      </c>
      <c r="EY8" t="inlineStr">
        <is>
          <t xml:space="preserve">DEVANAGARI_0909</t>
        </is>
      </c>
      <c r="EZ8" t="inlineStr">
        <is>
          <t xml:space="preserve">DEVA_DC_0941</t>
        </is>
      </c>
      <c r="FB8" t="inlineStr">
        <is>
          <t xml:space="preserve">CYRILLIC_SM_A</t>
        </is>
      </c>
      <c r="FC8" t="inlineStr">
        <is>
          <t xml:space="preserve">CYRILLIC_A</t>
        </is>
      </c>
      <c r="FE8" t="inlineStr">
        <is>
          <t xml:space="preserve">CYRILLIC_SM_YERU</t>
        </is>
      </c>
      <c r="FF8" t="inlineStr">
        <is>
          <t xml:space="preserve">ARABIC_LAM</t>
        </is>
      </c>
      <c r="FG8" t="inlineStr">
        <is>
          <t xml:space="preserve">ARABIC_HEH_GOAL_HAMZA</t>
        </is>
      </c>
      <c r="FH8" t="inlineStr">
        <is>
          <t xml:space="preserve">ARABIC_LAM</t>
        </is>
      </c>
      <c r="GD8" t="inlineStr">
        <is>
          <t xml:space="preserve">THAI_0E40</t>
        </is>
      </c>
      <c r="GE8" t="inlineStr">
        <is>
          <t xml:space="preserve">THAI_0E0C</t>
        </is>
      </c>
      <c r="GF8" t="inlineStr">
        <is>
          <t xml:space="preserve">THAI_0E40</t>
        </is>
      </c>
      <c r="GH8" t="inlineStr">
        <is>
          <t xml:space="preserve">BENG_DC_09C1</t>
        </is>
      </c>
      <c r="GI8" t="inlineStr">
        <is>
          <t xml:space="preserve">BENGALI_0989</t>
        </is>
      </c>
      <c r="GJ8" t="inlineStr">
        <is>
          <t xml:space="preserve">BENG_DC_09C1</t>
        </is>
      </c>
      <c r="GL8" t="inlineStr">
        <is>
          <t xml:space="preserve">TELU_DC_0C41</t>
        </is>
      </c>
      <c r="GM8" t="inlineStr">
        <is>
          <t xml:space="preserve">TELUGU_0C09</t>
        </is>
      </c>
      <c r="GN8" t="inlineStr">
        <is>
          <t xml:space="preserve">TELU_DC_0C41</t>
        </is>
      </c>
      <c r="GP8" t="inlineStr">
        <is>
          <t xml:space="preserve">TAML_DC_0BC1</t>
        </is>
      </c>
      <c r="GQ8" t="inlineStr">
        <is>
          <t xml:space="preserve">TAMIL_0B89</t>
        </is>
      </c>
      <c r="GR8" t="inlineStr">
        <is>
          <t xml:space="preserve">TAML_DC_0BC1</t>
        </is>
      </c>
      <c r="GT8" t="inlineStr">
        <is>
          <t xml:space="preserve">ZHUYIN_3115</t>
        </is>
      </c>
      <c r="GV8" t="inlineStr">
        <is>
          <t xml:space="preserve">ZHUYIN_3115</t>
        </is>
      </c>
      <c r="GX8" t="inlineStr">
        <is>
          <t xml:space="preserve">GEORGIAN_10D2</t>
        </is>
      </c>
      <c r="GZ8" t="inlineStr">
        <is>
          <t xml:space="preserve">GEORGIAN_10D2</t>
        </is>
      </c>
      <c r="HB8" t="inlineStr">
        <is>
          <t xml:space="preserve">ARMENIAN_0561</t>
        </is>
      </c>
      <c r="HC8" t="inlineStr">
        <is>
          <t xml:space="preserve">ARMENIAN_0531</t>
        </is>
      </c>
      <c r="HV8" t="inlineStr">
        <is>
          <t xml:space="preserve">KANGXI_RADICAL_EARTH</t>
        </is>
      </c>
      <c r="HW8" t="inlineStr">
        <is>
          <t xml:space="preserve">g</t>
        </is>
      </c>
      <c r="HX8" t="inlineStr">
        <is>
          <t xml:space="preserve">KANGXI_RADICAL_EARTH</t>
        </is>
      </c>
      <c r="JJ8" t="inlineStr">
        <is>
          <t xml:space="preserve">ARABIC_LAM</t>
        </is>
      </c>
      <c r="JR8" t="inlineStr">
        <is>
          <t xml:space="preserve">ETHIOPIC_1308</t>
        </is>
      </c>
      <c r="JS8" t="inlineStr">
        <is>
          <t xml:space="preserve">ETHIOPIC_1318</t>
        </is>
      </c>
      <c r="JT8" t="inlineStr">
        <is>
          <t xml:space="preserve">ETHIOPIC_1308</t>
        </is>
      </c>
      <c r="KD8" t="inlineStr">
        <is>
          <t xml:space="preserve">ARABIC_LAM</t>
        </is>
      </c>
      <c r="KH8" t="inlineStr">
        <is>
          <t xml:space="preserve">ARABIC_LAM</t>
        </is>
      </c>
      <c r="KL8" t="inlineStr">
        <is>
          <t xml:space="preserve">ARABIC_GAF</t>
        </is>
      </c>
      <c r="KM8" t="inlineStr">
        <is>
          <t xml:space="preserve">ARABIC_GHAIN</t>
        </is>
      </c>
      <c r="KN8" t="inlineStr">
        <is>
          <t xml:space="preserve">ARABIC_GAF</t>
        </is>
      </c>
      <c r="OO8" t="inlineStr">
        <is>
          <t xml:space="preserve">]</t>
        </is>
      </c>
      <c r="OW8" t="inlineStr">
        <is>
          <t xml:space="preserve">]</t>
        </is>
      </c>
      <c r="PB8" t="inlineStr">
        <is>
          <t xml:space="preserve">ARABIC_LAM</t>
        </is>
      </c>
      <c r="PF8" t="inlineStr">
        <is>
          <t xml:space="preserve">ARABIC_LAM</t>
        </is>
      </c>
      <c r="PJ8" t="inlineStr">
        <is>
          <t xml:space="preserve">ARABIC_LAM</t>
        </is>
      </c>
      <c r="PN8" t="inlineStr">
        <is>
          <t xml:space="preserve">ARABIC_LAM</t>
        </is>
      </c>
      <c r="PR8" t="inlineStr">
        <is>
          <t xml:space="preserve">ARABIC_LAM</t>
        </is>
      </c>
      <c r="PV8" t="inlineStr">
        <is>
          <t xml:space="preserve">ARABIC_LAM</t>
        </is>
      </c>
      <c r="PZ8" t="inlineStr">
        <is>
          <t xml:space="preserve">ARABIC_LAM</t>
        </is>
      </c>
      <c r="QD8" t="inlineStr">
        <is>
          <t xml:space="preserve">ARABIC_LAM</t>
        </is>
      </c>
      <c r="QH8" t="inlineStr">
        <is>
          <t xml:space="preserve">ARABIC_LAM</t>
        </is>
      </c>
      <c r="QL8" t="inlineStr">
        <is>
          <t xml:space="preserve">ARABIC_LAM</t>
        </is>
      </c>
      <c r="QP8" t="inlineStr">
        <is>
          <t xml:space="preserve">ARABIC_LAM</t>
        </is>
      </c>
      <c r="QT8" t="inlineStr">
        <is>
          <t xml:space="preserve">ARABIC_LAM</t>
        </is>
      </c>
      <c r="QX8" t="inlineStr">
        <is>
          <t xml:space="preserve">ARABIC_LAM</t>
        </is>
      </c>
      <c r="RB8" t="inlineStr">
        <is>
          <t xml:space="preserve">ARABIC_LAM</t>
        </is>
      </c>
      <c r="SX8" t="inlineStr">
        <is>
          <t xml:space="preserve">BENG_DC_09C1</t>
        </is>
      </c>
      <c r="SY8" t="inlineStr">
        <is>
          <t xml:space="preserve">BENGALI_0989</t>
        </is>
      </c>
      <c r="SZ8" t="inlineStr">
        <is>
          <t xml:space="preserve">BENG_DC_09C1</t>
        </is>
      </c>
      <c r="TV8" t="inlineStr">
        <is>
          <t xml:space="preserve">CYRILLIC_SM_PE</t>
        </is>
      </c>
      <c r="TW8" t="inlineStr">
        <is>
          <t xml:space="preserve">CYRILLIC_PE</t>
        </is>
      </c>
      <c r="TZ8" t="inlineStr">
        <is>
          <t xml:space="preserve">CYRILLIC_SM_PE</t>
        </is>
      </c>
      <c r="UA8" t="inlineStr">
        <is>
          <t xml:space="preserve">CYRILLIC_PE</t>
        </is>
      </c>
      <c r="VE8" t="inlineStr">
        <is>
          <t xml:space="preserve">E_WITH_ACUTE_SMALL</t>
        </is>
      </c>
      <c r="XB8" t="inlineStr">
        <is>
          <t xml:space="preserve">U"\f" ARABIC_LAM</t>
        </is>
      </c>
      <c r="XC8" t="inlineStr">
        <is>
          <t xml:space="preserve">ARABIC_ALEF_HAMZA_A</t>
        </is>
      </c>
      <c r="XD8" t="inlineStr">
        <is>
          <t xml:space="preserve">ARABIC_0644</t>
        </is>
      </c>
      <c r="XE8" t="inlineStr">
        <is>
          <t xml:space="preserve">ARABIC_06B7</t>
        </is>
      </c>
      <c r="XF8" t="inlineStr">
        <is>
          <t xml:space="preserve">UCAS_1450</t>
        </is>
      </c>
      <c r="XG8" t="inlineStr">
        <is>
          <t xml:space="preserve">(</t>
        </is>
      </c>
      <c r="XH8" t="inlineStr">
        <is>
          <t xml:space="preserve">UCAS_1450</t>
        </is>
      </c>
      <c r="XN8" t="inlineStr">
        <is>
          <t xml:space="preserve">CHEROKEE_13A6</t>
        </is>
      </c>
      <c r="XO8" t="inlineStr">
        <is>
          <t xml:space="preserve">CHEROKEE_13E5</t>
        </is>
      </c>
      <c r="XP8" t="inlineStr">
        <is>
          <t xml:space="preserve">CHEROKEE_13A6</t>
        </is>
      </c>
      <c r="XQ8" t="inlineStr">
        <is>
          <t xml:space="preserve">g</t>
        </is>
      </c>
    </row>
    <row r="9" s="116" customFormat="true" ht="15.95" hidden="false" customHeight="true" outlineLevel="0" collapsed="false">
      <c r="A9" s="93" t="s">
        <v>1158</v>
      </c>
      <c r="B9" s="94" t="s">
        <v>1159</v>
      </c>
      <c r="C9" s="94" t="s">
        <v>1160</v>
      </c>
      <c r="D9" s="94"/>
      <c r="E9" s="94"/>
      <c r="F9" s="95"/>
      <c r="G9" s="95"/>
      <c r="H9" s="95"/>
      <c r="I9" s="95"/>
      <c r="J9" s="96"/>
      <c r="K9" s="96"/>
      <c r="L9" s="96"/>
      <c r="M9" s="96"/>
      <c r="N9" s="97"/>
      <c r="O9" s="97"/>
      <c r="P9" s="97"/>
      <c r="Q9" s="97"/>
      <c r="R9" s="98"/>
      <c r="S9" s="98"/>
      <c r="T9" s="98"/>
      <c r="U9" s="98"/>
      <c r="V9" s="99"/>
      <c r="W9" s="99"/>
      <c r="X9" s="99"/>
      <c r="Y9" s="99"/>
      <c r="Z9" s="100"/>
      <c r="AA9" s="100"/>
      <c r="AB9" s="100"/>
      <c r="AC9" s="100"/>
      <c r="AD9" s="101" t="s">
        <v>668</v>
      </c>
      <c r="AE9" s="101"/>
      <c r="AF9" s="101"/>
      <c r="AG9" s="101"/>
      <c r="AH9" t="inlineStr">
        <is>
          <t xml:space="preserve">h</t>
        </is>
      </c>
      <c r="AI9" t="inlineStr">
        <is>
          <t xml:space="preserve">H</t>
        </is>
      </c>
      <c r="AK9" t="inlineStr">
        <is>
          <t xml:space="preserve">HIRAGANA_KU</t>
        </is>
      </c>
      <c r="AL9" s="103" t="s">
        <v>526</v>
      </c>
      <c r="AM9" s="117" t="s">
        <v>518</v>
      </c>
      <c r="AN9" s="103" t="s">
        <v>526</v>
      </c>
      <c r="AO9" t="inlineStr">
        <is>
          <t xml:space="preserve">ARABIC_0671</t>
        </is>
      </c>
      <c r="AP9" s="104" t="s">
        <v>266</v>
      </c>
      <c r="AQ9" s="118" t="s">
        <v>218</v>
      </c>
      <c r="AR9" s="104"/>
      <c r="AS9" s="104"/>
      <c r="AT9" s="105" t="s">
        <v>382</v>
      </c>
      <c r="AU9" s="119" t="s">
        <v>338</v>
      </c>
      <c r="AV9" s="105"/>
      <c r="AW9" s="105"/>
      <c r="AX9" s="106" t="s">
        <v>382</v>
      </c>
      <c r="AY9" s="120" t="s">
        <v>338</v>
      </c>
      <c r="AZ9" s="106"/>
      <c r="BA9" s="106"/>
      <c r="BB9" s="107" t="s">
        <v>382</v>
      </c>
      <c r="BC9" s="121" t="s">
        <v>338</v>
      </c>
      <c r="BD9" s="107"/>
      <c r="BE9" s="107"/>
      <c r="BF9" s="108" t="s">
        <v>382</v>
      </c>
      <c r="BG9" s="122" t="s">
        <v>338</v>
      </c>
      <c r="BH9" s="108"/>
      <c r="BI9" s="108"/>
      <c r="BJ9" s="109" t="s">
        <v>363</v>
      </c>
      <c r="BK9" s="123" t="s">
        <v>319</v>
      </c>
      <c r="BL9" s="109"/>
      <c r="BM9" s="109"/>
      <c r="BN9" s="95"/>
      <c r="BO9" s="95"/>
      <c r="BP9" s="95"/>
      <c r="BQ9" s="95"/>
      <c r="BR9" s="110"/>
      <c r="BS9" s="110"/>
      <c r="BT9" s="110"/>
      <c r="BU9" s="110"/>
      <c r="BZ9" s="111"/>
      <c r="CA9" s="111"/>
      <c r="CB9" s="111"/>
      <c r="CC9" s="111"/>
      <c r="CD9" s="95" t="s">
        <v>480</v>
      </c>
      <c r="CE9" s="95"/>
      <c r="CF9" s="95"/>
      <c r="CG9" s="128" t="s">
        <v>500</v>
      </c>
      <c r="CH9" s="112"/>
      <c r="CI9" s="112"/>
      <c r="CJ9" s="112"/>
      <c r="CK9" s="112"/>
      <c r="CL9" s="113"/>
      <c r="CM9" s="113"/>
      <c r="CN9" s="113"/>
      <c r="CO9" s="113"/>
      <c r="CP9" s="84"/>
      <c r="CQ9" s="84"/>
      <c r="CR9" s="84"/>
      <c r="CS9" s="84"/>
      <c r="CT9" s="110"/>
      <c r="CU9" s="110"/>
      <c r="CV9" s="110"/>
      <c r="CW9" s="110"/>
      <c r="CX9" s="114"/>
      <c r="CY9" s="114"/>
      <c r="CZ9" s="114"/>
      <c r="DA9" s="114"/>
      <c r="DB9" s="115"/>
      <c r="DC9" s="115"/>
      <c r="DD9" s="115"/>
      <c r="DE9" s="115"/>
      <c r="ED9" t="inlineStr">
        <is>
          <t xml:space="preserve">CYRILLIC_SM_HA</t>
        </is>
      </c>
      <c r="EE9" t="inlineStr">
        <is>
          <t xml:space="preserve">CYRILLIC_HA</t>
        </is>
      </c>
      <c r="EH9" t="inlineStr">
        <is>
          <t xml:space="preserve">CYRILLIC_SM_HA</t>
        </is>
      </c>
      <c r="EI9" t="inlineStr">
        <is>
          <t xml:space="preserve">CYRILLIC_HA</t>
        </is>
      </c>
      <c r="EL9" t="inlineStr">
        <is>
          <t xml:space="preserve">ARABIC_ALEF</t>
        </is>
      </c>
      <c r="EN9" t="inlineStr">
        <is>
          <t xml:space="preserve">ARABIC_ALEF</t>
        </is>
      </c>
      <c r="EP9" t="inlineStr">
        <is>
          <t xml:space="preserve">DEVANAGARI_092A</t>
        </is>
      </c>
      <c r="EQ9" t="inlineStr">
        <is>
          <t xml:space="preserve">DEVANAGARI_092B</t>
        </is>
      </c>
      <c r="ER9" t="inlineStr">
        <is>
          <t xml:space="preserve">DEVANAGARI_092A</t>
        </is>
      </c>
      <c r="ES9" t="inlineStr">
        <is>
          <t xml:space="preserve">DEVANAGARI_093C</t>
        </is>
      </c>
      <c r="ET9" t="inlineStr">
        <is>
          <t xml:space="preserve">DEVANAGARI_092A</t>
        </is>
      </c>
      <c r="EU9" t="inlineStr">
        <is>
          <t xml:space="preserve">DEVANAGARI_092B</t>
        </is>
      </c>
      <c r="EV9" t="inlineStr">
        <is>
          <t xml:space="preserve">DEVANAGARI_092A</t>
        </is>
      </c>
      <c r="EW9" t="inlineStr">
        <is>
          <t xml:space="preserve">DEVANAGARI_093C</t>
        </is>
      </c>
      <c r="EX9" t="inlineStr">
        <is>
          <t xml:space="preserve">DEVANAGARI_092A</t>
        </is>
      </c>
      <c r="EY9" t="inlineStr">
        <is>
          <t xml:space="preserve">DEVANAGARI_092B</t>
        </is>
      </c>
      <c r="EZ9" t="inlineStr">
        <is>
          <t xml:space="preserve">DEVANAGARI_092A</t>
        </is>
      </c>
      <c r="FB9" t="inlineStr">
        <is>
          <t xml:space="preserve">CYRILLIC_SM_HA</t>
        </is>
      </c>
      <c r="FC9" t="inlineStr">
        <is>
          <t xml:space="preserve">CYRILLIC_HA</t>
        </is>
      </c>
      <c r="FE9" t="inlineStr">
        <is>
          <t xml:space="preserve">CYRILLIC_YERU</t>
        </is>
      </c>
      <c r="FF9" t="inlineStr">
        <is>
          <t xml:space="preserve">ARABIC_HEH_GOAL</t>
        </is>
      </c>
      <c r="FG9" t="inlineStr">
        <is>
          <t xml:space="preserve">ARABIC_HAMZA</t>
        </is>
      </c>
      <c r="FH9" t="inlineStr">
        <is>
          <t xml:space="preserve">ARABIC_HEH_GOAL</t>
        </is>
      </c>
      <c r="GD9" t="inlineStr">
        <is>
          <t xml:space="preserve">THAI_DC_0E49</t>
        </is>
      </c>
      <c r="GE9" t="inlineStr">
        <is>
          <t xml:space="preserve">THAI_DC_0E47</t>
        </is>
      </c>
      <c r="GF9" t="inlineStr">
        <is>
          <t xml:space="preserve">THAI_DC_0E49</t>
        </is>
      </c>
      <c r="GH9" t="inlineStr">
        <is>
          <t xml:space="preserve">BENGALI_09AA</t>
        </is>
      </c>
      <c r="GI9" t="inlineStr">
        <is>
          <t xml:space="preserve">BENGALI_09AB</t>
        </is>
      </c>
      <c r="GJ9" t="inlineStr">
        <is>
          <t xml:space="preserve">BENGALI_09AA</t>
        </is>
      </c>
      <c r="GL9" t="inlineStr">
        <is>
          <t xml:space="preserve">TELUGU_0C2A</t>
        </is>
      </c>
      <c r="GM9" t="inlineStr">
        <is>
          <t xml:space="preserve">TELUGU_0C2B</t>
        </is>
      </c>
      <c r="GN9" t="inlineStr">
        <is>
          <t xml:space="preserve">TELUGU_0C2A</t>
        </is>
      </c>
      <c r="GP9" t="inlineStr">
        <is>
          <t xml:space="preserve">TAMIL_0BAA</t>
        </is>
      </c>
      <c r="GR9" t="inlineStr">
        <is>
          <t xml:space="preserve">TAMIL_0BAA</t>
        </is>
      </c>
      <c r="GT9" t="inlineStr">
        <is>
          <t xml:space="preserve">ZHUYIN_3118</t>
        </is>
      </c>
      <c r="GV9" t="inlineStr">
        <is>
          <t xml:space="preserve">ZHUYIN_3118</t>
        </is>
      </c>
      <c r="GX9" t="inlineStr">
        <is>
          <t xml:space="preserve">GEORGIAN_10F0</t>
        </is>
      </c>
      <c r="GZ9" t="inlineStr">
        <is>
          <t xml:space="preserve">GEORGIAN_10F0</t>
        </is>
      </c>
      <c r="HA9" t="inlineStr">
        <is>
          <t xml:space="preserve">GEORGIAN_10F5</t>
        </is>
      </c>
      <c r="HB9" t="inlineStr">
        <is>
          <t xml:space="preserve">ARMENIAN_0576</t>
        </is>
      </c>
      <c r="HC9" t="inlineStr">
        <is>
          <t xml:space="preserve">ARMENIAN_0546</t>
        </is>
      </c>
      <c r="HV9" t="inlineStr">
        <is>
          <t xml:space="preserve">KANGXI_RADICAL_BAMBOO</t>
        </is>
      </c>
      <c r="HW9" t="inlineStr">
        <is>
          <t xml:space="preserve">h</t>
        </is>
      </c>
      <c r="HX9" t="inlineStr">
        <is>
          <t xml:space="preserve">KANGXI_RADICAL_BAMBOO</t>
        </is>
      </c>
      <c r="JJ9" t="inlineStr">
        <is>
          <t xml:space="preserve">ARABIC_ALEF</t>
        </is>
      </c>
      <c r="JK9" t="inlineStr">
        <is>
          <t xml:space="preserve">ARABIC_ALEF_HAMZA_A</t>
        </is>
      </c>
      <c r="JL9" t="inlineStr">
        <is>
          <t xml:space="preserve">ARABIC_ALEF</t>
        </is>
      </c>
      <c r="JM9" t="inlineStr">
        <is>
          <t xml:space="preserve">ARABIC_0671</t>
        </is>
      </c>
      <c r="JR9" t="inlineStr">
        <is>
          <t xml:space="preserve">ETHIOPIC_1200</t>
        </is>
      </c>
      <c r="JS9" t="inlineStr">
        <is>
          <t xml:space="preserve">ETHIOPIC_1210</t>
        </is>
      </c>
      <c r="JT9" t="inlineStr">
        <is>
          <t xml:space="preserve">ETHIOPIC_1200</t>
        </is>
      </c>
      <c r="KD9" t="inlineStr">
        <is>
          <t xml:space="preserve">ARABIC_ALEF</t>
        </is>
      </c>
      <c r="KE9" t="inlineStr">
        <is>
          <t xml:space="preserve">ARABIC_ALEF_HAMZA_A</t>
        </is>
      </c>
      <c r="KF9" t="inlineStr">
        <is>
          <t xml:space="preserve">ARABIC_ALEF</t>
        </is>
      </c>
      <c r="KG9" t="inlineStr">
        <is>
          <t xml:space="preserve">ARABIC_0671</t>
        </is>
      </c>
      <c r="KH9" t="inlineStr">
        <is>
          <t xml:space="preserve">ARABIC_ALEF</t>
        </is>
      </c>
      <c r="KI9" t="inlineStr">
        <is>
          <t xml:space="preserve">ARABIC_ALEF_HAMZA_A</t>
        </is>
      </c>
      <c r="KJ9" t="inlineStr">
        <is>
          <t xml:space="preserve">ARABIC_ALEF</t>
        </is>
      </c>
      <c r="KK9" t="inlineStr">
        <is>
          <t xml:space="preserve">ARABIC_0671</t>
        </is>
      </c>
      <c r="KL9" t="inlineStr">
        <is>
          <t xml:space="preserve">ARABIC_HEH</t>
        </is>
      </c>
      <c r="KN9" t="inlineStr">
        <is>
          <t xml:space="preserve">ARABIC_HEH</t>
        </is>
      </c>
      <c r="PB9" t="inlineStr">
        <is>
          <t xml:space="preserve">ARABIC_ALEF</t>
        </is>
      </c>
      <c r="PC9" t="inlineStr">
        <is>
          <t xml:space="preserve">ARABIC_ALEF_HAMZA_A</t>
        </is>
      </c>
      <c r="PD9" t="inlineStr">
        <is>
          <t xml:space="preserve">ARABIC_ALEF</t>
        </is>
      </c>
      <c r="PE9" t="inlineStr">
        <is>
          <t xml:space="preserve">ARABIC_0671</t>
        </is>
      </c>
      <c r="PF9" t="inlineStr">
        <is>
          <t xml:space="preserve">ARABIC_ALEF</t>
        </is>
      </c>
      <c r="PG9" t="inlineStr">
        <is>
          <t xml:space="preserve">ARABIC_ALEF_HAMZA_A</t>
        </is>
      </c>
      <c r="PH9" t="inlineStr">
        <is>
          <t xml:space="preserve">ARABIC_ALEF</t>
        </is>
      </c>
      <c r="PI9" t="inlineStr">
        <is>
          <t xml:space="preserve">ARABIC_0671</t>
        </is>
      </c>
      <c r="PJ9" t="inlineStr">
        <is>
          <t xml:space="preserve">ARABIC_ALEF</t>
        </is>
      </c>
      <c r="PK9" t="inlineStr">
        <is>
          <t xml:space="preserve">ARABIC_ALEF_HAMZA_A</t>
        </is>
      </c>
      <c r="PL9" t="inlineStr">
        <is>
          <t xml:space="preserve">ARABIC_ALEF</t>
        </is>
      </c>
      <c r="PM9" t="inlineStr">
        <is>
          <t xml:space="preserve">ARABIC_0671</t>
        </is>
      </c>
      <c r="PN9" t="inlineStr">
        <is>
          <t xml:space="preserve">ARABIC_ALEF</t>
        </is>
      </c>
      <c r="PO9" t="inlineStr">
        <is>
          <t xml:space="preserve">ARABIC_ALEF_HAMZA_A</t>
        </is>
      </c>
      <c r="PP9" t="inlineStr">
        <is>
          <t xml:space="preserve">ARABIC_ALEF</t>
        </is>
      </c>
      <c r="PQ9" t="inlineStr">
        <is>
          <t xml:space="preserve">ARABIC_0671</t>
        </is>
      </c>
      <c r="PR9" t="inlineStr">
        <is>
          <t xml:space="preserve">ARABIC_ALEF</t>
        </is>
      </c>
      <c r="PS9" t="inlineStr">
        <is>
          <t xml:space="preserve">ARABIC_ALEF_HAMZA_A</t>
        </is>
      </c>
      <c r="PT9" t="inlineStr">
        <is>
          <t xml:space="preserve">ARABIC_ALEF</t>
        </is>
      </c>
      <c r="PU9" t="inlineStr">
        <is>
          <t xml:space="preserve">ARABIC_0671</t>
        </is>
      </c>
      <c r="PV9" t="inlineStr">
        <is>
          <t xml:space="preserve">ARABIC_ALEF</t>
        </is>
      </c>
      <c r="PW9" t="inlineStr">
        <is>
          <t xml:space="preserve">ARABIC_ALEF_HAMZA_A</t>
        </is>
      </c>
      <c r="PX9" t="inlineStr">
        <is>
          <t xml:space="preserve">ARABIC_ALEF</t>
        </is>
      </c>
      <c r="PY9" t="inlineStr">
        <is>
          <t xml:space="preserve">ARABIC_0671</t>
        </is>
      </c>
      <c r="PZ9" t="inlineStr">
        <is>
          <t xml:space="preserve">ARABIC_ALEF</t>
        </is>
      </c>
      <c r="QA9" t="inlineStr">
        <is>
          <t xml:space="preserve">ARABIC_ALEF_HAMZA_A</t>
        </is>
      </c>
      <c r="QB9" t="inlineStr">
        <is>
          <t xml:space="preserve">ARABIC_ALEF</t>
        </is>
      </c>
      <c r="QC9" t="inlineStr">
        <is>
          <t xml:space="preserve">ARABIC_0671</t>
        </is>
      </c>
      <c r="QD9" t="inlineStr">
        <is>
          <t xml:space="preserve">ARABIC_ALEF</t>
        </is>
      </c>
      <c r="QE9" t="inlineStr">
        <is>
          <t xml:space="preserve">ARABIC_ALEF_HAMZA_A</t>
        </is>
      </c>
      <c r="QF9" t="inlineStr">
        <is>
          <t xml:space="preserve">ARABIC_ALEF</t>
        </is>
      </c>
      <c r="QG9" t="inlineStr">
        <is>
          <t xml:space="preserve">ARABIC_0671</t>
        </is>
      </c>
      <c r="QH9" t="inlineStr">
        <is>
          <t xml:space="preserve">ARABIC_ALEF</t>
        </is>
      </c>
      <c r="QI9" t="inlineStr">
        <is>
          <t xml:space="preserve">ARABIC_ALEF_HAMZA_A</t>
        </is>
      </c>
      <c r="QJ9" t="inlineStr">
        <is>
          <t xml:space="preserve">ARABIC_ALEF</t>
        </is>
      </c>
      <c r="QK9" t="inlineStr">
        <is>
          <t xml:space="preserve">ARABIC_0671</t>
        </is>
      </c>
      <c r="QL9" t="inlineStr">
        <is>
          <t xml:space="preserve">ARABIC_ALEF</t>
        </is>
      </c>
      <c r="QM9" t="inlineStr">
        <is>
          <t xml:space="preserve">ARABIC_ALEF_HAMZA_A</t>
        </is>
      </c>
      <c r="QN9" t="inlineStr">
        <is>
          <t xml:space="preserve">ARABIC_ALEF</t>
        </is>
      </c>
      <c r="QO9" t="inlineStr">
        <is>
          <t xml:space="preserve">ARABIC_0671</t>
        </is>
      </c>
      <c r="QP9" t="inlineStr">
        <is>
          <t xml:space="preserve">ARABIC_ALEF</t>
        </is>
      </c>
      <c r="QQ9" t="inlineStr">
        <is>
          <t xml:space="preserve">ARABIC_ALEF_HAMZA_A</t>
        </is>
      </c>
      <c r="QR9" t="inlineStr">
        <is>
          <t xml:space="preserve">ARABIC_ALEF</t>
        </is>
      </c>
      <c r="QS9" t="inlineStr">
        <is>
          <t xml:space="preserve">ARABIC_0671</t>
        </is>
      </c>
      <c r="QT9" t="inlineStr">
        <is>
          <t xml:space="preserve">ARABIC_ALEF</t>
        </is>
      </c>
      <c r="QU9" t="inlineStr">
        <is>
          <t xml:space="preserve">ARABIC_ALEF_HAMZA_A</t>
        </is>
      </c>
      <c r="QV9" t="inlineStr">
        <is>
          <t xml:space="preserve">ARABIC_ALEF</t>
        </is>
      </c>
      <c r="QW9" t="inlineStr">
        <is>
          <t xml:space="preserve">ARABIC_0671</t>
        </is>
      </c>
      <c r="QX9" t="inlineStr">
        <is>
          <t xml:space="preserve">ARABIC_ALEF</t>
        </is>
      </c>
      <c r="QY9" t="inlineStr">
        <is>
          <t xml:space="preserve">ARABIC_ALEF_HAMZA_A</t>
        </is>
      </c>
      <c r="QZ9" t="inlineStr">
        <is>
          <t xml:space="preserve">ARABIC_ALEF</t>
        </is>
      </c>
      <c r="RA9" t="inlineStr">
        <is>
          <t xml:space="preserve">ARABIC_0671</t>
        </is>
      </c>
      <c r="RB9" t="inlineStr">
        <is>
          <t xml:space="preserve">ARABIC_ALEF</t>
        </is>
      </c>
      <c r="RC9" t="inlineStr">
        <is>
          <t xml:space="preserve">ARABIC_ALEF_HAMZA_A</t>
        </is>
      </c>
      <c r="RD9" t="inlineStr">
        <is>
          <t xml:space="preserve">ARABIC_ALEF</t>
        </is>
      </c>
      <c r="RE9" t="inlineStr">
        <is>
          <t xml:space="preserve">ARABIC_0671</t>
        </is>
      </c>
      <c r="SX9" t="inlineStr">
        <is>
          <t xml:space="preserve">BENGALI_09AA</t>
        </is>
      </c>
      <c r="SY9" t="inlineStr">
        <is>
          <t xml:space="preserve">BENGALI_09AB</t>
        </is>
      </c>
      <c r="SZ9" t="inlineStr">
        <is>
          <t xml:space="preserve">BENGALI_09AA</t>
        </is>
      </c>
      <c r="TA9" t="inlineStr">
        <is>
          <t xml:space="preserve">BENGALI_0986</t>
        </is>
      </c>
      <c r="TV9" t="inlineStr">
        <is>
          <t xml:space="preserve">CYRILLIC_SM_ER</t>
        </is>
      </c>
      <c r="TW9" t="inlineStr">
        <is>
          <t xml:space="preserve">CYRILLIC_ER</t>
        </is>
      </c>
      <c r="TZ9" t="inlineStr">
        <is>
          <t xml:space="preserve">CYRILLIC_SM_ER</t>
        </is>
      </c>
      <c r="UA9" t="inlineStr">
        <is>
          <t xml:space="preserve">CYRILLIC_ER</t>
        </is>
      </c>
      <c r="VE9" t="inlineStr">
        <is>
          <t xml:space="preserve">U_WITH_GRAVE_SMALL</t>
        </is>
      </c>
      <c r="WG9" t="inlineStr">
        <is>
          <t xml:space="preserve">U"\f\f" LATIN_01E5</t>
        </is>
      </c>
      <c r="XB9" t="inlineStr">
        <is>
          <t xml:space="preserve">U"\x05\x06\x06" ARABIC_ALEF</t>
        </is>
      </c>
      <c r="XC9" t="inlineStr">
        <is>
          <t xml:space="preserve">ARABIC_ALEF_MADDA_A</t>
        </is>
      </c>
      <c r="XD9" t="inlineStr">
        <is>
          <t xml:space="preserve">ARABIC_0627</t>
        </is>
      </c>
      <c r="XE9" t="inlineStr">
        <is>
          <t xml:space="preserve">ARABIC_0671</t>
        </is>
      </c>
      <c r="XF9" t="inlineStr">
        <is>
          <t xml:space="preserve">UCAS_14F1</t>
        </is>
      </c>
      <c r="XG9" t="inlineStr">
        <is>
          <t xml:space="preserve">)</t>
        </is>
      </c>
      <c r="XH9" t="inlineStr">
        <is>
          <t xml:space="preserve">UCAS_14F1</t>
        </is>
      </c>
      <c r="XN9" t="inlineStr">
        <is>
          <t xml:space="preserve">CHEROKEE_13AF</t>
        </is>
      </c>
      <c r="XO9" t="inlineStr">
        <is>
          <t xml:space="preserve">CHEROKEE_13B2</t>
        </is>
      </c>
      <c r="XP9" t="inlineStr">
        <is>
          <t xml:space="preserve">CHEROKEE_13AF</t>
        </is>
      </c>
      <c r="XQ9" t="inlineStr">
        <is>
          <t xml:space="preserve">h</t>
        </is>
      </c>
    </row>
    <row r="10" s="116" customFormat="true" ht="15.95" hidden="false" customHeight="true" outlineLevel="0" collapsed="false">
      <c r="A10" s="93" t="s">
        <v>1161</v>
      </c>
      <c r="B10" s="94" t="s">
        <v>1162</v>
      </c>
      <c r="C10" s="94" t="s">
        <v>1163</v>
      </c>
      <c r="D10" s="94"/>
      <c r="E10" s="94"/>
      <c r="F10" s="95"/>
      <c r="G10" s="95"/>
      <c r="H10" s="95"/>
      <c r="I10" s="95"/>
      <c r="J10" s="96"/>
      <c r="K10" s="96"/>
      <c r="L10" s="96"/>
      <c r="M10" s="96"/>
      <c r="N10" s="97"/>
      <c r="O10" s="97"/>
      <c r="P10" s="97"/>
      <c r="Q10" s="97"/>
      <c r="R10" s="98"/>
      <c r="S10" s="98"/>
      <c r="T10" s="98"/>
      <c r="U10" s="98"/>
      <c r="V10" s="99"/>
      <c r="W10" s="99"/>
      <c r="X10" s="99"/>
      <c r="Y10" s="99"/>
      <c r="Z10" s="100" t="s">
        <v>177</v>
      </c>
      <c r="AA10" s="100" t="s">
        <v>1163</v>
      </c>
      <c r="AB10" s="100"/>
      <c r="AC10" s="100" t="s">
        <v>1162</v>
      </c>
      <c r="AD10" s="101" t="s">
        <v>662</v>
      </c>
      <c r="AE10" s="101"/>
      <c r="AF10" s="101"/>
      <c r="AG10" s="101"/>
      <c r="AH10" t="inlineStr">
        <is>
          <t xml:space="preserve">i</t>
        </is>
      </c>
      <c r="AI10" t="inlineStr">
        <is>
          <t xml:space="preserve">I</t>
        </is>
      </c>
      <c r="AK10" t="inlineStr">
        <is>
          <t xml:space="preserve">HIRAGANA_RI</t>
        </is>
      </c>
      <c r="AL10" s="103" t="s">
        <v>602</v>
      </c>
      <c r="AM10" s="103" t="s">
        <v>163</v>
      </c>
      <c r="AN10" s="103" t="s">
        <v>602</v>
      </c>
      <c r="AO10" s="103"/>
      <c r="AP10" s="104" t="s">
        <v>270</v>
      </c>
      <c r="AQ10" s="104" t="s">
        <v>222</v>
      </c>
      <c r="AR10" s="104"/>
      <c r="AS10" s="104"/>
      <c r="AT10" s="105" t="s">
        <v>390</v>
      </c>
      <c r="AU10" s="105" t="s">
        <v>346</v>
      </c>
      <c r="AV10" s="105"/>
      <c r="AW10" s="105"/>
      <c r="AX10" s="106" t="s">
        <v>390</v>
      </c>
      <c r="AY10" s="106" t="s">
        <v>346</v>
      </c>
      <c r="AZ10" s="106"/>
      <c r="BA10" s="106"/>
      <c r="BB10" s="107" t="s">
        <v>390</v>
      </c>
      <c r="BC10" s="107" t="s">
        <v>346</v>
      </c>
      <c r="BD10" s="107"/>
      <c r="BE10" s="107"/>
      <c r="BF10" s="108" t="s">
        <v>390</v>
      </c>
      <c r="BG10" s="108" t="s">
        <v>346</v>
      </c>
      <c r="BH10" s="108"/>
      <c r="BI10" s="108"/>
      <c r="BJ10" s="109" t="s">
        <v>383</v>
      </c>
      <c r="BK10" s="109" t="s">
        <v>339</v>
      </c>
      <c r="BL10" s="109"/>
      <c r="BM10" s="109"/>
      <c r="BN10" s="95"/>
      <c r="BO10" s="95"/>
      <c r="BP10" s="95"/>
      <c r="BQ10" s="95"/>
      <c r="BR10" s="110"/>
      <c r="BS10" s="110"/>
      <c r="BT10" s="110"/>
      <c r="BU10" s="110"/>
      <c r="BZ10" s="111"/>
      <c r="CA10" s="111"/>
      <c r="CB10" s="111"/>
      <c r="CC10" t="inlineStr">
        <is>
          <t xml:space="preserve">LATIN_00EF</t>
        </is>
      </c>
      <c r="CD10" s="95" t="s">
        <v>486</v>
      </c>
      <c r="CE10" s="95"/>
      <c r="CF10" s="95"/>
      <c r="CG10" s="128" t="s">
        <v>456</v>
      </c>
      <c r="CH10" s="112"/>
      <c r="CI10" s="112"/>
      <c r="CJ10" s="112"/>
      <c r="CK10" s="112"/>
      <c r="CL10" s="113"/>
      <c r="CM10" s="113"/>
      <c r="CN10" s="113"/>
      <c r="CO10" s="113"/>
      <c r="CP10" s="84"/>
      <c r="CQ10" s="84"/>
      <c r="CR10" s="84"/>
      <c r="CS10" s="84"/>
      <c r="CT10" s="110"/>
      <c r="CU10" s="110"/>
      <c r="CV10" s="110"/>
      <c r="CW10" s="110"/>
      <c r="CX10" s="114"/>
      <c r="CY10" s="114"/>
      <c r="CZ10" s="114"/>
      <c r="DA10" s="114" t="s">
        <v>116</v>
      </c>
      <c r="DB10" s="115"/>
      <c r="DC10" s="115"/>
      <c r="DD10" s="115"/>
      <c r="DE10" s="115" t="s">
        <v>116</v>
      </c>
      <c r="DU10" t="inlineStr">
        <is>
          <t xml:space="preserve">LATIN_012B</t>
        </is>
      </c>
      <c r="ED10" t="inlineStr">
        <is>
          <t xml:space="preserve">CYRILLIC_SM_I</t>
        </is>
      </c>
      <c r="EE10" t="inlineStr">
        <is>
          <t xml:space="preserve">CYRILLIC_I</t>
        </is>
      </c>
      <c r="EH10" t="inlineStr">
        <is>
          <t xml:space="preserve">CYRILLIC_SM_I</t>
        </is>
      </c>
      <c r="EI10" t="inlineStr">
        <is>
          <t xml:space="preserve">CYRILLIC_I</t>
        </is>
      </c>
      <c r="EL10" t="inlineStr">
        <is>
          <t xml:space="preserve">ARABIC_HEH</t>
        </is>
      </c>
      <c r="EN10" t="inlineStr">
        <is>
          <t xml:space="preserve">ARABIC_HEH</t>
        </is>
      </c>
      <c r="EP10" t="inlineStr">
        <is>
          <t xml:space="preserve">DEVANAGARI_0917</t>
        </is>
      </c>
      <c r="EQ10" t="inlineStr">
        <is>
          <t xml:space="preserve">DEVANAGARI_0918</t>
        </is>
      </c>
      <c r="ER10" t="inlineStr">
        <is>
          <t xml:space="preserve">DEVANAGARI_0917</t>
        </is>
      </c>
      <c r="ES10" t="inlineStr">
        <is>
          <t xml:space="preserve">DEVANAGARI_093C</t>
        </is>
      </c>
      <c r="ET10" t="inlineStr">
        <is>
          <t xml:space="preserve">DEVANAGARI_0917</t>
        </is>
      </c>
      <c r="EU10" t="inlineStr">
        <is>
          <t xml:space="preserve">DEVANAGARI_0918</t>
        </is>
      </c>
      <c r="EV10" t="inlineStr">
        <is>
          <t xml:space="preserve">DEVANAGARI_0917</t>
        </is>
      </c>
      <c r="EW10" t="inlineStr">
        <is>
          <t xml:space="preserve">DEVANAGARI_093C</t>
        </is>
      </c>
      <c r="EX10" t="inlineStr">
        <is>
          <t xml:space="preserve">DEVANAGARI_0917</t>
        </is>
      </c>
      <c r="EY10" t="inlineStr">
        <is>
          <t xml:space="preserve">DEVANAGARI_0918</t>
        </is>
      </c>
      <c r="EZ10" t="inlineStr">
        <is>
          <t xml:space="preserve">DEVANAGARI_0917</t>
        </is>
      </c>
      <c r="FB10" t="inlineStr">
        <is>
          <t xml:space="preserve">CYRILLIC_SM_SHA</t>
        </is>
      </c>
      <c r="FC10" t="inlineStr">
        <is>
          <t xml:space="preserve">CYRILLIC_SHA</t>
        </is>
      </c>
      <c r="FF10" t="inlineStr">
        <is>
          <t xml:space="preserve">ARABIC_BEH</t>
        </is>
      </c>
      <c r="FG10" t="inlineStr">
        <is>
          <t xml:space="preserve">ARABIC_TATWEEL</t>
        </is>
      </c>
      <c r="FH10" t="inlineStr">
        <is>
          <t xml:space="preserve">ARABIC_BEH</t>
        </is>
      </c>
      <c r="GD10" t="inlineStr">
        <is>
          <t xml:space="preserve">THAI_0E23</t>
        </is>
      </c>
      <c r="GE10" t="inlineStr">
        <is>
          <t xml:space="preserve">THAI_0E13</t>
        </is>
      </c>
      <c r="GF10" t="inlineStr">
        <is>
          <t xml:space="preserve">THAI_0E23</t>
        </is>
      </c>
      <c r="GH10" t="inlineStr">
        <is>
          <t xml:space="preserve">BENGALI_0997</t>
        </is>
      </c>
      <c r="GI10" t="inlineStr">
        <is>
          <t xml:space="preserve">BENGALI_0998</t>
        </is>
      </c>
      <c r="GJ10" t="inlineStr">
        <is>
          <t xml:space="preserve">BENGALI_0997</t>
        </is>
      </c>
      <c r="GL10" t="inlineStr">
        <is>
          <t xml:space="preserve">TELUGU_0C17</t>
        </is>
      </c>
      <c r="GM10" t="inlineStr">
        <is>
          <t xml:space="preserve">TELUGU_0C18</t>
        </is>
      </c>
      <c r="GN10" t="inlineStr">
        <is>
          <t xml:space="preserve">TELUGU_0C17</t>
        </is>
      </c>
      <c r="GT10" t="inlineStr">
        <is>
          <t xml:space="preserve">ZHUYIN_311B</t>
        </is>
      </c>
      <c r="GV10" t="inlineStr">
        <is>
          <t xml:space="preserve">ZHUYIN_311B</t>
        </is>
      </c>
      <c r="GX10" t="inlineStr">
        <is>
          <t xml:space="preserve">GEORGIAN_10D8</t>
        </is>
      </c>
      <c r="GZ10" t="inlineStr">
        <is>
          <t xml:space="preserve">GEORGIAN_10D8</t>
        </is>
      </c>
      <c r="HA10" t="inlineStr">
        <is>
          <t xml:space="preserve">GEORGIAN_10F2</t>
        </is>
      </c>
      <c r="HB10" t="inlineStr">
        <is>
          <t xml:space="preserve">ARMENIAN_056F</t>
        </is>
      </c>
      <c r="HC10" t="inlineStr">
        <is>
          <t xml:space="preserve">ARMENIAN_053F</t>
        </is>
      </c>
      <c r="HJ10" t="inlineStr">
        <is>
          <t xml:space="preserve">i</t>
        </is>
      </c>
      <c r="HK10" t="inlineStr">
        <is>
          <t xml:space="preserve">I_WITH_DOT</t>
        </is>
      </c>
      <c r="HV10" t="inlineStr">
        <is>
          <t xml:space="preserve">KANGXI_RADICAL_HALBERD</t>
        </is>
      </c>
      <c r="HW10" t="inlineStr">
        <is>
          <t xml:space="preserve">i</t>
        </is>
      </c>
      <c r="HX10" t="inlineStr">
        <is>
          <t xml:space="preserve">KANGXI_RADICAL_HALBERD</t>
        </is>
      </c>
      <c r="IK10" t="inlineStr">
        <is>
          <t xml:space="preserve">LATIN_012B</t>
        </is>
      </c>
      <c r="IO10" t="inlineStr">
        <is>
          <t xml:space="preserve">LATIN_012B</t>
        </is>
      </c>
      <c r="JA10" t="inlineStr">
        <is>
          <t xml:space="preserve">LATIN_012B</t>
        </is>
      </c>
      <c r="JE10" t="inlineStr">
        <is>
          <t xml:space="preserve">LATIN_00EF</t>
        </is>
      </c>
      <c r="JI10" t="inlineStr">
        <is>
          <t xml:space="preserve">LATIN_00EF</t>
        </is>
      </c>
      <c r="JJ10" t="inlineStr">
        <is>
          <t xml:space="preserve">ARABIC_HEH</t>
        </is>
      </c>
      <c r="JK10" t="inlineStr">
        <is>
          <t xml:space="preserve">DEVISION_SIGN</t>
        </is>
      </c>
      <c r="JL10" t="inlineStr">
        <is>
          <t xml:space="preserve">ARABIC_HEH</t>
        </is>
      </c>
      <c r="JR10" t="inlineStr">
        <is>
          <t xml:space="preserve">ETHIOPIC_12A2</t>
        </is>
      </c>
      <c r="JT10" t="inlineStr">
        <is>
          <t xml:space="preserve">ETHIOPIC_12A2</t>
        </is>
      </c>
      <c r="KD10" t="inlineStr">
        <is>
          <t xml:space="preserve">ARABIC_HEH</t>
        </is>
      </c>
      <c r="KE10" t="inlineStr">
        <is>
          <t xml:space="preserve">DEVISION_SIGN</t>
        </is>
      </c>
      <c r="KF10" t="inlineStr">
        <is>
          <t xml:space="preserve">ARABIC_HEH</t>
        </is>
      </c>
      <c r="KH10" t="inlineStr">
        <is>
          <t xml:space="preserve">ARABIC_HEH</t>
        </is>
      </c>
      <c r="KI10" t="inlineStr">
        <is>
          <t xml:space="preserve">DEVISION_SIGN</t>
        </is>
      </c>
      <c r="KJ10" t="inlineStr">
        <is>
          <t xml:space="preserve">ARABIC_HEH</t>
        </is>
      </c>
      <c r="KL10" t="inlineStr">
        <is>
          <t xml:space="preserve">ARABIC_HAH</t>
        </is>
      </c>
      <c r="KM10" t="inlineStr">
        <is>
          <t xml:space="preserve">ARABIC_AIN</t>
        </is>
      </c>
      <c r="KN10" t="inlineStr">
        <is>
          <t xml:space="preserve">ARABIC_HAH</t>
        </is>
      </c>
      <c r="OH10" t="inlineStr">
        <is>
          <t xml:space="preserve">i</t>
        </is>
      </c>
      <c r="OI10" t="inlineStr">
        <is>
          <t xml:space="preserve">I</t>
        </is>
      </c>
      <c r="OK10" t="inlineStr">
        <is>
          <t xml:space="preserve">I_WITH_ACUTE_SMALL</t>
        </is>
      </c>
      <c r="PB10" t="inlineStr">
        <is>
          <t xml:space="preserve">ARABIC_HEH</t>
        </is>
      </c>
      <c r="PC10" t="inlineStr">
        <is>
          <t xml:space="preserve">DEVISION_SIGN</t>
        </is>
      </c>
      <c r="PD10" t="inlineStr">
        <is>
          <t xml:space="preserve">ARABIC_HEH</t>
        </is>
      </c>
      <c r="PF10" t="inlineStr">
        <is>
          <t xml:space="preserve">ARABIC_HEH</t>
        </is>
      </c>
      <c r="PG10" t="inlineStr">
        <is>
          <t xml:space="preserve">DEVISION_SIGN</t>
        </is>
      </c>
      <c r="PH10" t="inlineStr">
        <is>
          <t xml:space="preserve">ARABIC_HEH</t>
        </is>
      </c>
      <c r="PJ10" t="inlineStr">
        <is>
          <t xml:space="preserve">ARABIC_HEH</t>
        </is>
      </c>
      <c r="PK10" t="inlineStr">
        <is>
          <t xml:space="preserve">DEVISION_SIGN</t>
        </is>
      </c>
      <c r="PL10" t="inlineStr">
        <is>
          <t xml:space="preserve">ARABIC_HEH</t>
        </is>
      </c>
      <c r="PN10" t="inlineStr">
        <is>
          <t xml:space="preserve">ARABIC_HEH</t>
        </is>
      </c>
      <c r="PO10" t="inlineStr">
        <is>
          <t xml:space="preserve">DEVISION_SIGN</t>
        </is>
      </c>
      <c r="PP10" t="inlineStr">
        <is>
          <t xml:space="preserve">ARABIC_HEH</t>
        </is>
      </c>
      <c r="PR10" t="inlineStr">
        <is>
          <t xml:space="preserve">ARABIC_HEH</t>
        </is>
      </c>
      <c r="PS10" t="inlineStr">
        <is>
          <t xml:space="preserve">DEVISION_SIGN</t>
        </is>
      </c>
      <c r="PT10" t="inlineStr">
        <is>
          <t xml:space="preserve">ARABIC_HEH</t>
        </is>
      </c>
      <c r="PV10" t="inlineStr">
        <is>
          <t xml:space="preserve">ARABIC_HEH</t>
        </is>
      </c>
      <c r="PW10" t="inlineStr">
        <is>
          <t xml:space="preserve">DEVISION_SIGN</t>
        </is>
      </c>
      <c r="PX10" t="inlineStr">
        <is>
          <t xml:space="preserve">ARABIC_HEH</t>
        </is>
      </c>
      <c r="PZ10" t="inlineStr">
        <is>
          <t xml:space="preserve">ARABIC_HEH</t>
        </is>
      </c>
      <c r="QA10" t="inlineStr">
        <is>
          <t xml:space="preserve">DEVISION_SIGN</t>
        </is>
      </c>
      <c r="QB10" t="inlineStr">
        <is>
          <t xml:space="preserve">ARABIC_HEH</t>
        </is>
      </c>
      <c r="QD10" t="inlineStr">
        <is>
          <t xml:space="preserve">ARABIC_HEH</t>
        </is>
      </c>
      <c r="QE10" t="inlineStr">
        <is>
          <t xml:space="preserve">DEVISION_SIGN</t>
        </is>
      </c>
      <c r="QF10" t="inlineStr">
        <is>
          <t xml:space="preserve">ARABIC_HEH</t>
        </is>
      </c>
      <c r="QH10" t="inlineStr">
        <is>
          <t xml:space="preserve">ARABIC_HEH</t>
        </is>
      </c>
      <c r="QI10" t="inlineStr">
        <is>
          <t xml:space="preserve">DEVISION_SIGN</t>
        </is>
      </c>
      <c r="QJ10" t="inlineStr">
        <is>
          <t xml:space="preserve">ARABIC_HEH</t>
        </is>
      </c>
      <c r="QL10" t="inlineStr">
        <is>
          <t xml:space="preserve">ARABIC_HEH</t>
        </is>
      </c>
      <c r="QM10" t="inlineStr">
        <is>
          <t xml:space="preserve">DEVISION_SIGN</t>
        </is>
      </c>
      <c r="QN10" t="inlineStr">
        <is>
          <t xml:space="preserve">ARABIC_HEH</t>
        </is>
      </c>
      <c r="QP10" t="inlineStr">
        <is>
          <t xml:space="preserve">ARABIC_HEH</t>
        </is>
      </c>
      <c r="QQ10" t="inlineStr">
        <is>
          <t xml:space="preserve">DEVISION_SIGN</t>
        </is>
      </c>
      <c r="QR10" t="inlineStr">
        <is>
          <t xml:space="preserve">ARABIC_HEH</t>
        </is>
      </c>
      <c r="QT10" t="inlineStr">
        <is>
          <t xml:space="preserve">ARABIC_HEH</t>
        </is>
      </c>
      <c r="QU10" t="inlineStr">
        <is>
          <t xml:space="preserve">DEVISION_SIGN</t>
        </is>
      </c>
      <c r="QV10" t="inlineStr">
        <is>
          <t xml:space="preserve">ARABIC_HEH</t>
        </is>
      </c>
      <c r="QX10" t="inlineStr">
        <is>
          <t xml:space="preserve">ARABIC_HEH</t>
        </is>
      </c>
      <c r="QY10" t="inlineStr">
        <is>
          <t xml:space="preserve">DEVISION_SIGN</t>
        </is>
      </c>
      <c r="QZ10" t="inlineStr">
        <is>
          <t xml:space="preserve">ARABIC_HEH</t>
        </is>
      </c>
      <c r="RB10" t="inlineStr">
        <is>
          <t xml:space="preserve">ARABIC_HEH</t>
        </is>
      </c>
      <c r="RC10" t="inlineStr">
        <is>
          <t xml:space="preserve">DEVISION_SIGN</t>
        </is>
      </c>
      <c r="RD10" t="inlineStr">
        <is>
          <t xml:space="preserve">ARABIC_HEH</t>
        </is>
      </c>
      <c r="SX10" t="inlineStr">
        <is>
          <t xml:space="preserve">BENGALI_0997</t>
        </is>
      </c>
      <c r="SY10" t="inlineStr">
        <is>
          <t xml:space="preserve">BENGALI_0998</t>
        </is>
      </c>
      <c r="SZ10" t="inlineStr">
        <is>
          <t xml:space="preserve">BENGALI_0997</t>
        </is>
      </c>
      <c r="TA10" t="inlineStr">
        <is>
          <t xml:space="preserve">BENGALI_09BD</t>
        </is>
      </c>
      <c r="TU10" t="inlineStr">
        <is>
          <t xml:space="preserve">LATIN_00EF</t>
        </is>
      </c>
      <c r="TV10" t="inlineStr">
        <is>
          <t xml:space="preserve">CYRILLIC_SM_SHA</t>
        </is>
      </c>
      <c r="TW10" t="inlineStr">
        <is>
          <t xml:space="preserve">CYRILLIC_SHA</t>
        </is>
      </c>
      <c r="TZ10" t="inlineStr">
        <is>
          <t xml:space="preserve">CYRILLIC_SM_SHA</t>
        </is>
      </c>
      <c r="UA10" t="inlineStr">
        <is>
          <t xml:space="preserve">CYRILLIC_SHA</t>
        </is>
      </c>
      <c r="VA10" t="inlineStr">
        <is>
          <t xml:space="preserve">LATIN_012B</t>
        </is>
      </c>
      <c r="VE10" t="inlineStr">
        <is>
          <t xml:space="preserve">LATIN_00EF</t>
        </is>
      </c>
      <c r="VR10" t="inlineStr">
        <is>
          <t xml:space="preserve">i</t>
        </is>
      </c>
      <c r="VS10" t="inlineStr">
        <is>
          <t xml:space="preserve">I</t>
        </is>
      </c>
      <c r="VU10" t="inlineStr">
        <is>
          <t xml:space="preserve">I_WITH_ACUTE_SMALL</t>
        </is>
      </c>
      <c r="VV10" t="inlineStr">
        <is>
          <t xml:space="preserve">i</t>
        </is>
      </c>
      <c r="VW10" t="inlineStr">
        <is>
          <t xml:space="preserve">I</t>
        </is>
      </c>
      <c r="VY10" t="inlineStr">
        <is>
          <t xml:space="preserve">I_WITH_GRAVE_SMALL</t>
        </is>
      </c>
      <c r="WG10" t="inlineStr">
        <is>
          <t xml:space="preserve">LATIN_00EF</t>
        </is>
      </c>
      <c r="WH10" t="inlineStr">
        <is>
          <t xml:space="preserve">i</t>
        </is>
      </c>
      <c r="WI10" t="inlineStr">
        <is>
          <t xml:space="preserve">I</t>
        </is>
      </c>
      <c r="WK10" t="inlineStr">
        <is>
          <t xml:space="preserve">LATIN_0129</t>
        </is>
      </c>
      <c r="WT10" t="inlineStr">
        <is>
          <t xml:space="preserve">i</t>
        </is>
      </c>
      <c r="WU10" t="inlineStr">
        <is>
          <t xml:space="preserve">I</t>
        </is>
      </c>
      <c r="WW10" t="inlineStr">
        <is>
          <t xml:space="preserve">LATIN_012F</t>
        </is>
      </c>
      <c r="XB10" t="inlineStr">
        <is>
          <t xml:space="preserve">ARABIC_HEH</t>
        </is>
      </c>
      <c r="XF10" t="inlineStr">
        <is>
          <t xml:space="preserve">UCAS_14C2</t>
        </is>
      </c>
      <c r="XG10" t="inlineStr">
        <is>
          <t xml:space="preserve">UCAS_15A4</t>
        </is>
      </c>
      <c r="XH10" t="inlineStr">
        <is>
          <t xml:space="preserve">UCAS_14C2</t>
        </is>
      </c>
      <c r="XJ10" t="inlineStr">
        <is>
          <t xml:space="preserve">i</t>
        </is>
      </c>
      <c r="XK10" t="inlineStr">
        <is>
          <t xml:space="preserve">I</t>
        </is>
      </c>
      <c r="XM10" t="inlineStr">
        <is>
          <t xml:space="preserve">UCAS_1403</t>
        </is>
      </c>
      <c r="XN10" t="inlineStr">
        <is>
          <t xml:space="preserve">CHEROKEE_13A2</t>
        </is>
      </c>
      <c r="XO10" t="inlineStr">
        <is>
          <t xml:space="preserve">CHEROKEE_13F1</t>
        </is>
      </c>
      <c r="XP10" t="inlineStr">
        <is>
          <t xml:space="preserve">CHEROKEE_13A2</t>
        </is>
      </c>
      <c r="XQ10" t="inlineStr">
        <is>
          <t xml:space="preserve">i</t>
        </is>
      </c>
    </row>
    <row r="11" s="116" customFormat="true" ht="15.95" hidden="false" customHeight="true" outlineLevel="0" collapsed="false">
      <c r="A11" s="93" t="s">
        <v>1164</v>
      </c>
      <c r="B11" s="94" t="s">
        <v>1165</v>
      </c>
      <c r="C11" s="94" t="s">
        <v>1166</v>
      </c>
      <c r="D11" s="94"/>
      <c r="E11" s="94"/>
      <c r="F11" s="95"/>
      <c r="G11" s="95"/>
      <c r="H11" s="95"/>
      <c r="I11" s="95"/>
      <c r="J11" s="96"/>
      <c r="K11" s="96"/>
      <c r="L11" s="96"/>
      <c r="M11" s="96"/>
      <c r="N11" s="97"/>
      <c r="O11" s="97"/>
      <c r="P11" s="97"/>
      <c r="Q11" s="97"/>
      <c r="R11" s="98"/>
      <c r="S11" s="98"/>
      <c r="T11" s="98"/>
      <c r="U11" s="98"/>
      <c r="V11" s="99"/>
      <c r="W11" s="99"/>
      <c r="X11" s="99"/>
      <c r="Y11" s="99"/>
      <c r="Z11" s="100"/>
      <c r="AA11" s="100"/>
      <c r="AB11" s="100"/>
      <c r="AC11" s="100"/>
      <c r="AD11" s="101" t="s">
        <v>664</v>
      </c>
      <c r="AE11" s="101"/>
      <c r="AF11" s="101"/>
      <c r="AG11" s="101"/>
      <c r="AH11" t="inlineStr">
        <is>
          <t xml:space="preserve">j</t>
        </is>
      </c>
      <c r="AI11" t="inlineStr">
        <is>
          <t xml:space="preserve">J</t>
        </is>
      </c>
      <c r="AK11" t="inlineStr">
        <is>
          <t xml:space="preserve">HIRAGANA_MA</t>
        </is>
      </c>
      <c r="AL11" s="103" t="s">
        <v>532</v>
      </c>
      <c r="AM11" s="117" t="s">
        <v>588</v>
      </c>
      <c r="AN11" s="103" t="s">
        <v>532</v>
      </c>
      <c r="AO11" s="103"/>
      <c r="AP11" s="104" t="s">
        <v>280</v>
      </c>
      <c r="AQ11" s="118" t="s">
        <v>232</v>
      </c>
      <c r="AR11" s="104"/>
      <c r="AS11" s="104"/>
      <c r="AT11" s="105" t="s">
        <v>378</v>
      </c>
      <c r="AU11" s="119" t="s">
        <v>334</v>
      </c>
      <c r="AV11" s="105"/>
      <c r="AW11" s="105"/>
      <c r="AX11" s="106" t="s">
        <v>378</v>
      </c>
      <c r="AY11" s="120" t="s">
        <v>334</v>
      </c>
      <c r="AZ11" s="106"/>
      <c r="BA11" s="106"/>
      <c r="BB11" s="107" t="s">
        <v>378</v>
      </c>
      <c r="BC11" s="121" t="s">
        <v>334</v>
      </c>
      <c r="BD11" s="107"/>
      <c r="BE11" s="107"/>
      <c r="BF11" s="108" t="s">
        <v>378</v>
      </c>
      <c r="BG11" s="122" t="s">
        <v>334</v>
      </c>
      <c r="BH11" s="108"/>
      <c r="BI11" s="108"/>
      <c r="BJ11" s="109" t="s">
        <v>384</v>
      </c>
      <c r="BK11" s="123" t="s">
        <v>340</v>
      </c>
      <c r="BL11" s="109"/>
      <c r="BM11" s="109"/>
      <c r="BN11" s="95"/>
      <c r="BO11" s="95"/>
      <c r="BP11" s="95"/>
      <c r="BQ11" s="95"/>
      <c r="BR11" s="110"/>
      <c r="BS11" s="110"/>
      <c r="BT11" s="110"/>
      <c r="BU11" s="110"/>
      <c r="BZ11" s="111"/>
      <c r="CA11" s="111"/>
      <c r="CB11" s="111"/>
      <c r="CC11" s="111"/>
      <c r="CD11" s="95" t="s">
        <v>478</v>
      </c>
      <c r="CE11" s="95"/>
      <c r="CF11" s="95"/>
      <c r="CG11" s="95" t="s">
        <v>499</v>
      </c>
      <c r="CH11" s="112"/>
      <c r="CI11" s="112"/>
      <c r="CJ11" s="112"/>
      <c r="CK11" s="112"/>
      <c r="CL11" s="113"/>
      <c r="CM11" s="113"/>
      <c r="CN11" s="113"/>
      <c r="CO11" s="113"/>
      <c r="CP11" s="84"/>
      <c r="CQ11" s="84"/>
      <c r="CR11" s="84"/>
      <c r="CS11" s="84"/>
      <c r="CT11" s="110"/>
      <c r="CU11" s="110"/>
      <c r="CV11" s="110"/>
      <c r="CW11" s="110"/>
      <c r="CX11" s="114"/>
      <c r="CY11" s="114"/>
      <c r="CZ11" s="114"/>
      <c r="DA11" s="126" t="s">
        <v>151</v>
      </c>
      <c r="DB11" s="115"/>
      <c r="DC11" s="115"/>
      <c r="DD11" s="115"/>
      <c r="DE11" s="127" t="s">
        <v>151</v>
      </c>
      <c r="ED11" t="inlineStr">
        <is>
          <t xml:space="preserve">CYRILLIC_SM_JE</t>
        </is>
      </c>
      <c r="EE11" t="inlineStr">
        <is>
          <t xml:space="preserve">CYRILLIC_JE</t>
        </is>
      </c>
      <c r="EH11" t="inlineStr">
        <is>
          <t xml:space="preserve">CYRILLIC_SM_JE</t>
        </is>
      </c>
      <c r="EI11" t="inlineStr">
        <is>
          <t xml:space="preserve">CYRILLIC_JE</t>
        </is>
      </c>
      <c r="EL11" t="inlineStr">
        <is>
          <t xml:space="preserve">ARABIC_TEH</t>
        </is>
      </c>
      <c r="EN11" t="inlineStr">
        <is>
          <t xml:space="preserve">ARABIC_TEH</t>
        </is>
      </c>
      <c r="EP11" t="inlineStr">
        <is>
          <t xml:space="preserve">DEVANAGARI_0930</t>
        </is>
      </c>
      <c r="EQ11" t="inlineStr">
        <is>
          <t xml:space="preserve">DEVANAGARI_0931</t>
        </is>
      </c>
      <c r="ER11" t="inlineStr">
        <is>
          <t xml:space="preserve">DEVANAGARI_0930</t>
        </is>
      </c>
      <c r="ET11" t="inlineStr">
        <is>
          <t xml:space="preserve">DEVANAGARI_0930</t>
        </is>
      </c>
      <c r="EU11" t="inlineStr">
        <is>
          <t xml:space="preserve">DEVANAGARI_0931</t>
        </is>
      </c>
      <c r="EV11" t="inlineStr">
        <is>
          <t xml:space="preserve">DEVANAGARI_0930</t>
        </is>
      </c>
      <c r="EX11" t="inlineStr">
        <is>
          <t xml:space="preserve">DEVANAGARI_0930</t>
        </is>
      </c>
      <c r="EY11" t="inlineStr">
        <is>
          <t xml:space="preserve">DEVANAGARI_0931</t>
        </is>
      </c>
      <c r="EZ11" t="inlineStr">
        <is>
          <t xml:space="preserve">DEVANAGARI_0930</t>
        </is>
      </c>
      <c r="FB11" t="inlineStr">
        <is>
          <t xml:space="preserve">CYRILLIC_SM_ER</t>
        </is>
      </c>
      <c r="FC11" t="inlineStr">
        <is>
          <t xml:space="preserve">CYRILLIC_ER</t>
        </is>
      </c>
      <c r="FE11" t="inlineStr">
        <is>
          <t xml:space="preserve">CYRILLIC_SM_E</t>
        </is>
      </c>
      <c r="FF11" t="inlineStr">
        <is>
          <t xml:space="preserve">ARABIC_ALEF</t>
        </is>
      </c>
      <c r="FG11" t="inlineStr">
        <is>
          <t xml:space="preserve">ARABIC_ALEF_MADDA_A</t>
        </is>
      </c>
      <c r="FH11" t="inlineStr">
        <is>
          <t xml:space="preserve">ARABIC_ALEF</t>
        </is>
      </c>
      <c r="GD11" t="inlineStr">
        <is>
          <t xml:space="preserve">THAI_DC_0E48</t>
        </is>
      </c>
      <c r="GE11" t="inlineStr">
        <is>
          <t xml:space="preserve">THAI_DC_0E4B</t>
        </is>
      </c>
      <c r="GF11" t="inlineStr">
        <is>
          <t xml:space="preserve">THAI_DC_0E48</t>
        </is>
      </c>
      <c r="GH11" t="inlineStr">
        <is>
          <t xml:space="preserve">BENGALI_09B0</t>
        </is>
      </c>
      <c r="GJ11" t="inlineStr">
        <is>
          <t xml:space="preserve">BENGALI_09B0</t>
        </is>
      </c>
      <c r="GL11" t="inlineStr">
        <is>
          <t xml:space="preserve">TELUGU_0C30</t>
        </is>
      </c>
      <c r="GM11" t="inlineStr">
        <is>
          <t xml:space="preserve">TELUGU_0C31</t>
        </is>
      </c>
      <c r="GN11" t="inlineStr">
        <is>
          <t xml:space="preserve">TELUGU_0C30</t>
        </is>
      </c>
      <c r="GP11" t="inlineStr">
        <is>
          <t xml:space="preserve">TAMIL_0BB0</t>
        </is>
      </c>
      <c r="GQ11" t="inlineStr">
        <is>
          <t xml:space="preserve">TAMIL_0BB1</t>
        </is>
      </c>
      <c r="GR11" t="inlineStr">
        <is>
          <t xml:space="preserve">TAMIL_0BB0</t>
        </is>
      </c>
      <c r="GT11" t="inlineStr">
        <is>
          <t xml:space="preserve">ZHUYIN_3128</t>
        </is>
      </c>
      <c r="GV11" t="inlineStr">
        <is>
          <t xml:space="preserve">ZHUYIN_3128</t>
        </is>
      </c>
      <c r="GX11" t="inlineStr">
        <is>
          <t xml:space="preserve">GEORGIAN_10EF</t>
        </is>
      </c>
      <c r="GY11" t="inlineStr">
        <is>
          <t xml:space="preserve">GEORGIAN_10DF</t>
        </is>
      </c>
      <c r="GZ11" t="inlineStr">
        <is>
          <t xml:space="preserve">GEORGIAN_10EF</t>
        </is>
      </c>
      <c r="HB11" t="inlineStr">
        <is>
          <t xml:space="preserve">ARMENIAN_056B</t>
        </is>
      </c>
      <c r="HC11" t="inlineStr">
        <is>
          <t xml:space="preserve">ARMENIAN_053B</t>
        </is>
      </c>
      <c r="HV11" t="inlineStr">
        <is>
          <t xml:space="preserve">KANGXI_RADICAL_TEN</t>
        </is>
      </c>
      <c r="HW11" t="inlineStr">
        <is>
          <t xml:space="preserve">j</t>
        </is>
      </c>
      <c r="HX11" t="inlineStr">
        <is>
          <t xml:space="preserve">KANGXI_RADICAL_TEN</t>
        </is>
      </c>
      <c r="JJ11" t="inlineStr">
        <is>
          <t xml:space="preserve">ARABIC_TEH</t>
        </is>
      </c>
      <c r="JK11" t="inlineStr">
        <is>
          <t xml:space="preserve">ARABIC_TATWEEL</t>
        </is>
      </c>
      <c r="JL11" t="inlineStr">
        <is>
          <t xml:space="preserve">ARABIC_TEH</t>
        </is>
      </c>
      <c r="JR11" t="inlineStr">
        <is>
          <t xml:space="preserve">ETHIOPIC_1300</t>
        </is>
      </c>
      <c r="JT11" t="inlineStr">
        <is>
          <t xml:space="preserve">ETHIOPIC_1300</t>
        </is>
      </c>
      <c r="KD11" t="inlineStr">
        <is>
          <t xml:space="preserve">ARABIC_TEH</t>
        </is>
      </c>
      <c r="KE11" t="inlineStr">
        <is>
          <t xml:space="preserve">ARABIC_TATWEEL</t>
        </is>
      </c>
      <c r="KF11" t="inlineStr">
        <is>
          <t xml:space="preserve">ARABIC_TEH</t>
        </is>
      </c>
      <c r="KH11" t="inlineStr">
        <is>
          <t xml:space="preserve">ARABIC_TEH</t>
        </is>
      </c>
      <c r="KI11" t="inlineStr">
        <is>
          <t xml:space="preserve">ARABIC_TATWEEL</t>
        </is>
      </c>
      <c r="KJ11" t="inlineStr">
        <is>
          <t xml:space="preserve">ARABIC_TEH</t>
        </is>
      </c>
      <c r="KL11" t="inlineStr">
        <is>
          <t xml:space="preserve">ARABIC_JEH</t>
        </is>
      </c>
      <c r="KM11" t="inlineStr">
        <is>
          <t xml:space="preserve">ARABIC_ALEF_HAMZA_A</t>
        </is>
      </c>
      <c r="KN11" t="inlineStr">
        <is>
          <t xml:space="preserve">ARABIC_JEH</t>
        </is>
      </c>
      <c r="PB11" t="inlineStr">
        <is>
          <t xml:space="preserve">ARABIC_TEH</t>
        </is>
      </c>
      <c r="PC11" t="inlineStr">
        <is>
          <t xml:space="preserve">ARABIC_TATWEEL</t>
        </is>
      </c>
      <c r="PD11" t="inlineStr">
        <is>
          <t xml:space="preserve">ARABIC_TEH</t>
        </is>
      </c>
      <c r="PF11" t="inlineStr">
        <is>
          <t xml:space="preserve">ARABIC_TEH</t>
        </is>
      </c>
      <c r="PG11" t="inlineStr">
        <is>
          <t xml:space="preserve">ARABIC_TATWEEL</t>
        </is>
      </c>
      <c r="PH11" t="inlineStr">
        <is>
          <t xml:space="preserve">ARABIC_TEH</t>
        </is>
      </c>
      <c r="PJ11" t="inlineStr">
        <is>
          <t xml:space="preserve">ARABIC_TEH</t>
        </is>
      </c>
      <c r="PK11" t="inlineStr">
        <is>
          <t xml:space="preserve">ARABIC_TATWEEL</t>
        </is>
      </c>
      <c r="PL11" t="inlineStr">
        <is>
          <t xml:space="preserve">ARABIC_TEH</t>
        </is>
      </c>
      <c r="PN11" t="inlineStr">
        <is>
          <t xml:space="preserve">ARABIC_TEH</t>
        </is>
      </c>
      <c r="PO11" t="inlineStr">
        <is>
          <t xml:space="preserve">ARABIC_TATWEEL</t>
        </is>
      </c>
      <c r="PP11" t="inlineStr">
        <is>
          <t xml:space="preserve">ARABIC_TEH</t>
        </is>
      </c>
      <c r="PR11" t="inlineStr">
        <is>
          <t xml:space="preserve">ARABIC_TEH</t>
        </is>
      </c>
      <c r="PS11" t="inlineStr">
        <is>
          <t xml:space="preserve">ARABIC_TATWEEL</t>
        </is>
      </c>
      <c r="PT11" t="inlineStr">
        <is>
          <t xml:space="preserve">ARABIC_TEH</t>
        </is>
      </c>
      <c r="PV11" t="inlineStr">
        <is>
          <t xml:space="preserve">ARABIC_TEH</t>
        </is>
      </c>
      <c r="PW11" t="inlineStr">
        <is>
          <t xml:space="preserve">ARABIC_TATWEEL</t>
        </is>
      </c>
      <c r="PX11" t="inlineStr">
        <is>
          <t xml:space="preserve">ARABIC_TEH</t>
        </is>
      </c>
      <c r="PZ11" t="inlineStr">
        <is>
          <t xml:space="preserve">ARABIC_TEH</t>
        </is>
      </c>
      <c r="QA11" t="inlineStr">
        <is>
          <t xml:space="preserve">ARABIC_TATWEEL</t>
        </is>
      </c>
      <c r="QB11" t="inlineStr">
        <is>
          <t xml:space="preserve">ARABIC_TEH</t>
        </is>
      </c>
      <c r="QD11" t="inlineStr">
        <is>
          <t xml:space="preserve">ARABIC_TEH</t>
        </is>
      </c>
      <c r="QE11" t="inlineStr">
        <is>
          <t xml:space="preserve">ARABIC_TATWEEL</t>
        </is>
      </c>
      <c r="QF11" t="inlineStr">
        <is>
          <t xml:space="preserve">ARABIC_TEH</t>
        </is>
      </c>
      <c r="QH11" t="inlineStr">
        <is>
          <t xml:space="preserve">ARABIC_TEH</t>
        </is>
      </c>
      <c r="QI11" t="inlineStr">
        <is>
          <t xml:space="preserve">ARABIC_TATWEEL</t>
        </is>
      </c>
      <c r="QJ11" t="inlineStr">
        <is>
          <t xml:space="preserve">ARABIC_TEH</t>
        </is>
      </c>
      <c r="QL11" t="inlineStr">
        <is>
          <t xml:space="preserve">ARABIC_TEH</t>
        </is>
      </c>
      <c r="QM11" t="inlineStr">
        <is>
          <t xml:space="preserve">ARABIC_TATWEEL</t>
        </is>
      </c>
      <c r="QN11" t="inlineStr">
        <is>
          <t xml:space="preserve">ARABIC_TEH</t>
        </is>
      </c>
      <c r="QP11" t="inlineStr">
        <is>
          <t xml:space="preserve">ARABIC_TEH</t>
        </is>
      </c>
      <c r="QQ11" t="inlineStr">
        <is>
          <t xml:space="preserve">ARABIC_TATWEEL</t>
        </is>
      </c>
      <c r="QR11" t="inlineStr">
        <is>
          <t xml:space="preserve">ARABIC_TEH</t>
        </is>
      </c>
      <c r="QT11" t="inlineStr">
        <is>
          <t xml:space="preserve">ARABIC_TEH</t>
        </is>
      </c>
      <c r="QU11" t="inlineStr">
        <is>
          <t xml:space="preserve">ARABIC_TATWEEL</t>
        </is>
      </c>
      <c r="QV11" t="inlineStr">
        <is>
          <t xml:space="preserve">ARABIC_TEH</t>
        </is>
      </c>
      <c r="QX11" t="inlineStr">
        <is>
          <t xml:space="preserve">ARABIC_TEH</t>
        </is>
      </c>
      <c r="QY11" t="inlineStr">
        <is>
          <t xml:space="preserve">ARABIC_TATWEEL</t>
        </is>
      </c>
      <c r="QZ11" t="inlineStr">
        <is>
          <t xml:space="preserve">ARABIC_TEH</t>
        </is>
      </c>
      <c r="RB11" t="inlineStr">
        <is>
          <t xml:space="preserve">ARABIC_TEH</t>
        </is>
      </c>
      <c r="RC11" t="inlineStr">
        <is>
          <t xml:space="preserve">ARABIC_TATWEEL</t>
        </is>
      </c>
      <c r="RD11" t="inlineStr">
        <is>
          <t xml:space="preserve">ARABIC_TEH</t>
        </is>
      </c>
      <c r="SX11" t="inlineStr">
        <is>
          <t xml:space="preserve">BENGALI_09B0</t>
        </is>
      </c>
      <c r="SZ11" t="inlineStr">
        <is>
          <t xml:space="preserve">BENGALI_09B0</t>
        </is>
      </c>
      <c r="TV11" t="inlineStr">
        <is>
          <t xml:space="preserve">CYRILLIC_SM_O</t>
        </is>
      </c>
      <c r="TW11" t="inlineStr">
        <is>
          <t xml:space="preserve">CYRILLIC_O</t>
        </is>
      </c>
      <c r="TZ11" t="inlineStr">
        <is>
          <t xml:space="preserve">CYRILLIC_SM_O</t>
        </is>
      </c>
      <c r="UA11" t="inlineStr">
        <is>
          <t xml:space="preserve">CYRILLIC_O</t>
        </is>
      </c>
      <c r="VE11" t="inlineStr">
        <is>
          <t xml:space="preserve">U_WITH_ACUTE_SMALL</t>
        </is>
      </c>
      <c r="XB11" t="inlineStr">
        <is>
          <t xml:space="preserve">U"\f" ARABIC_TEH</t>
        </is>
      </c>
      <c r="XC11" t="inlineStr">
        <is>
          <t xml:space="preserve">U"\f" ARABIC_067C</t>
        </is>
      </c>
      <c r="XD11" t="inlineStr">
        <is>
          <t xml:space="preserve">ARABIC_062A</t>
        </is>
      </c>
      <c r="XF11" t="inlineStr">
        <is>
          <t xml:space="preserve">UCAS_14A7</t>
        </is>
      </c>
      <c r="XG11" t="inlineStr">
        <is>
          <t xml:space="preserve">UCAS_152A</t>
        </is>
      </c>
      <c r="XH11" t="inlineStr">
        <is>
          <t xml:space="preserve">UCAS_14A7</t>
        </is>
      </c>
      <c r="XN11" t="inlineStr">
        <is>
          <t xml:space="preserve">CHEROKEE_13DA</t>
        </is>
      </c>
      <c r="XO11" t="inlineStr">
        <is>
          <t xml:space="preserve">CHEROKEE_13AB</t>
        </is>
      </c>
      <c r="XP11" t="inlineStr">
        <is>
          <t xml:space="preserve">CHEROKEE_13DA</t>
        </is>
      </c>
      <c r="XQ11" t="inlineStr">
        <is>
          <t xml:space="preserve">j</t>
        </is>
      </c>
    </row>
    <row r="12" s="116" customFormat="true" ht="15.95" hidden="false" customHeight="true" outlineLevel="0" collapsed="false">
      <c r="A12" s="93" t="s">
        <v>1167</v>
      </c>
      <c r="B12" s="94" t="s">
        <v>1168</v>
      </c>
      <c r="C12" s="94" t="s">
        <v>1169</v>
      </c>
      <c r="D12" s="94"/>
      <c r="E12" s="94"/>
      <c r="F12" s="95"/>
      <c r="G12" s="95"/>
      <c r="H12" s="95"/>
      <c r="I12" s="95"/>
      <c r="J12" s="96"/>
      <c r="K12" s="96"/>
      <c r="L12" s="96"/>
      <c r="M12" s="96"/>
      <c r="N12" s="97"/>
      <c r="O12" s="97"/>
      <c r="P12" s="97"/>
      <c r="Q12" s="97"/>
      <c r="R12" s="98"/>
      <c r="S12" s="98"/>
      <c r="T12" s="98"/>
      <c r="U12" s="98"/>
      <c r="V12" s="99"/>
      <c r="W12" s="99"/>
      <c r="X12" s="99"/>
      <c r="Y12" s="99"/>
      <c r="Z12" s="100"/>
      <c r="AA12" s="100"/>
      <c r="AB12" s="100"/>
      <c r="AC12" s="100"/>
      <c r="AD12" s="101" t="s">
        <v>660</v>
      </c>
      <c r="AE12" s="101"/>
      <c r="AF12" s="101"/>
      <c r="AG12" s="101"/>
      <c r="AH12" t="inlineStr">
        <is>
          <t xml:space="preserve">k</t>
        </is>
      </c>
      <c r="AI12" t="inlineStr">
        <is>
          <t xml:space="preserve">K</t>
        </is>
      </c>
      <c r="AK12" t="inlineStr">
        <is>
          <t xml:space="preserve">HIRAGANA_NO</t>
        </is>
      </c>
      <c r="AL12" s="103" t="s">
        <v>600</v>
      </c>
      <c r="AM12" s="117" t="s">
        <v>503</v>
      </c>
      <c r="AN12" s="103" t="s">
        <v>600</v>
      </c>
      <c r="AO12" s="103"/>
      <c r="AP12" s="104" t="s">
        <v>272</v>
      </c>
      <c r="AQ12" s="118" t="s">
        <v>224</v>
      </c>
      <c r="AR12" s="104"/>
      <c r="AS12" s="104"/>
      <c r="AT12" s="105" t="s">
        <v>372</v>
      </c>
      <c r="AU12" s="119" t="s">
        <v>328</v>
      </c>
      <c r="AV12" s="105"/>
      <c r="AW12" t="inlineStr">
        <is>
          <t xml:space="preserve">CYRILLIC_SM_LJE</t>
        </is>
      </c>
      <c r="AX12" s="106" t="s">
        <v>372</v>
      </c>
      <c r="AY12" s="120" t="s">
        <v>328</v>
      </c>
      <c r="AZ12" s="106"/>
      <c r="BA12" s="106"/>
      <c r="BB12" s="107" t="s">
        <v>372</v>
      </c>
      <c r="BC12" s="121" t="s">
        <v>328</v>
      </c>
      <c r="BD12" s="107"/>
      <c r="BE12" s="107"/>
      <c r="BF12" s="108" t="s">
        <v>372</v>
      </c>
      <c r="BG12" s="122" t="s">
        <v>328</v>
      </c>
      <c r="BH12" s="108"/>
      <c r="BI12" s="108"/>
      <c r="BJ12" s="109" t="s">
        <v>376</v>
      </c>
      <c r="BK12" s="123" t="s">
        <v>332</v>
      </c>
      <c r="BL12" s="109"/>
      <c r="BM12" s="109"/>
      <c r="BN12" s="95"/>
      <c r="BO12" s="95"/>
      <c r="BP12" s="95"/>
      <c r="BQ12" s="95"/>
      <c r="BR12" s="110"/>
      <c r="BS12" s="110"/>
      <c r="BT12" s="110"/>
      <c r="BU12" s="110"/>
      <c r="BZ12" s="111"/>
      <c r="CA12" s="111"/>
      <c r="CB12" s="111"/>
      <c r="CC12" s="111"/>
      <c r="CD12" s="95" t="s">
        <v>483</v>
      </c>
      <c r="CE12" s="95"/>
      <c r="CF12" s="95"/>
      <c r="CG12" s="95"/>
      <c r="CH12" s="112"/>
      <c r="CI12" s="112"/>
      <c r="CJ12" s="112"/>
      <c r="CK12" s="112"/>
      <c r="CL12" s="113"/>
      <c r="CM12" s="113"/>
      <c r="CN12" s="113"/>
      <c r="CO12" s="113"/>
      <c r="CP12" s="84"/>
      <c r="CQ12" s="84"/>
      <c r="CR12" s="84"/>
      <c r="CS12" s="84"/>
      <c r="CT12" s="110"/>
      <c r="CU12" s="110"/>
      <c r="CV12" s="110"/>
      <c r="CW12" s="110"/>
      <c r="CX12" s="114"/>
      <c r="CY12" s="114"/>
      <c r="CZ12" s="114"/>
      <c r="DA12" s="114" t="s">
        <v>1170</v>
      </c>
      <c r="DB12" s="115"/>
      <c r="DC12" s="115"/>
      <c r="DD12" s="115"/>
      <c r="DE12" s="115" t="s">
        <v>1170</v>
      </c>
      <c r="DU12" t="inlineStr">
        <is>
          <t xml:space="preserve">LATIN_0137</t>
        </is>
      </c>
      <c r="ED12" t="inlineStr">
        <is>
          <t xml:space="preserve">CYRILLIC_SM_KA</t>
        </is>
      </c>
      <c r="EE12" t="inlineStr">
        <is>
          <t xml:space="preserve">CYRILLIC_KA</t>
        </is>
      </c>
      <c r="EH12" t="inlineStr">
        <is>
          <t xml:space="preserve">CYRILLIC_SM_KA</t>
        </is>
      </c>
      <c r="EI12" t="inlineStr">
        <is>
          <t xml:space="preserve">CYRILLIC_KA</t>
        </is>
      </c>
      <c r="EL12" t="inlineStr">
        <is>
          <t xml:space="preserve">ARABIC_NOON</t>
        </is>
      </c>
      <c r="EN12" t="inlineStr">
        <is>
          <t xml:space="preserve">ARABIC_NOON</t>
        </is>
      </c>
      <c r="EP12" t="inlineStr">
        <is>
          <t xml:space="preserve">DEVANAGARI_0915</t>
        </is>
      </c>
      <c r="EQ12" t="inlineStr">
        <is>
          <t xml:space="preserve">DEVANAGARI_0916</t>
        </is>
      </c>
      <c r="ER12" t="inlineStr">
        <is>
          <t xml:space="preserve">DEVANAGARI_0915</t>
        </is>
      </c>
      <c r="ES12" t="inlineStr">
        <is>
          <t xml:space="preserve">DEVANAGARI_093C</t>
        </is>
      </c>
      <c r="ET12" t="inlineStr">
        <is>
          <t xml:space="preserve">DEVANAGARI_0915</t>
        </is>
      </c>
      <c r="EU12" t="inlineStr">
        <is>
          <t xml:space="preserve">DEVANAGARI_0916</t>
        </is>
      </c>
      <c r="EV12" t="inlineStr">
        <is>
          <t xml:space="preserve">DEVANAGARI_0915</t>
        </is>
      </c>
      <c r="EW12" t="inlineStr">
        <is>
          <t xml:space="preserve">DEVANAGARI_093C</t>
        </is>
      </c>
      <c r="EX12" t="inlineStr">
        <is>
          <t xml:space="preserve">DEVANAGARI_0915</t>
        </is>
      </c>
      <c r="EY12" t="inlineStr">
        <is>
          <t xml:space="preserve">DEVANAGARI_0916</t>
        </is>
      </c>
      <c r="EZ12" t="inlineStr">
        <is>
          <t xml:space="preserve">DEVANAGARI_0915</t>
        </is>
      </c>
      <c r="FB12" t="inlineStr">
        <is>
          <t xml:space="preserve">CYRILLIC_SM_O</t>
        </is>
      </c>
      <c r="FC12" t="inlineStr">
        <is>
          <t xml:space="preserve">CYRILLIC_O</t>
        </is>
      </c>
      <c r="FE12" t="inlineStr">
        <is>
          <t xml:space="preserve">CYRILLIC_E</t>
        </is>
      </c>
      <c r="FF12" t="inlineStr">
        <is>
          <t xml:space="preserve">ARABIC_KEHEH</t>
        </is>
      </c>
      <c r="FG12" t="inlineStr">
        <is>
          <t xml:space="preserve">ARABIC_GAF</t>
        </is>
      </c>
      <c r="FH12" t="inlineStr">
        <is>
          <t xml:space="preserve">ARABIC_KEHEH</t>
        </is>
      </c>
      <c r="GD12" t="inlineStr">
        <is>
          <t xml:space="preserve">THAI_0E32</t>
        </is>
      </c>
      <c r="GE12" t="inlineStr">
        <is>
          <t xml:space="preserve">THAI_0E29</t>
        </is>
      </c>
      <c r="GF12" t="inlineStr">
        <is>
          <t xml:space="preserve">THAI_0E32</t>
        </is>
      </c>
      <c r="GH12" t="inlineStr">
        <is>
          <t xml:space="preserve">BENGALI_0995</t>
        </is>
      </c>
      <c r="GI12" t="inlineStr">
        <is>
          <t xml:space="preserve">BENGALI_0996</t>
        </is>
      </c>
      <c r="GJ12" t="inlineStr">
        <is>
          <t xml:space="preserve">BENGALI_0995</t>
        </is>
      </c>
      <c r="GL12" t="inlineStr">
        <is>
          <t xml:space="preserve">TELUGU_0C15</t>
        </is>
      </c>
      <c r="GM12" t="inlineStr">
        <is>
          <t xml:space="preserve">TELUGU_0C16</t>
        </is>
      </c>
      <c r="GN12" t="inlineStr">
        <is>
          <t xml:space="preserve">TELUGU_0C15</t>
        </is>
      </c>
      <c r="GP12" t="inlineStr">
        <is>
          <t xml:space="preserve">TAMIL_0B95</t>
        </is>
      </c>
      <c r="GR12" t="inlineStr">
        <is>
          <t xml:space="preserve">TAMIL_0B95</t>
        </is>
      </c>
      <c r="GT12" t="inlineStr">
        <is>
          <t xml:space="preserve">ZHUYIN_311C</t>
        </is>
      </c>
      <c r="GV12" t="inlineStr">
        <is>
          <t xml:space="preserve">ZHUYIN_311C</t>
        </is>
      </c>
      <c r="GX12" t="inlineStr">
        <is>
          <t xml:space="preserve">GEORGIAN_10D9</t>
        </is>
      </c>
      <c r="GZ12" t="inlineStr">
        <is>
          <t xml:space="preserve">GEORGIAN_10D9</t>
        </is>
      </c>
      <c r="HB12" t="inlineStr">
        <is>
          <t xml:space="preserve">ARMENIAN_057F</t>
        </is>
      </c>
      <c r="HC12" t="inlineStr">
        <is>
          <t xml:space="preserve">ARMENIAN_054F</t>
        </is>
      </c>
      <c r="HV12" t="inlineStr">
        <is>
          <t xml:space="preserve">KANGXI_RADICAL_BIG</t>
        </is>
      </c>
      <c r="HW12" t="inlineStr">
        <is>
          <t xml:space="preserve">k</t>
        </is>
      </c>
      <c r="HX12" t="inlineStr">
        <is>
          <t xml:space="preserve">KANGXI_RADICAL_BIG</t>
        </is>
      </c>
      <c r="JJ12" t="inlineStr">
        <is>
          <t xml:space="preserve">ARABIC_NOON</t>
        </is>
      </c>
      <c r="JK12" t="inlineStr">
        <is>
          <t xml:space="preserve">ARABIC_COMMA</t>
        </is>
      </c>
      <c r="JL12" t="inlineStr">
        <is>
          <t xml:space="preserve">ARABIC_NOON</t>
        </is>
      </c>
      <c r="JR12" t="inlineStr">
        <is>
          <t xml:space="preserve">ETHIOPIC_12A8</t>
        </is>
      </c>
      <c r="JS12" t="inlineStr">
        <is>
          <t xml:space="preserve">ETHIOPIC_12B8</t>
        </is>
      </c>
      <c r="JT12" t="inlineStr">
        <is>
          <t xml:space="preserve">ETHIOPIC_12A8</t>
        </is>
      </c>
      <c r="KD12" t="inlineStr">
        <is>
          <t xml:space="preserve">ARABIC_NOON</t>
        </is>
      </c>
      <c r="KE12" t="inlineStr">
        <is>
          <t xml:space="preserve">ARABIC_COMMA</t>
        </is>
      </c>
      <c r="KF12" t="inlineStr">
        <is>
          <t xml:space="preserve">ARABIC_NOON</t>
        </is>
      </c>
      <c r="KH12" t="inlineStr">
        <is>
          <t xml:space="preserve">ARABIC_NOON</t>
        </is>
      </c>
      <c r="KI12" t="inlineStr">
        <is>
          <t xml:space="preserve">ARABIC_COMMA</t>
        </is>
      </c>
      <c r="KJ12" t="inlineStr">
        <is>
          <t xml:space="preserve">ARABIC_NOON</t>
        </is>
      </c>
      <c r="KL12" t="inlineStr">
        <is>
          <t xml:space="preserve">ARABIC_KEHEH</t>
        </is>
      </c>
      <c r="KM12" t="inlineStr">
        <is>
          <t xml:space="preserve">ARABIC_KAF</t>
        </is>
      </c>
      <c r="KN12" t="inlineStr">
        <is>
          <t xml:space="preserve">ARABIC_KEHEH</t>
        </is>
      </c>
      <c r="PB12" t="inlineStr">
        <is>
          <t xml:space="preserve">ARABIC_NOON</t>
        </is>
      </c>
      <c r="PC12" t="inlineStr">
        <is>
          <t xml:space="preserve">ARABIC_COMMA</t>
        </is>
      </c>
      <c r="PD12" t="inlineStr">
        <is>
          <t xml:space="preserve">ARABIC_NOON</t>
        </is>
      </c>
      <c r="PF12" t="inlineStr">
        <is>
          <t xml:space="preserve">ARABIC_NOON</t>
        </is>
      </c>
      <c r="PG12" t="inlineStr">
        <is>
          <t xml:space="preserve">ARABIC_COMMA</t>
        </is>
      </c>
      <c r="PH12" t="inlineStr">
        <is>
          <t xml:space="preserve">ARABIC_NOON</t>
        </is>
      </c>
      <c r="PJ12" t="inlineStr">
        <is>
          <t xml:space="preserve">ARABIC_NOON</t>
        </is>
      </c>
      <c r="PK12" t="inlineStr">
        <is>
          <t xml:space="preserve">ARABIC_COMMA</t>
        </is>
      </c>
      <c r="PL12" t="inlineStr">
        <is>
          <t xml:space="preserve">ARABIC_NOON</t>
        </is>
      </c>
      <c r="PN12" t="inlineStr">
        <is>
          <t xml:space="preserve">ARABIC_NOON</t>
        </is>
      </c>
      <c r="PO12" t="inlineStr">
        <is>
          <t xml:space="preserve">ARABIC_COMMA</t>
        </is>
      </c>
      <c r="PP12" t="inlineStr">
        <is>
          <t xml:space="preserve">ARABIC_NOON</t>
        </is>
      </c>
      <c r="PR12" t="inlineStr">
        <is>
          <t xml:space="preserve">ARABIC_NOON</t>
        </is>
      </c>
      <c r="PS12" t="inlineStr">
        <is>
          <t xml:space="preserve">ARABIC_COMMA</t>
        </is>
      </c>
      <c r="PT12" t="inlineStr">
        <is>
          <t xml:space="preserve">ARABIC_NOON</t>
        </is>
      </c>
      <c r="PV12" t="inlineStr">
        <is>
          <t xml:space="preserve">ARABIC_NOON</t>
        </is>
      </c>
      <c r="PW12" t="inlineStr">
        <is>
          <t xml:space="preserve">ARABIC_COMMA</t>
        </is>
      </c>
      <c r="PX12" t="inlineStr">
        <is>
          <t xml:space="preserve">ARABIC_NOON</t>
        </is>
      </c>
      <c r="PZ12" t="inlineStr">
        <is>
          <t xml:space="preserve">ARABIC_NOON</t>
        </is>
      </c>
      <c r="QA12" t="inlineStr">
        <is>
          <t xml:space="preserve">ARABIC_COMMA</t>
        </is>
      </c>
      <c r="QB12" t="inlineStr">
        <is>
          <t xml:space="preserve">ARABIC_NOON</t>
        </is>
      </c>
      <c r="QD12" t="inlineStr">
        <is>
          <t xml:space="preserve">ARABIC_NOON</t>
        </is>
      </c>
      <c r="QE12" t="inlineStr">
        <is>
          <t xml:space="preserve">ARABIC_COMMA</t>
        </is>
      </c>
      <c r="QF12" t="inlineStr">
        <is>
          <t xml:space="preserve">ARABIC_NOON</t>
        </is>
      </c>
      <c r="QH12" t="inlineStr">
        <is>
          <t xml:space="preserve">ARABIC_NOON</t>
        </is>
      </c>
      <c r="QI12" t="inlineStr">
        <is>
          <t xml:space="preserve">ARABIC_COMMA</t>
        </is>
      </c>
      <c r="QJ12" t="inlineStr">
        <is>
          <t xml:space="preserve">ARABIC_NOON</t>
        </is>
      </c>
      <c r="QL12" t="inlineStr">
        <is>
          <t xml:space="preserve">ARABIC_NOON</t>
        </is>
      </c>
      <c r="QM12" t="inlineStr">
        <is>
          <t xml:space="preserve">ARABIC_COMMA</t>
        </is>
      </c>
      <c r="QN12" t="inlineStr">
        <is>
          <t xml:space="preserve">ARABIC_NOON</t>
        </is>
      </c>
      <c r="QP12" t="inlineStr">
        <is>
          <t xml:space="preserve">ARABIC_NOON</t>
        </is>
      </c>
      <c r="QQ12" t="inlineStr">
        <is>
          <t xml:space="preserve">ARABIC_COMMA</t>
        </is>
      </c>
      <c r="QR12" t="inlineStr">
        <is>
          <t xml:space="preserve">ARABIC_NOON</t>
        </is>
      </c>
      <c r="QT12" t="inlineStr">
        <is>
          <t xml:space="preserve">ARABIC_NOON</t>
        </is>
      </c>
      <c r="QU12" t="inlineStr">
        <is>
          <t xml:space="preserve">ARABIC_COMMA</t>
        </is>
      </c>
      <c r="QV12" t="inlineStr">
        <is>
          <t xml:space="preserve">ARABIC_NOON</t>
        </is>
      </c>
      <c r="QX12" t="inlineStr">
        <is>
          <t xml:space="preserve">ARABIC_NOON</t>
        </is>
      </c>
      <c r="QY12" t="inlineStr">
        <is>
          <t xml:space="preserve">ARABIC_COMMA</t>
        </is>
      </c>
      <c r="QZ12" t="inlineStr">
        <is>
          <t xml:space="preserve">ARABIC_NOON</t>
        </is>
      </c>
      <c r="RB12" t="inlineStr">
        <is>
          <t xml:space="preserve">ARABIC_NOON</t>
        </is>
      </c>
      <c r="RC12" t="inlineStr">
        <is>
          <t xml:space="preserve">ARABIC_COMMA</t>
        </is>
      </c>
      <c r="RD12" t="inlineStr">
        <is>
          <t xml:space="preserve">ARABIC_NOON</t>
        </is>
      </c>
      <c r="SX12" t="inlineStr">
        <is>
          <t xml:space="preserve">BENGALI_0995</t>
        </is>
      </c>
      <c r="SY12" t="inlineStr">
        <is>
          <t xml:space="preserve">BENGALI_0996</t>
        </is>
      </c>
      <c r="SZ12" t="inlineStr">
        <is>
          <t xml:space="preserve">BENGALI_0995</t>
        </is>
      </c>
      <c r="TA12" t="inlineStr">
        <is>
          <t xml:space="preserve">BENGALI_09CE</t>
        </is>
      </c>
      <c r="TV12" t="inlineStr">
        <is>
          <t xml:space="preserve">CYRILLIC_SM_EL</t>
        </is>
      </c>
      <c r="TW12" t="inlineStr">
        <is>
          <t xml:space="preserve">CYRILLIC_EL</t>
        </is>
      </c>
      <c r="TZ12" t="inlineStr">
        <is>
          <t xml:space="preserve">CYRILLIC_SM_EL</t>
        </is>
      </c>
      <c r="UA12" t="inlineStr">
        <is>
          <t xml:space="preserve">CYRILLIC_EL</t>
        </is>
      </c>
      <c r="VE12" t="inlineStr">
        <is>
          <t xml:space="preserve">U"\f\f\f\f" LATIN_0133</t>
        </is>
      </c>
      <c r="WG12" t="inlineStr">
        <is>
          <t xml:space="preserve">LATIN_01E9</t>
        </is>
      </c>
      <c r="XB12" t="inlineStr">
        <is>
          <t xml:space="preserve">U"\f\f\f" ARABIC_NOON</t>
        </is>
      </c>
      <c r="XC12" t="inlineStr">
        <is>
          <t xml:space="preserve">U"\f\f" ARABIC_06BC</t>
        </is>
      </c>
      <c r="XD12" t="inlineStr">
        <is>
          <t xml:space="preserve">ARABIC_0646</t>
        </is>
      </c>
      <c r="XE12" t="inlineStr">
        <is>
          <t xml:space="preserve">&gt;</t>
        </is>
      </c>
      <c r="XF12" t="inlineStr">
        <is>
          <t xml:space="preserve">UCAS_14C4</t>
        </is>
      </c>
      <c r="XG12" t="inlineStr">
        <is>
          <t xml:space="preserve">UCAS_1557</t>
        </is>
      </c>
      <c r="XH12" t="inlineStr">
        <is>
          <t xml:space="preserve">UCAS_14C4</t>
        </is>
      </c>
      <c r="XJ12" t="inlineStr">
        <is>
          <t xml:space="preserve">k</t>
        </is>
      </c>
      <c r="XK12" t="inlineStr">
        <is>
          <t xml:space="preserve">K</t>
        </is>
      </c>
      <c r="XM12" t="inlineStr">
        <is>
          <t xml:space="preserve">UCAS_1472</t>
        </is>
      </c>
      <c r="XN12" t="inlineStr">
        <is>
          <t xml:space="preserve">CHEROKEE_13B8</t>
        </is>
      </c>
      <c r="XO12" t="inlineStr">
        <is>
          <t xml:space="preserve">CHEROKEE_13A7</t>
        </is>
      </c>
      <c r="XP12" t="inlineStr">
        <is>
          <t xml:space="preserve">CHEROKEE_13B8</t>
        </is>
      </c>
      <c r="XQ12" t="inlineStr">
        <is>
          <t xml:space="preserve">k</t>
        </is>
      </c>
    </row>
    <row r="13" s="116" customFormat="true" ht="15.95" hidden="false" customHeight="true" outlineLevel="0" collapsed="false">
      <c r="A13" s="93" t="s">
        <v>1171</v>
      </c>
      <c r="B13" s="94" t="s">
        <v>1172</v>
      </c>
      <c r="C13" s="94" t="s">
        <v>940</v>
      </c>
      <c r="D13" s="94"/>
      <c r="E13" s="94"/>
      <c r="F13" s="95"/>
      <c r="G13" s="95"/>
      <c r="H13" s="95"/>
      <c r="I13" s="95"/>
      <c r="J13" s="96"/>
      <c r="K13" s="96"/>
      <c r="L13" s="96"/>
      <c r="M13" s="96"/>
      <c r="N13" s="97"/>
      <c r="O13" s="97"/>
      <c r="P13" s="97"/>
      <c r="Q13" s="97"/>
      <c r="R13" s="98"/>
      <c r="S13" s="98"/>
      <c r="T13" s="98"/>
      <c r="U13" s="98"/>
      <c r="V13" s="99"/>
      <c r="W13" s="99"/>
      <c r="X13" s="99"/>
      <c r="Y13" s="99"/>
      <c r="Z13" s="100"/>
      <c r="AA13" s="100"/>
      <c r="AB13" s="100"/>
      <c r="AC13" s="100"/>
      <c r="AD13" s="101" t="s">
        <v>675</v>
      </c>
      <c r="AE13" s="101"/>
      <c r="AF13" s="101"/>
      <c r="AG13" s="101"/>
      <c r="AH13" t="inlineStr">
        <is>
          <t xml:space="preserve">l</t>
        </is>
      </c>
      <c r="AI13" t="inlineStr">
        <is>
          <t xml:space="preserve">L</t>
        </is>
      </c>
      <c r="AK13" t="inlineStr">
        <is>
          <t xml:space="preserve">HIRAGANA_RI</t>
        </is>
      </c>
      <c r="AL13" s="103" t="s">
        <v>598</v>
      </c>
      <c r="AM13" s="103" t="s">
        <v>1173</v>
      </c>
      <c r="AN13" s="103" t="s">
        <v>598</v>
      </c>
      <c r="AO13" s="103"/>
      <c r="AP13" s="104" t="s">
        <v>274</v>
      </c>
      <c r="AQ13" s="104" t="s">
        <v>226</v>
      </c>
      <c r="AR13" s="104"/>
      <c r="AS13" s="104"/>
      <c r="AT13" s="105" t="s">
        <v>364</v>
      </c>
      <c r="AU13" s="105" t="s">
        <v>320</v>
      </c>
      <c r="AV13" s="105"/>
      <c r="AW13" t="inlineStr">
        <is>
          <t xml:space="preserve">U"\f\f\f\f" CYRILLIC_SM_DJE</t>
        </is>
      </c>
      <c r="AX13" s="106" t="s">
        <v>364</v>
      </c>
      <c r="AY13" s="106" t="s">
        <v>320</v>
      </c>
      <c r="AZ13" s="106"/>
      <c r="BA13" s="106"/>
      <c r="BB13" s="107" t="s">
        <v>364</v>
      </c>
      <c r="BC13" s="107" t="s">
        <v>320</v>
      </c>
      <c r="BD13" s="107"/>
      <c r="BE13" s="107"/>
      <c r="BF13" s="108" t="s">
        <v>364</v>
      </c>
      <c r="BG13" s="108" t="s">
        <v>320</v>
      </c>
      <c r="BH13" s="108"/>
      <c r="BI13" s="108"/>
      <c r="BJ13" s="109" t="s">
        <v>362</v>
      </c>
      <c r="BK13" s="109" t="s">
        <v>318</v>
      </c>
      <c r="BL13" s="109"/>
      <c r="BM13" s="109"/>
      <c r="BN13" s="95"/>
      <c r="BO13" s="95"/>
      <c r="BP13" s="95"/>
      <c r="BQ13" s="95"/>
      <c r="BR13" s="110"/>
      <c r="BS13" s="110"/>
      <c r="BT13" s="110"/>
      <c r="BU13" s="110" t="s">
        <v>1174</v>
      </c>
      <c r="BZ13" s="111"/>
      <c r="CA13" s="111"/>
      <c r="CB13" s="111"/>
      <c r="CC13" s="111"/>
      <c r="CD13" s="95" t="s">
        <v>481</v>
      </c>
      <c r="CE13" s="95"/>
      <c r="CF13" s="95"/>
      <c r="CG13" s="95"/>
      <c r="CH13" s="112"/>
      <c r="CI13" s="112"/>
      <c r="CJ13" s="112"/>
      <c r="CK13" s="112"/>
      <c r="CL13" s="113"/>
      <c r="CM13" s="113"/>
      <c r="CN13" s="113"/>
      <c r="CO13" s="113"/>
      <c r="CP13" s="84"/>
      <c r="CQ13" s="84"/>
      <c r="CR13" s="84"/>
      <c r="CS13" s="84"/>
      <c r="CT13" s="110"/>
      <c r="CU13" s="110"/>
      <c r="CV13" s="110"/>
      <c r="CW13" s="110"/>
      <c r="CX13" s="114"/>
      <c r="CY13" s="114"/>
      <c r="CZ13" s="114"/>
      <c r="DA13" s="114" t="s">
        <v>1174</v>
      </c>
      <c r="DB13" s="115"/>
      <c r="DC13" s="115"/>
      <c r="DD13" s="115"/>
      <c r="DE13" s="115" t="s">
        <v>1174</v>
      </c>
      <c r="DU13" t="inlineStr">
        <is>
          <t xml:space="preserve">LATIN_013C</t>
        </is>
      </c>
      <c r="ED13" t="inlineStr">
        <is>
          <t xml:space="preserve">CYRILLIC_SM_EL</t>
        </is>
      </c>
      <c r="EE13" t="inlineStr">
        <is>
          <t xml:space="preserve">CYRILLIC_EL</t>
        </is>
      </c>
      <c r="EH13" t="inlineStr">
        <is>
          <t xml:space="preserve">CYRILLIC_SM_EL</t>
        </is>
      </c>
      <c r="EI13" t="inlineStr">
        <is>
          <t xml:space="preserve">CYRILLIC_EL</t>
        </is>
      </c>
      <c r="EL13" t="inlineStr">
        <is>
          <t xml:space="preserve">ARABIC_MEEM</t>
        </is>
      </c>
      <c r="EN13" t="inlineStr">
        <is>
          <t xml:space="preserve">ARABIC_MEEM</t>
        </is>
      </c>
      <c r="EP13" t="inlineStr">
        <is>
          <t xml:space="preserve">DEVANAGARI_0924</t>
        </is>
      </c>
      <c r="EQ13" t="inlineStr">
        <is>
          <t xml:space="preserve">DEVANAGARI_0925</t>
        </is>
      </c>
      <c r="ER13" t="inlineStr">
        <is>
          <t xml:space="preserve">DEVANAGARI_0924</t>
        </is>
      </c>
      <c r="ET13" t="inlineStr">
        <is>
          <t xml:space="preserve">DEVANAGARI_0924</t>
        </is>
      </c>
      <c r="EU13" t="inlineStr">
        <is>
          <t xml:space="preserve">DEVANAGARI_0925</t>
        </is>
      </c>
      <c r="EV13" t="inlineStr">
        <is>
          <t xml:space="preserve">DEVANAGARI_0924</t>
        </is>
      </c>
      <c r="EX13" t="inlineStr">
        <is>
          <t xml:space="preserve">DEVANAGARI_0924</t>
        </is>
      </c>
      <c r="EY13" t="inlineStr">
        <is>
          <t xml:space="preserve">DEVANAGARI_0925</t>
        </is>
      </c>
      <c r="EZ13" t="inlineStr">
        <is>
          <t xml:space="preserve">DEVANAGARI_0924</t>
        </is>
      </c>
      <c r="FB13" t="inlineStr">
        <is>
          <t xml:space="preserve">CYRILLIC_SM_EL</t>
        </is>
      </c>
      <c r="FC13" t="inlineStr">
        <is>
          <t xml:space="preserve">CYRILLIC_EL</t>
        </is>
      </c>
      <c r="FF13" t="inlineStr">
        <is>
          <t xml:space="preserve">ARABIC_FARSI_YEH</t>
        </is>
      </c>
      <c r="FG13" t="inlineStr">
        <is>
          <t xml:space="preserve">ARABIC_YEH</t>
        </is>
      </c>
      <c r="FH13" t="inlineStr">
        <is>
          <t xml:space="preserve">ARABIC_FARSI_YEH</t>
        </is>
      </c>
      <c r="GD13" t="inlineStr">
        <is>
          <t xml:space="preserve">THAI_0E2A</t>
        </is>
      </c>
      <c r="GE13" t="inlineStr">
        <is>
          <t xml:space="preserve">THAI_0E28</t>
        </is>
      </c>
      <c r="GF13" t="inlineStr">
        <is>
          <t xml:space="preserve">THAI_0E2A</t>
        </is>
      </c>
      <c r="GH13" t="inlineStr">
        <is>
          <t xml:space="preserve">BENGALI_09A4</t>
        </is>
      </c>
      <c r="GI13" t="inlineStr">
        <is>
          <t xml:space="preserve">BENGALI_09A5</t>
        </is>
      </c>
      <c r="GJ13" t="inlineStr">
        <is>
          <t xml:space="preserve">BENGALI_09A4</t>
        </is>
      </c>
      <c r="GL13" t="inlineStr">
        <is>
          <t xml:space="preserve">TELUGU_0C24</t>
        </is>
      </c>
      <c r="GM13" t="inlineStr">
        <is>
          <t xml:space="preserve">TELUGU_0C25</t>
        </is>
      </c>
      <c r="GN13" t="inlineStr">
        <is>
          <t xml:space="preserve">TELUGU_0C24</t>
        </is>
      </c>
      <c r="GP13" t="inlineStr">
        <is>
          <t xml:space="preserve">TAMIL_0BA4</t>
        </is>
      </c>
      <c r="GR13" t="inlineStr">
        <is>
          <t xml:space="preserve">TAMIL_0BA4</t>
        </is>
      </c>
      <c r="GT13" t="inlineStr">
        <is>
          <t xml:space="preserve">ZHUYIN_3120</t>
        </is>
      </c>
      <c r="GV13" t="inlineStr">
        <is>
          <t xml:space="preserve">ZHUYIN_3120</t>
        </is>
      </c>
      <c r="GX13" t="inlineStr">
        <is>
          <t xml:space="preserve">GEORGIAN_10DA</t>
        </is>
      </c>
      <c r="GZ13" t="inlineStr">
        <is>
          <t xml:space="preserve">GEORGIAN_10DA</t>
        </is>
      </c>
      <c r="HB13" t="inlineStr">
        <is>
          <t xml:space="preserve">ARMENIAN_0570</t>
        </is>
      </c>
      <c r="HC13" t="inlineStr">
        <is>
          <t xml:space="preserve">ARMENIAN_0540</t>
        </is>
      </c>
      <c r="HV13" t="inlineStr">
        <is>
          <t xml:space="preserve">CJK_4E2D</t>
        </is>
      </c>
      <c r="HW13" t="inlineStr">
        <is>
          <t xml:space="preserve">l</t>
        </is>
      </c>
      <c r="HX13" t="inlineStr">
        <is>
          <t xml:space="preserve">CJK_4E2D</t>
        </is>
      </c>
      <c r="JJ13" t="inlineStr">
        <is>
          <t xml:space="preserve">ARABIC_MEEM</t>
        </is>
      </c>
      <c r="JK13" t="inlineStr">
        <is>
          <t xml:space="preserve">/</t>
        </is>
      </c>
      <c r="JL13" t="inlineStr">
        <is>
          <t xml:space="preserve">ARABIC_MEEM</t>
        </is>
      </c>
      <c r="JR13" t="inlineStr">
        <is>
          <t xml:space="preserve">ETHIOPIC_1208</t>
        </is>
      </c>
      <c r="JT13" t="inlineStr">
        <is>
          <t xml:space="preserve">ETHIOPIC_1208</t>
        </is>
      </c>
      <c r="KD13" t="inlineStr">
        <is>
          <t xml:space="preserve">ARABIC_MEEM</t>
        </is>
      </c>
      <c r="KE13" t="inlineStr">
        <is>
          <t xml:space="preserve">/</t>
        </is>
      </c>
      <c r="KF13" t="inlineStr">
        <is>
          <t xml:space="preserve">ARABIC_MEEM</t>
        </is>
      </c>
      <c r="KH13" t="inlineStr">
        <is>
          <t xml:space="preserve">ARABIC_MEEM</t>
        </is>
      </c>
      <c r="KI13" t="inlineStr">
        <is>
          <t xml:space="preserve">/</t>
        </is>
      </c>
      <c r="KJ13" t="inlineStr">
        <is>
          <t xml:space="preserve">ARABIC_MEEM</t>
        </is>
      </c>
      <c r="KL13" t="inlineStr">
        <is>
          <t xml:space="preserve">ARABIC_LAM</t>
        </is>
      </c>
      <c r="KM13" t="inlineStr">
        <is>
          <t xml:space="preserve">ARABIC_LAM_V</t>
        </is>
      </c>
      <c r="KN13" t="inlineStr">
        <is>
          <t xml:space="preserve">ARABIC_LAM</t>
        </is>
      </c>
      <c r="OG13" t="inlineStr">
        <is>
          <t xml:space="preserve">LATIN_0140</t>
        </is>
      </c>
      <c r="PB13" t="inlineStr">
        <is>
          <t xml:space="preserve">ARABIC_MEEM</t>
        </is>
      </c>
      <c r="PC13" t="inlineStr">
        <is>
          <t xml:space="preserve">/</t>
        </is>
      </c>
      <c r="PD13" t="inlineStr">
        <is>
          <t xml:space="preserve">ARABIC_MEEM</t>
        </is>
      </c>
      <c r="PF13" t="inlineStr">
        <is>
          <t xml:space="preserve">ARABIC_MEEM</t>
        </is>
      </c>
      <c r="PG13" t="inlineStr">
        <is>
          <t xml:space="preserve">/</t>
        </is>
      </c>
      <c r="PH13" t="inlineStr">
        <is>
          <t xml:space="preserve">ARABIC_MEEM</t>
        </is>
      </c>
      <c r="PJ13" t="inlineStr">
        <is>
          <t xml:space="preserve">ARABIC_MEEM</t>
        </is>
      </c>
      <c r="PK13" t="inlineStr">
        <is>
          <t xml:space="preserve">/</t>
        </is>
      </c>
      <c r="PL13" t="inlineStr">
        <is>
          <t xml:space="preserve">ARABIC_MEEM</t>
        </is>
      </c>
      <c r="PN13" t="inlineStr">
        <is>
          <t xml:space="preserve">ARABIC_MEEM</t>
        </is>
      </c>
      <c r="PO13" t="inlineStr">
        <is>
          <t xml:space="preserve">/</t>
        </is>
      </c>
      <c r="PP13" t="inlineStr">
        <is>
          <t xml:space="preserve">ARABIC_MEEM</t>
        </is>
      </c>
      <c r="PR13" t="inlineStr">
        <is>
          <t xml:space="preserve">ARABIC_MEEM</t>
        </is>
      </c>
      <c r="PS13" t="inlineStr">
        <is>
          <t xml:space="preserve">/</t>
        </is>
      </c>
      <c r="PT13" t="inlineStr">
        <is>
          <t xml:space="preserve">ARABIC_MEEM</t>
        </is>
      </c>
      <c r="PV13" t="inlineStr">
        <is>
          <t xml:space="preserve">ARABIC_MEEM</t>
        </is>
      </c>
      <c r="PW13" t="inlineStr">
        <is>
          <t xml:space="preserve">/</t>
        </is>
      </c>
      <c r="PX13" t="inlineStr">
        <is>
          <t xml:space="preserve">ARABIC_MEEM</t>
        </is>
      </c>
      <c r="PZ13" t="inlineStr">
        <is>
          <t xml:space="preserve">ARABIC_MEEM</t>
        </is>
      </c>
      <c r="QA13" t="inlineStr">
        <is>
          <t xml:space="preserve">/</t>
        </is>
      </c>
      <c r="QB13" t="inlineStr">
        <is>
          <t xml:space="preserve">ARABIC_MEEM</t>
        </is>
      </c>
      <c r="QD13" t="inlineStr">
        <is>
          <t xml:space="preserve">ARABIC_MEEM</t>
        </is>
      </c>
      <c r="QE13" t="inlineStr">
        <is>
          <t xml:space="preserve">/</t>
        </is>
      </c>
      <c r="QF13" t="inlineStr">
        <is>
          <t xml:space="preserve">ARABIC_MEEM</t>
        </is>
      </c>
      <c r="QH13" t="inlineStr">
        <is>
          <t xml:space="preserve">ARABIC_MEEM</t>
        </is>
      </c>
      <c r="QI13" t="inlineStr">
        <is>
          <t xml:space="preserve">/</t>
        </is>
      </c>
      <c r="QJ13" t="inlineStr">
        <is>
          <t xml:space="preserve">ARABIC_MEEM</t>
        </is>
      </c>
      <c r="QL13" t="inlineStr">
        <is>
          <t xml:space="preserve">ARABIC_MEEM</t>
        </is>
      </c>
      <c r="QM13" t="inlineStr">
        <is>
          <t xml:space="preserve">/</t>
        </is>
      </c>
      <c r="QN13" t="inlineStr">
        <is>
          <t xml:space="preserve">ARABIC_MEEM</t>
        </is>
      </c>
      <c r="QP13" t="inlineStr">
        <is>
          <t xml:space="preserve">ARABIC_MEEM</t>
        </is>
      </c>
      <c r="QQ13" t="inlineStr">
        <is>
          <t xml:space="preserve">/</t>
        </is>
      </c>
      <c r="QR13" t="inlineStr">
        <is>
          <t xml:space="preserve">ARABIC_MEEM</t>
        </is>
      </c>
      <c r="QT13" t="inlineStr">
        <is>
          <t xml:space="preserve">ARABIC_MEEM</t>
        </is>
      </c>
      <c r="QU13" t="inlineStr">
        <is>
          <t xml:space="preserve">/</t>
        </is>
      </c>
      <c r="QV13" t="inlineStr">
        <is>
          <t xml:space="preserve">ARABIC_MEEM</t>
        </is>
      </c>
      <c r="QX13" t="inlineStr">
        <is>
          <t xml:space="preserve">ARABIC_MEEM</t>
        </is>
      </c>
      <c r="QY13" t="inlineStr">
        <is>
          <t xml:space="preserve">/</t>
        </is>
      </c>
      <c r="QZ13" t="inlineStr">
        <is>
          <t xml:space="preserve">ARABIC_MEEM</t>
        </is>
      </c>
      <c r="RB13" t="inlineStr">
        <is>
          <t xml:space="preserve">ARABIC_MEEM</t>
        </is>
      </c>
      <c r="RC13" t="inlineStr">
        <is>
          <t xml:space="preserve">/</t>
        </is>
      </c>
      <c r="RD13" t="inlineStr">
        <is>
          <t xml:space="preserve">ARABIC_MEEM</t>
        </is>
      </c>
      <c r="SX13" t="inlineStr">
        <is>
          <t xml:space="preserve">BENGALI_09A4</t>
        </is>
      </c>
      <c r="SY13" t="inlineStr">
        <is>
          <t xml:space="preserve">BENGALI_09A5</t>
        </is>
      </c>
      <c r="SZ13" t="inlineStr">
        <is>
          <t xml:space="preserve">BENGALI_09A4</t>
        </is>
      </c>
      <c r="TU13" t="inlineStr">
        <is>
          <t xml:space="preserve">LATIN_00F4</t>
        </is>
      </c>
      <c r="TV13" t="inlineStr">
        <is>
          <t xml:space="preserve">CYRILLIC_SM_DE</t>
        </is>
      </c>
      <c r="TW13" t="inlineStr">
        <is>
          <t xml:space="preserve">CYRILLIC_DE</t>
        </is>
      </c>
      <c r="TZ13" t="inlineStr">
        <is>
          <t xml:space="preserve">CYRILLIC_SM_DE</t>
        </is>
      </c>
      <c r="UA13" t="inlineStr">
        <is>
          <t xml:space="preserve">CYRILLIC_DE</t>
        </is>
      </c>
      <c r="VE13" t="inlineStr">
        <is>
          <t xml:space="preserve">LATIN_00F8</t>
        </is>
      </c>
      <c r="WT13" t="inlineStr">
        <is>
          <t xml:space="preserve">l</t>
        </is>
      </c>
      <c r="WU13" t="inlineStr">
        <is>
          <t xml:space="preserve">L</t>
        </is>
      </c>
      <c r="WW13" t="inlineStr">
        <is>
          <t xml:space="preserve">LATIN_0142</t>
        </is>
      </c>
      <c r="XB13" t="inlineStr">
        <is>
          <t xml:space="preserve">U"\f\f" ARABIC_MEEM</t>
        </is>
      </c>
      <c r="XC13" t="inlineStr">
        <is>
          <t xml:space="preserve">ARABIC_TEH_MARBUTA</t>
        </is>
      </c>
      <c r="XD13" t="inlineStr">
        <is>
          <t xml:space="preserve">ARABIC_0645</t>
        </is>
      </c>
      <c r="XE13" t="inlineStr">
        <is>
          <t xml:space="preserve">&lt;</t>
        </is>
      </c>
      <c r="XF13" t="inlineStr">
        <is>
          <t xml:space="preserve">UCAS_14D7</t>
        </is>
      </c>
      <c r="XG13" t="inlineStr">
        <is>
          <t xml:space="preserve">UCAS_15A2</t>
        </is>
      </c>
      <c r="XH13" t="inlineStr">
        <is>
          <t xml:space="preserve">UCAS_14D7</t>
        </is>
      </c>
      <c r="XJ13" t="inlineStr">
        <is>
          <t xml:space="preserve">l</t>
        </is>
      </c>
      <c r="XK13" t="inlineStr">
        <is>
          <t xml:space="preserve">L</t>
        </is>
      </c>
      <c r="XM13" t="inlineStr">
        <is>
          <t xml:space="preserve">UCAS_14DA</t>
        </is>
      </c>
      <c r="XN13" t="inlineStr">
        <is>
          <t xml:space="preserve">CHEROKEE_13B5</t>
        </is>
      </c>
      <c r="XO13" t="inlineStr">
        <is>
          <t xml:space="preserve">CHEROKEE_13AE</t>
        </is>
      </c>
      <c r="XP13" t="inlineStr">
        <is>
          <t xml:space="preserve">CHEROKEE_13B5</t>
        </is>
      </c>
      <c r="XQ13" t="inlineStr">
        <is>
          <t xml:space="preserve">l</t>
        </is>
      </c>
    </row>
    <row r="14" s="116" customFormat="true" ht="15.95" hidden="false" customHeight="true" outlineLevel="0" collapsed="false">
      <c r="A14" s="93" t="s">
        <v>1175</v>
      </c>
      <c r="B14" s="94" t="s">
        <v>1176</v>
      </c>
      <c r="C14" s="94" t="s">
        <v>1177</v>
      </c>
      <c r="D14" s="94"/>
      <c r="E14" s="94"/>
      <c r="F14" s="95"/>
      <c r="G14" s="95"/>
      <c r="H14" s="95"/>
      <c r="I14" t="inlineStr">
        <is>
          <t xml:space="preserve">U"\f\f\f" MICRO_SIGN</t>
        </is>
      </c>
      <c r="J14" s="96" t="s">
        <v>1179</v>
      </c>
      <c r="K14" s="96" t="s">
        <v>1180</v>
      </c>
      <c r="L14" s="96"/>
      <c r="M14" s="96"/>
      <c r="N14" s="97"/>
      <c r="O14" s="97"/>
      <c r="P14" s="97"/>
      <c r="Q14" s="97"/>
      <c r="R14" s="98"/>
      <c r="S14" s="98"/>
      <c r="T14" s="98"/>
      <c r="U14" s="98"/>
      <c r="V14" s="99"/>
      <c r="W14" s="99"/>
      <c r="X14" s="99"/>
      <c r="Y14" s="99"/>
      <c r="Z14" s="100"/>
      <c r="AA14" s="100"/>
      <c r="AB14" s="100"/>
      <c r="AC14" s="100"/>
      <c r="AD14" s="101" t="s">
        <v>674</v>
      </c>
      <c r="AE14" s="101"/>
      <c r="AF14" s="101"/>
      <c r="AG14" s="101"/>
      <c r="AH14" t="inlineStr">
        <is>
          <t xml:space="preserve">m</t>
        </is>
      </c>
      <c r="AI14" t="inlineStr">
        <is>
          <t xml:space="preserve">M</t>
        </is>
      </c>
      <c r="AK14" t="inlineStr">
        <is>
          <t xml:space="preserve">HIRAGANA_MO</t>
        </is>
      </c>
      <c r="AL14" s="103" t="s">
        <v>604</v>
      </c>
      <c r="AM14" s="103" t="s">
        <v>18</v>
      </c>
      <c r="AN14" s="103" t="s">
        <v>604</v>
      </c>
      <c r="AO14" s="103"/>
      <c r="AP14" s="104" t="s">
        <v>276</v>
      </c>
      <c r="AQ14" s="104" t="s">
        <v>228</v>
      </c>
      <c r="AR14" s="104"/>
      <c r="AS14" s="104"/>
      <c r="AT14" s="105" t="s">
        <v>396</v>
      </c>
      <c r="AU14" s="105" t="s">
        <v>352</v>
      </c>
      <c r="AV14" s="105"/>
      <c r="AW14" s="105"/>
      <c r="AX14" s="106" t="s">
        <v>396</v>
      </c>
      <c r="AY14" s="106" t="s">
        <v>352</v>
      </c>
      <c r="AZ14" s="106"/>
      <c r="BA14" s="106"/>
      <c r="BB14" s="107" t="s">
        <v>396</v>
      </c>
      <c r="BC14" s="107" t="s">
        <v>352</v>
      </c>
      <c r="BD14" s="107"/>
      <c r="BE14" s="107"/>
      <c r="BF14" s="108" t="s">
        <v>396</v>
      </c>
      <c r="BG14" s="108" t="s">
        <v>352</v>
      </c>
      <c r="BH14" s="108"/>
      <c r="BI14" s="108"/>
      <c r="BJ14" s="109" t="s">
        <v>380</v>
      </c>
      <c r="BK14" s="109" t="s">
        <v>336</v>
      </c>
      <c r="BL14" s="109"/>
      <c r="BM14" s="109"/>
      <c r="BN14" s="95"/>
      <c r="BO14" s="95"/>
      <c r="BP14" s="95"/>
      <c r="BQ14" t="inlineStr">
        <is>
          <t xml:space="preserve">U"\f\f\f" SECTION</t>
        </is>
      </c>
      <c r="BR14" s="110"/>
      <c r="BS14" s="110"/>
      <c r="BT14" s="110"/>
      <c r="BU14" s="110"/>
      <c r="BZ14" s="111"/>
      <c r="CA14" s="111"/>
      <c r="CB14" s="111"/>
      <c r="CC14" t="inlineStr">
        <is>
          <t xml:space="preserve">U"\f\f\f" MICRO_SIGN</t>
        </is>
      </c>
      <c r="CD14" s="95" t="s">
        <v>493</v>
      </c>
      <c r="CE14" s="95"/>
      <c r="CF14" s="95"/>
      <c r="CG14" s="95"/>
      <c r="CH14" s="112"/>
      <c r="CI14" s="112"/>
      <c r="CJ14" s="112"/>
      <c r="CK14" t="inlineStr">
        <is>
          <t xml:space="preserve">U"\f\f\f" MICRO_SIGN</t>
        </is>
      </c>
      <c r="CL14" s="113"/>
      <c r="CM14" s="113"/>
      <c r="CN14" s="113"/>
      <c r="CO14" t="inlineStr">
        <is>
          <t xml:space="preserve">U"\f\f\f" MICRO_SIGN</t>
        </is>
      </c>
      <c r="CP14" s="84"/>
      <c r="CQ14" s="84"/>
      <c r="CR14" s="84"/>
      <c r="CS14" t="inlineStr">
        <is>
          <t xml:space="preserve">U"\f\f\f" MICRO_SIGN</t>
        </is>
      </c>
      <c r="CT14" s="110"/>
      <c r="CU14" s="110"/>
      <c r="CV14" s="110"/>
      <c r="CW14" t="inlineStr">
        <is>
          <t xml:space="preserve">U"\f\f\f" MICRO_SIGN</t>
        </is>
      </c>
      <c r="CX14" s="114"/>
      <c r="CY14" s="114"/>
      <c r="CZ14" s="114"/>
      <c r="DA14" s="114" t="s">
        <v>1181</v>
      </c>
      <c r="DB14" s="115"/>
      <c r="DC14" s="115"/>
      <c r="DD14" s="115"/>
      <c r="DE14" s="115" t="s">
        <v>1181</v>
      </c>
      <c r="ED14" t="inlineStr">
        <is>
          <t xml:space="preserve">CYRILLIC_SM_EM</t>
        </is>
      </c>
      <c r="EE14" t="inlineStr">
        <is>
          <t xml:space="preserve">CYRILLIC_EM</t>
        </is>
      </c>
      <c r="EH14" t="inlineStr">
        <is>
          <t xml:space="preserve">CYRILLIC_SM_EM</t>
        </is>
      </c>
      <c r="EI14" t="inlineStr">
        <is>
          <t xml:space="preserve">CYRILLIC_EM</t>
        </is>
      </c>
      <c r="EL14" t="inlineStr">
        <is>
          <t xml:space="preserve">ARABIC_PEH</t>
        </is>
      </c>
      <c r="EN14" t="inlineStr">
        <is>
          <t xml:space="preserve">ARABIC_PEH</t>
        </is>
      </c>
      <c r="EP14" t="inlineStr">
        <is>
          <t xml:space="preserve">DEVANAGARI_0938</t>
        </is>
      </c>
      <c r="EQ14" t="inlineStr">
        <is>
          <t xml:space="preserve">DEVANAGARI_0936</t>
        </is>
      </c>
      <c r="ER14" t="inlineStr">
        <is>
          <t xml:space="preserve">DEVANAGARI_0938</t>
        </is>
      </c>
      <c r="ET14" t="inlineStr">
        <is>
          <t xml:space="preserve">DEVANAGARI_0938</t>
        </is>
      </c>
      <c r="EU14" t="inlineStr">
        <is>
          <t xml:space="preserve">DEVANAGARI_0936</t>
        </is>
      </c>
      <c r="EV14" t="inlineStr">
        <is>
          <t xml:space="preserve">DEVANAGARI_0938</t>
        </is>
      </c>
      <c r="EX14" t="inlineStr">
        <is>
          <t xml:space="preserve">DEVANAGARI_0938</t>
        </is>
      </c>
      <c r="EY14" t="inlineStr">
        <is>
          <t xml:space="preserve">DEVANAGARI_0936</t>
        </is>
      </c>
      <c r="EZ14" t="inlineStr">
        <is>
          <t xml:space="preserve">DEVANAGARI_0938</t>
        </is>
      </c>
      <c r="FB14" t="inlineStr">
        <is>
          <t xml:space="preserve">CYRILLIC_SM_TE</t>
        </is>
      </c>
      <c r="FC14" t="inlineStr">
        <is>
          <t xml:space="preserve">CYRILLIC_TE</t>
        </is>
      </c>
      <c r="FF14" t="inlineStr">
        <is>
          <t xml:space="preserve">ARABIC_AIN</t>
        </is>
      </c>
      <c r="FH14" t="inlineStr">
        <is>
          <t xml:space="preserve">ARABIC_AIN</t>
        </is>
      </c>
      <c r="FV14" t="inlineStr">
        <is>
          <t xml:space="preserve">COMMA</t>
        </is>
      </c>
      <c r="FW14" t="inlineStr">
        <is>
          <t xml:space="preserve">?</t>
        </is>
      </c>
      <c r="FX14" t="inlineStr">
        <is>
          <t xml:space="preserve">COMMA</t>
        </is>
      </c>
      <c r="GD14" t="inlineStr">
        <is>
          <t xml:space="preserve">THAI_0E17</t>
        </is>
      </c>
      <c r="GE14" t="inlineStr">
        <is>
          <t xml:space="preserve">?</t>
        </is>
      </c>
      <c r="GF14" t="inlineStr">
        <is>
          <t xml:space="preserve">THAI_0E17</t>
        </is>
      </c>
      <c r="GH14" t="inlineStr">
        <is>
          <t xml:space="preserve">BENGALI_09B8</t>
        </is>
      </c>
      <c r="GI14" t="inlineStr">
        <is>
          <t xml:space="preserve">BENGALI_09B6</t>
        </is>
      </c>
      <c r="GJ14" t="inlineStr">
        <is>
          <t xml:space="preserve">BENGALI_09B8</t>
        </is>
      </c>
      <c r="GL14" t="inlineStr">
        <is>
          <t xml:space="preserve">TELUGU_0C38</t>
        </is>
      </c>
      <c r="GM14" t="inlineStr">
        <is>
          <t xml:space="preserve">TELUGU_0C36</t>
        </is>
      </c>
      <c r="GN14" t="inlineStr">
        <is>
          <t xml:space="preserve">TELUGU_0C38</t>
        </is>
      </c>
      <c r="GP14" t="inlineStr">
        <is>
          <t xml:space="preserve">TAMIL_0BB8</t>
        </is>
      </c>
      <c r="GQ14" t="inlineStr">
        <is>
          <t xml:space="preserve">TAMIL_0BB6</t>
        </is>
      </c>
      <c r="GR14" t="inlineStr">
        <is>
          <t xml:space="preserve">TAMIL_0BB8</t>
        </is>
      </c>
      <c r="GT14" t="inlineStr">
        <is>
          <t xml:space="preserve">ZHUYIN_3129</t>
        </is>
      </c>
      <c r="GV14" t="inlineStr">
        <is>
          <t xml:space="preserve">ZHUYIN_3129</t>
        </is>
      </c>
      <c r="GX14" t="inlineStr">
        <is>
          <t xml:space="preserve">GEORGIAN_10DB</t>
        </is>
      </c>
      <c r="GZ14" t="inlineStr">
        <is>
          <t xml:space="preserve">GEORGIAN_10DB</t>
        </is>
      </c>
      <c r="HB14" t="inlineStr">
        <is>
          <t xml:space="preserve">ARMENIAN_0584</t>
        </is>
      </c>
      <c r="HC14" t="inlineStr">
        <is>
          <t xml:space="preserve">ARMENIAN_0554</t>
        </is>
      </c>
      <c r="HV14" t="inlineStr">
        <is>
          <t xml:space="preserve">KANGXI_RADICAL_ONE</t>
        </is>
      </c>
      <c r="HW14" t="inlineStr">
        <is>
          <t xml:space="preserve">m</t>
        </is>
      </c>
      <c r="HX14" t="inlineStr">
        <is>
          <t xml:space="preserve">KANGXI_RADICAL_ONE</t>
        </is>
      </c>
      <c r="JJ14" t="inlineStr">
        <is>
          <t xml:space="preserve">ARABIC_WAW</t>
        </is>
      </c>
      <c r="JK14" t="inlineStr">
        <is>
          <t xml:space="preserve">GRAVE_ACCENT</t>
        </is>
      </c>
      <c r="JL14" t="inlineStr">
        <is>
          <t xml:space="preserve">ARABIC_WAW</t>
        </is>
      </c>
      <c r="JR14" t="inlineStr">
        <is>
          <t xml:space="preserve">ETHIOPIC_1218</t>
        </is>
      </c>
      <c r="JT14" t="inlineStr">
        <is>
          <t xml:space="preserve">ETHIOPIC_1218</t>
        </is>
      </c>
      <c r="KD14" t="inlineStr">
        <is>
          <t xml:space="preserve">ARABIC_WAW</t>
        </is>
      </c>
      <c r="KE14" t="inlineStr">
        <is>
          <t xml:space="preserve">GRAVE_ACCENT</t>
        </is>
      </c>
      <c r="KF14" t="inlineStr">
        <is>
          <t xml:space="preserve">ARABIC_WAW</t>
        </is>
      </c>
      <c r="KH14" t="inlineStr">
        <is>
          <t xml:space="preserve">ARABIC_WAW</t>
        </is>
      </c>
      <c r="KI14" t="inlineStr">
        <is>
          <t xml:space="preserve">GRAVE_ACCENT</t>
        </is>
      </c>
      <c r="KJ14" t="inlineStr">
        <is>
          <t xml:space="preserve">ARABIC_WAW</t>
        </is>
      </c>
      <c r="KL14" t="inlineStr">
        <is>
          <t xml:space="preserve">ARABIC_MEEM</t>
        </is>
      </c>
      <c r="KM14" t="inlineStr">
        <is>
          <t xml:space="preserve">ARABIC_TATWEEL</t>
        </is>
      </c>
      <c r="KN14" t="inlineStr">
        <is>
          <t xml:space="preserve">ARABIC_MEEM</t>
        </is>
      </c>
      <c r="LA14" t="inlineStr">
        <is>
          <t xml:space="preserve">U"\f\f\f" MICRO_SIGN</t>
        </is>
      </c>
      <c r="LJ14" t="inlineStr">
        <is>
          <t xml:space="preserve">,</t>
        </is>
      </c>
      <c r="LK14" t="inlineStr">
        <is>
          <t xml:space="preserve">?</t>
        </is>
      </c>
      <c r="NY14" t="inlineStr">
        <is>
          <t xml:space="preserve">U"\f\f\f" MICRO_SIGN</t>
        </is>
      </c>
      <c r="NZ14" t="inlineStr">
        <is>
          <t xml:space="preserve">COMMA</t>
        </is>
      </c>
      <c r="OA14" t="inlineStr">
        <is>
          <t xml:space="preserve">?</t>
        </is>
      </c>
      <c r="OB14" t="inlineStr">
        <is>
          <t xml:space="preserve">COMMA</t>
        </is>
      </c>
      <c r="PA14" t="inlineStr">
        <is>
          <t xml:space="preserve">U"\f\f\f" MICRO_SIGN</t>
        </is>
      </c>
      <c r="PB14" t="inlineStr">
        <is>
          <t xml:space="preserve">ARABIC_WAW</t>
        </is>
      </c>
      <c r="PC14" t="inlineStr">
        <is>
          <t xml:space="preserve">GRAVE_ACCENT</t>
        </is>
      </c>
      <c r="PD14" t="inlineStr">
        <is>
          <t xml:space="preserve">ARABIC_WAW</t>
        </is>
      </c>
      <c r="PF14" t="inlineStr">
        <is>
          <t xml:space="preserve">ARABIC_WAW</t>
        </is>
      </c>
      <c r="PG14" t="inlineStr">
        <is>
          <t xml:space="preserve">GRAVE_ACCENT</t>
        </is>
      </c>
      <c r="PH14" t="inlineStr">
        <is>
          <t xml:space="preserve">ARABIC_WAW</t>
        </is>
      </c>
      <c r="PJ14" t="inlineStr">
        <is>
          <t xml:space="preserve">ARABIC_WAW</t>
        </is>
      </c>
      <c r="PK14" t="inlineStr">
        <is>
          <t xml:space="preserve">GRAVE_ACCENT</t>
        </is>
      </c>
      <c r="PL14" t="inlineStr">
        <is>
          <t xml:space="preserve">ARABIC_WAW</t>
        </is>
      </c>
      <c r="PN14" t="inlineStr">
        <is>
          <t xml:space="preserve">ARABIC_WAW</t>
        </is>
      </c>
      <c r="PO14" t="inlineStr">
        <is>
          <t xml:space="preserve">GRAVE_ACCENT</t>
        </is>
      </c>
      <c r="PP14" t="inlineStr">
        <is>
          <t xml:space="preserve">ARABIC_WAW</t>
        </is>
      </c>
      <c r="PR14" t="inlineStr">
        <is>
          <t xml:space="preserve">ARABIC_WAW</t>
        </is>
      </c>
      <c r="PS14" t="inlineStr">
        <is>
          <t xml:space="preserve">GRAVE_ACCENT</t>
        </is>
      </c>
      <c r="PT14" t="inlineStr">
        <is>
          <t xml:space="preserve">ARABIC_WAW</t>
        </is>
      </c>
      <c r="PV14" t="inlineStr">
        <is>
          <t xml:space="preserve">ARABIC_WAW</t>
        </is>
      </c>
      <c r="PW14" t="inlineStr">
        <is>
          <t xml:space="preserve">GRAVE_ACCENT</t>
        </is>
      </c>
      <c r="PX14" t="inlineStr">
        <is>
          <t xml:space="preserve">ARABIC_WAW</t>
        </is>
      </c>
      <c r="PZ14" t="inlineStr">
        <is>
          <t xml:space="preserve">ARABIC_WAW</t>
        </is>
      </c>
      <c r="QA14" t="inlineStr">
        <is>
          <t xml:space="preserve">GRAVE_ACCENT</t>
        </is>
      </c>
      <c r="QB14" t="inlineStr">
        <is>
          <t xml:space="preserve">ARABIC_WAW</t>
        </is>
      </c>
      <c r="QD14" t="inlineStr">
        <is>
          <t xml:space="preserve">ARABIC_WAW</t>
        </is>
      </c>
      <c r="QE14" t="inlineStr">
        <is>
          <t xml:space="preserve">GRAVE_ACCENT</t>
        </is>
      </c>
      <c r="QF14" t="inlineStr">
        <is>
          <t xml:space="preserve">ARABIC_WAW</t>
        </is>
      </c>
      <c r="QH14" t="inlineStr">
        <is>
          <t xml:space="preserve">ARABIC_WAW</t>
        </is>
      </c>
      <c r="QI14" t="inlineStr">
        <is>
          <t xml:space="preserve">GRAVE_ACCENT</t>
        </is>
      </c>
      <c r="QJ14" t="inlineStr">
        <is>
          <t xml:space="preserve">ARABIC_WAW</t>
        </is>
      </c>
      <c r="QL14" t="inlineStr">
        <is>
          <t xml:space="preserve">ARABIC_WAW</t>
        </is>
      </c>
      <c r="QM14" t="inlineStr">
        <is>
          <t xml:space="preserve">GRAVE_ACCENT</t>
        </is>
      </c>
      <c r="QN14" t="inlineStr">
        <is>
          <t xml:space="preserve">ARABIC_WAW</t>
        </is>
      </c>
      <c r="QP14" t="inlineStr">
        <is>
          <t xml:space="preserve">ARABIC_WAW</t>
        </is>
      </c>
      <c r="QQ14" t="inlineStr">
        <is>
          <t xml:space="preserve">GRAVE_ACCENT</t>
        </is>
      </c>
      <c r="QR14" t="inlineStr">
        <is>
          <t xml:space="preserve">ARABIC_WAW</t>
        </is>
      </c>
      <c r="QT14" t="inlineStr">
        <is>
          <t xml:space="preserve">ARABIC_WAW</t>
        </is>
      </c>
      <c r="QU14" t="inlineStr">
        <is>
          <t xml:space="preserve">GRAVE_ACCENT</t>
        </is>
      </c>
      <c r="QV14" t="inlineStr">
        <is>
          <t xml:space="preserve">ARABIC_WAW</t>
        </is>
      </c>
      <c r="QX14" t="inlineStr">
        <is>
          <t xml:space="preserve">ARABIC_WAW</t>
        </is>
      </c>
      <c r="QY14" t="inlineStr">
        <is>
          <t xml:space="preserve">GRAVE_ACCENT</t>
        </is>
      </c>
      <c r="QZ14" t="inlineStr">
        <is>
          <t xml:space="preserve">ARABIC_WAW</t>
        </is>
      </c>
      <c r="RB14" t="inlineStr">
        <is>
          <t xml:space="preserve">ARABIC_WAW</t>
        </is>
      </c>
      <c r="RC14" t="inlineStr">
        <is>
          <t xml:space="preserve">GRAVE_ACCENT</t>
        </is>
      </c>
      <c r="RD14" t="inlineStr">
        <is>
          <t xml:space="preserve">ARABIC_WAW</t>
        </is>
      </c>
      <c r="RF14" t="inlineStr">
        <is>
          <t xml:space="preserve">,</t>
        </is>
      </c>
      <c r="RG14" t="inlineStr">
        <is>
          <t xml:space="preserve">?</t>
        </is>
      </c>
      <c r="RJ14" t="inlineStr">
        <is>
          <t xml:space="preserve">,</t>
        </is>
      </c>
      <c r="RK14" t="inlineStr">
        <is>
          <t xml:space="preserve">?</t>
        </is>
      </c>
      <c r="RN14" t="inlineStr">
        <is>
          <t xml:space="preserve">,</t>
        </is>
      </c>
      <c r="RO14" t="inlineStr">
        <is>
          <t xml:space="preserve">?</t>
        </is>
      </c>
      <c r="RR14" t="inlineStr">
        <is>
          <t xml:space="preserve">,</t>
        </is>
      </c>
      <c r="RS14" t="inlineStr">
        <is>
          <t xml:space="preserve">?</t>
        </is>
      </c>
      <c r="RV14" t="inlineStr">
        <is>
          <t xml:space="preserve">,</t>
        </is>
      </c>
      <c r="RW14" t="inlineStr">
        <is>
          <t xml:space="preserve">?</t>
        </is>
      </c>
      <c r="SX14" t="inlineStr">
        <is>
          <t xml:space="preserve">BENGALI_09B8</t>
        </is>
      </c>
      <c r="SY14" t="inlineStr">
        <is>
          <t xml:space="preserve">BENGALI_09B6</t>
        </is>
      </c>
      <c r="SZ14" t="inlineStr">
        <is>
          <t xml:space="preserve">BENGALI_09B8</t>
        </is>
      </c>
      <c r="TV14" t="inlineStr">
        <is>
          <t xml:space="preserve">CYRILLIC_SM_SOFT_SIGN</t>
        </is>
      </c>
      <c r="TW14" t="inlineStr">
        <is>
          <t xml:space="preserve">CYRILLIC_SOFT_SIGN</t>
        </is>
      </c>
      <c r="TZ14" t="inlineStr">
        <is>
          <t xml:space="preserve">CYRILLIC_SM_SOFT_SIGN</t>
        </is>
      </c>
      <c r="UA14" t="inlineStr">
        <is>
          <t xml:space="preserve">CYRILLIC_SOFT_SIGN</t>
        </is>
      </c>
      <c r="UT14" t="inlineStr">
        <is>
          <t xml:space="preserve">,</t>
        </is>
      </c>
      <c r="UU14" t="inlineStr">
        <is>
          <t xml:space="preserve">?</t>
        </is>
      </c>
      <c r="XB14" t="inlineStr">
        <is>
          <t xml:space="preserve">ARABIC_0693</t>
        </is>
      </c>
      <c r="XC14" t="inlineStr">
        <is>
          <t xml:space="preserve">ARABIC_WAW_HAMZA_A</t>
        </is>
      </c>
      <c r="XD14" t="inlineStr">
        <is>
          <t xml:space="preserve">ARABIC_0693</t>
        </is>
      </c>
      <c r="XE14" t="inlineStr">
        <is>
          <t xml:space="preserve">ARABIC_RREH</t>
        </is>
      </c>
      <c r="XF14" t="inlineStr">
        <is>
          <t xml:space="preserve">UCAS_14AA</t>
        </is>
      </c>
      <c r="XG14" t="inlineStr">
        <is>
          <t xml:space="preserve">UCAS_14DA</t>
        </is>
      </c>
      <c r="XH14" t="inlineStr">
        <is>
          <t xml:space="preserve">UCAS_14AA</t>
        </is>
      </c>
      <c r="XJ14" t="inlineStr">
        <is>
          <t xml:space="preserve">m</t>
        </is>
      </c>
      <c r="XK14" t="inlineStr">
        <is>
          <t xml:space="preserve">M</t>
        </is>
      </c>
      <c r="XM14" t="inlineStr">
        <is>
          <t xml:space="preserve">UCAS_14AA</t>
        </is>
      </c>
      <c r="XN14" t="inlineStr">
        <is>
          <t xml:space="preserve">CHEROKEE_13C5</t>
        </is>
      </c>
      <c r="XO14" t="inlineStr">
        <is>
          <t xml:space="preserve">CHEROKEE_13B7</t>
        </is>
      </c>
      <c r="XP14" t="inlineStr">
        <is>
          <t xml:space="preserve">CHEROKEE_13C5</t>
        </is>
      </c>
      <c r="XQ14" t="inlineStr">
        <is>
          <t xml:space="preserve">m</t>
        </is>
      </c>
    </row>
    <row r="15" s="116" customFormat="true" ht="15.95" hidden="false" customHeight="true" outlineLevel="0" collapsed="false">
      <c r="A15" s="93" t="s">
        <v>1182</v>
      </c>
      <c r="B15" s="94" t="s">
        <v>1183</v>
      </c>
      <c r="C15" s="94" t="s">
        <v>1184</v>
      </c>
      <c r="D15" s="94"/>
      <c r="E15" s="94"/>
      <c r="F15" s="95"/>
      <c r="G15" s="95"/>
      <c r="H15" s="95"/>
      <c r="I15" s="95"/>
      <c r="J15" s="96"/>
      <c r="K15" s="96"/>
      <c r="L15" s="96"/>
      <c r="M15" s="96"/>
      <c r="N15" s="97"/>
      <c r="O15" s="97"/>
      <c r="P15" s="97"/>
      <c r="Q15" s="97"/>
      <c r="R15" s="98"/>
      <c r="S15" s="98"/>
      <c r="T15" s="98"/>
      <c r="U15" s="98"/>
      <c r="V15" s="99"/>
      <c r="W15" s="99"/>
      <c r="X15" s="99"/>
      <c r="Y15" s="99"/>
      <c r="Z15" s="100"/>
      <c r="AA15" s="100"/>
      <c r="AB15" s="100"/>
      <c r="AC15" s="100"/>
      <c r="AD15" s="101" t="s">
        <v>671</v>
      </c>
      <c r="AE15" s="101"/>
      <c r="AF15" s="101"/>
      <c r="AG15" s="101"/>
      <c r="AH15" t="inlineStr">
        <is>
          <t xml:space="preserve">n</t>
        </is>
      </c>
      <c r="AI15" t="inlineStr">
        <is>
          <t xml:space="preserve">N</t>
        </is>
      </c>
      <c r="AK15" t="inlineStr">
        <is>
          <t xml:space="preserve">HIRAGANA_MI</t>
        </is>
      </c>
      <c r="AL15" s="103" t="s">
        <v>606</v>
      </c>
      <c r="AM15" s="117" t="s">
        <v>516</v>
      </c>
      <c r="AN15" s="103" t="s">
        <v>606</v>
      </c>
      <c r="AO15" s="103"/>
      <c r="AP15" s="104" t="s">
        <v>278</v>
      </c>
      <c r="AQ15" s="118" t="s">
        <v>230</v>
      </c>
      <c r="AR15" s="104"/>
      <c r="AS15" s="104"/>
      <c r="AT15" s="105" t="s">
        <v>384</v>
      </c>
      <c r="AU15" s="119" t="s">
        <v>340</v>
      </c>
      <c r="AV15" s="105"/>
      <c r="AW15" s="105"/>
      <c r="AX15" s="106" t="s">
        <v>384</v>
      </c>
      <c r="AY15" s="120" t="s">
        <v>340</v>
      </c>
      <c r="AZ15" s="106"/>
      <c r="BA15" s="106"/>
      <c r="BB15" s="107" t="s">
        <v>384</v>
      </c>
      <c r="BC15" s="121" t="s">
        <v>340</v>
      </c>
      <c r="BD15" s="107"/>
      <c r="BE15" s="107"/>
      <c r="BF15" s="108" t="s">
        <v>384</v>
      </c>
      <c r="BG15" s="122" t="s">
        <v>340</v>
      </c>
      <c r="BH15" s="108"/>
      <c r="BI15" s="108"/>
      <c r="BJ15" s="109" t="s">
        <v>387</v>
      </c>
      <c r="BK15" s="123" t="s">
        <v>343</v>
      </c>
      <c r="BL15" s="109"/>
      <c r="BM15" s="109"/>
      <c r="BN15" s="95"/>
      <c r="BO15" s="95"/>
      <c r="BP15" s="95"/>
      <c r="BQ15" s="95" t="s">
        <v>1185</v>
      </c>
      <c r="BR15" s="110"/>
      <c r="BS15" s="110"/>
      <c r="BT15" s="110"/>
      <c r="BU15" s="110"/>
      <c r="BZ15" s="111"/>
      <c r="CA15" s="111"/>
      <c r="CB15" s="111"/>
      <c r="CC15" t="inlineStr">
        <is>
          <t xml:space="preserve">N_WITH_TILDE_SMALL</t>
        </is>
      </c>
      <c r="CD15" s="95" t="s">
        <v>485</v>
      </c>
      <c r="CE15" s="95"/>
      <c r="CF15" s="95"/>
      <c r="CG15" s="95"/>
      <c r="CH15" s="112"/>
      <c r="CI15" s="112"/>
      <c r="CJ15" s="112"/>
      <c r="CK15" s="112"/>
      <c r="CL15" s="113"/>
      <c r="CM15" s="113"/>
      <c r="CN15" s="113"/>
      <c r="CO15" s="113"/>
      <c r="CP15" s="84"/>
      <c r="CQ15" s="84"/>
      <c r="CR15" s="84"/>
      <c r="CS15" s="84"/>
      <c r="CT15" s="110"/>
      <c r="CU15" s="110"/>
      <c r="CV15" s="110"/>
      <c r="CW15" s="110"/>
      <c r="CX15" s="114"/>
      <c r="CY15" s="114"/>
      <c r="CZ15" s="114"/>
      <c r="DA15" s="114" t="s">
        <v>1185</v>
      </c>
      <c r="DB15" s="115"/>
      <c r="DC15" s="115"/>
      <c r="DD15" s="115"/>
      <c r="DE15" s="115" t="s">
        <v>1185</v>
      </c>
      <c r="DI15" t="inlineStr">
        <is>
          <t xml:space="preserve">}</t>
        </is>
      </c>
      <c r="DU15" t="inlineStr">
        <is>
          <t xml:space="preserve">LATIN_0146</t>
        </is>
      </c>
      <c r="ED15" t="inlineStr">
        <is>
          <t xml:space="preserve">CYRILLIC_SM_EN</t>
        </is>
      </c>
      <c r="EE15" t="inlineStr">
        <is>
          <t xml:space="preserve">CYRILLIC_EN</t>
        </is>
      </c>
      <c r="EH15" t="inlineStr">
        <is>
          <t xml:space="preserve">CYRILLIC_SM_EN</t>
        </is>
      </c>
      <c r="EI15" t="inlineStr">
        <is>
          <t xml:space="preserve">CYRILLIC_EN</t>
        </is>
      </c>
      <c r="EL15" t="inlineStr">
        <is>
          <t xml:space="preserve">ARABIC_DAL</t>
        </is>
      </c>
      <c r="EN15" t="inlineStr">
        <is>
          <t xml:space="preserve">ARABIC_DAL</t>
        </is>
      </c>
      <c r="EP15" t="inlineStr">
        <is>
          <t xml:space="preserve">DEVANAGARI_0932</t>
        </is>
      </c>
      <c r="EQ15" t="inlineStr">
        <is>
          <t xml:space="preserve">DEVANAGARI_0933</t>
        </is>
      </c>
      <c r="ER15" t="inlineStr">
        <is>
          <t xml:space="preserve">DEVANAGARI_0932</t>
        </is>
      </c>
      <c r="ET15" t="inlineStr">
        <is>
          <t xml:space="preserve">DEVANAGARI_0932</t>
        </is>
      </c>
      <c r="EU15" t="inlineStr">
        <is>
          <t xml:space="preserve">DEVANAGARI_0933</t>
        </is>
      </c>
      <c r="EV15" t="inlineStr">
        <is>
          <t xml:space="preserve">DEVANAGARI_0932</t>
        </is>
      </c>
      <c r="EX15" t="inlineStr">
        <is>
          <t xml:space="preserve">DEVANAGARI_0932</t>
        </is>
      </c>
      <c r="EY15" t="inlineStr">
        <is>
          <t xml:space="preserve">DEVANAGARI_0933</t>
        </is>
      </c>
      <c r="EZ15" t="inlineStr">
        <is>
          <t xml:space="preserve">DEVANAGARI_0932</t>
        </is>
      </c>
      <c r="FB15" t="inlineStr">
        <is>
          <t xml:space="preserve">CYRILLIC_SM_I</t>
        </is>
      </c>
      <c r="FC15" t="inlineStr">
        <is>
          <t xml:space="preserve">CYRILLIC_I</t>
        </is>
      </c>
      <c r="FF15" t="inlineStr">
        <is>
          <t xml:space="preserve">ARABIC_GHAIN</t>
        </is>
      </c>
      <c r="FG15" t="inlineStr">
        <is>
          <t xml:space="preserve">ARABIC_YEH_HAMZA_A</t>
        </is>
      </c>
      <c r="FH15" t="inlineStr">
        <is>
          <t xml:space="preserve">ARABIC_GHAIN</t>
        </is>
      </c>
      <c r="GD15" t="inlineStr">
        <is>
          <t xml:space="preserve">THAI_DC_0E37</t>
        </is>
      </c>
      <c r="GE15" t="inlineStr">
        <is>
          <t xml:space="preserve">THAI_DC_0E4C</t>
        </is>
      </c>
      <c r="GF15" t="inlineStr">
        <is>
          <t xml:space="preserve">THAI_DC_0E37</t>
        </is>
      </c>
      <c r="GH15" t="inlineStr">
        <is>
          <t xml:space="preserve">BENGALI_09B2</t>
        </is>
      </c>
      <c r="GJ15" t="inlineStr">
        <is>
          <t xml:space="preserve">BENGALI_09B2</t>
        </is>
      </c>
      <c r="GL15" t="inlineStr">
        <is>
          <t xml:space="preserve">TELUGU_0C32</t>
        </is>
      </c>
      <c r="GM15" t="inlineStr">
        <is>
          <t xml:space="preserve">TELUGU_0C33</t>
        </is>
      </c>
      <c r="GN15" t="inlineStr">
        <is>
          <t xml:space="preserve">TELUGU_0C32</t>
        </is>
      </c>
      <c r="GP15" t="inlineStr">
        <is>
          <t xml:space="preserve">TAMIL_0BB2</t>
        </is>
      </c>
      <c r="GQ15" t="inlineStr">
        <is>
          <t xml:space="preserve">TAMIL_0BB3</t>
        </is>
      </c>
      <c r="GR15" t="inlineStr">
        <is>
          <t xml:space="preserve">TAMIL_0BB2</t>
        </is>
      </c>
      <c r="GT15" t="inlineStr">
        <is>
          <t xml:space="preserve">ZHUYIN_3119</t>
        </is>
      </c>
      <c r="GV15" t="inlineStr">
        <is>
          <t xml:space="preserve">ZHUYIN_3119</t>
        </is>
      </c>
      <c r="GX15" t="inlineStr">
        <is>
          <t xml:space="preserve">GEORGIAN_10DC</t>
        </is>
      </c>
      <c r="GZ15" t="inlineStr">
        <is>
          <t xml:space="preserve">GEORGIAN_10DC</t>
        </is>
      </c>
      <c r="HB15" t="inlineStr">
        <is>
          <t xml:space="preserve">ARMENIAN_056C</t>
        </is>
      </c>
      <c r="HC15" t="inlineStr">
        <is>
          <t xml:space="preserve">ARMENIAN_053C</t>
        </is>
      </c>
      <c r="HV15" t="inlineStr">
        <is>
          <t xml:space="preserve">KANGXI_RADICAL_BOW</t>
        </is>
      </c>
      <c r="HW15" t="inlineStr">
        <is>
          <t xml:space="preserve">n</t>
        </is>
      </c>
      <c r="HX15" t="inlineStr">
        <is>
          <t xml:space="preserve">KANGXI_RADICAL_BOW</t>
        </is>
      </c>
      <c r="IW15" t="inlineStr">
        <is>
          <t xml:space="preserve">N_WITH_TILDE_SMALL</t>
        </is>
      </c>
      <c r="JJ15" t="inlineStr">
        <is>
          <t xml:space="preserve">ARABIC_ALEF_MAKSURA</t>
        </is>
      </c>
      <c r="JK15" t="inlineStr">
        <is>
          <t xml:space="preserve">ARABIC_ALEF_MADDA_A</t>
        </is>
      </c>
      <c r="JL15" t="inlineStr">
        <is>
          <t xml:space="preserve">ARABIC_ALEF_MAKSURA</t>
        </is>
      </c>
      <c r="JR15" t="inlineStr">
        <is>
          <t xml:space="preserve">ETHIOPIC_1290</t>
        </is>
      </c>
      <c r="JS15" t="inlineStr">
        <is>
          <t xml:space="preserve">ETHIOPIC_1298</t>
        </is>
      </c>
      <c r="JT15" t="inlineStr">
        <is>
          <t xml:space="preserve">ETHIOPIC_1290</t>
        </is>
      </c>
      <c r="KD15" t="inlineStr">
        <is>
          <t xml:space="preserve">ARABIC_ALEF_MAKSURA</t>
        </is>
      </c>
      <c r="KE15" t="inlineStr">
        <is>
          <t xml:space="preserve">ARABIC_ALEF_MADDA_A</t>
        </is>
      </c>
      <c r="KF15" t="inlineStr">
        <is>
          <t xml:space="preserve">ARABIC_ALEF_MAKSURA</t>
        </is>
      </c>
      <c r="KH15" t="inlineStr">
        <is>
          <t xml:space="preserve">ARABIC_ALEF_MAKSURA</t>
        </is>
      </c>
      <c r="KI15" t="inlineStr">
        <is>
          <t xml:space="preserve">ARABIC_ALEF_MADDA_A</t>
        </is>
      </c>
      <c r="KJ15" t="inlineStr">
        <is>
          <t xml:space="preserve">ARABIC_ALEF_MAKSURA</t>
        </is>
      </c>
      <c r="KL15" t="inlineStr">
        <is>
          <t xml:space="preserve">ARABIC_NOON</t>
        </is>
      </c>
      <c r="KM15" t="inlineStr">
        <is>
          <t xml:space="preserve">ARABIC_TEH_MARBUTA</t>
        </is>
      </c>
      <c r="KN15" t="inlineStr">
        <is>
          <t xml:space="preserve">ARABIC_NOON</t>
        </is>
      </c>
      <c r="OO15" t="inlineStr">
        <is>
          <t xml:space="preserve">}</t>
        </is>
      </c>
      <c r="OW15" t="inlineStr">
        <is>
          <t xml:space="preserve">}</t>
        </is>
      </c>
      <c r="PB15" t="inlineStr">
        <is>
          <t xml:space="preserve">ARABIC_ALEF_MAKSURA</t>
        </is>
      </c>
      <c r="PC15" t="inlineStr">
        <is>
          <t xml:space="preserve">ARABIC_ALEF_MADDA_A</t>
        </is>
      </c>
      <c r="PD15" t="inlineStr">
        <is>
          <t xml:space="preserve">ARABIC_ALEF_MAKSURA</t>
        </is>
      </c>
      <c r="PF15" t="inlineStr">
        <is>
          <t xml:space="preserve">ARABIC_ALEF_MAKSURA</t>
        </is>
      </c>
      <c r="PG15" t="inlineStr">
        <is>
          <t xml:space="preserve">ARABIC_ALEF_MADDA_A</t>
        </is>
      </c>
      <c r="PH15" t="inlineStr">
        <is>
          <t xml:space="preserve">ARABIC_ALEF_MAKSURA</t>
        </is>
      </c>
      <c r="PJ15" t="inlineStr">
        <is>
          <t xml:space="preserve">ARABIC_ALEF_MAKSURA</t>
        </is>
      </c>
      <c r="PK15" t="inlineStr">
        <is>
          <t xml:space="preserve">ARABIC_ALEF_MADDA_A</t>
        </is>
      </c>
      <c r="PL15" t="inlineStr">
        <is>
          <t xml:space="preserve">ARABIC_ALEF_MAKSURA</t>
        </is>
      </c>
      <c r="PN15" t="inlineStr">
        <is>
          <t xml:space="preserve">ARABIC_ALEF_MAKSURA</t>
        </is>
      </c>
      <c r="PO15" t="inlineStr">
        <is>
          <t xml:space="preserve">ARABIC_ALEF_MADDA_A</t>
        </is>
      </c>
      <c r="PP15" t="inlineStr">
        <is>
          <t xml:space="preserve">ARABIC_ALEF_MAKSURA</t>
        </is>
      </c>
      <c r="PR15" t="inlineStr">
        <is>
          <t xml:space="preserve">ARABIC_ALEF_MAKSURA</t>
        </is>
      </c>
      <c r="PS15" t="inlineStr">
        <is>
          <t xml:space="preserve">ARABIC_ALEF_MADDA_A</t>
        </is>
      </c>
      <c r="PT15" t="inlineStr">
        <is>
          <t xml:space="preserve">ARABIC_ALEF_MAKSURA</t>
        </is>
      </c>
      <c r="PV15" t="inlineStr">
        <is>
          <t xml:space="preserve">ARABIC_ALEF_MAKSURA</t>
        </is>
      </c>
      <c r="PW15" t="inlineStr">
        <is>
          <t xml:space="preserve">ARABIC_ALEF_MADDA_A</t>
        </is>
      </c>
      <c r="PX15" t="inlineStr">
        <is>
          <t xml:space="preserve">ARABIC_ALEF_MAKSURA</t>
        </is>
      </c>
      <c r="PZ15" t="inlineStr">
        <is>
          <t xml:space="preserve">ARABIC_ALEF_MAKSURA</t>
        </is>
      </c>
      <c r="QA15" t="inlineStr">
        <is>
          <t xml:space="preserve">ARABIC_ALEF_MADDA_A</t>
        </is>
      </c>
      <c r="QB15" t="inlineStr">
        <is>
          <t xml:space="preserve">ARABIC_ALEF_MAKSURA</t>
        </is>
      </c>
      <c r="QD15" t="inlineStr">
        <is>
          <t xml:space="preserve">ARABIC_ALEF_MAKSURA</t>
        </is>
      </c>
      <c r="QE15" t="inlineStr">
        <is>
          <t xml:space="preserve">ARABIC_ALEF_MADDA_A</t>
        </is>
      </c>
      <c r="QF15" t="inlineStr">
        <is>
          <t xml:space="preserve">ARABIC_ALEF_MAKSURA</t>
        </is>
      </c>
      <c r="QH15" t="inlineStr">
        <is>
          <t xml:space="preserve">ARABIC_ALEF_MAKSURA</t>
        </is>
      </c>
      <c r="QI15" t="inlineStr">
        <is>
          <t xml:space="preserve">ARABIC_ALEF_MADDA_A</t>
        </is>
      </c>
      <c r="QJ15" t="inlineStr">
        <is>
          <t xml:space="preserve">ARABIC_ALEF_MAKSURA</t>
        </is>
      </c>
      <c r="QL15" t="inlineStr">
        <is>
          <t xml:space="preserve">ARABIC_ALEF_MAKSURA</t>
        </is>
      </c>
      <c r="QM15" t="inlineStr">
        <is>
          <t xml:space="preserve">ARABIC_ALEF_MADDA_A</t>
        </is>
      </c>
      <c r="QN15" t="inlineStr">
        <is>
          <t xml:space="preserve">ARABIC_ALEF_MAKSURA</t>
        </is>
      </c>
      <c r="QP15" t="inlineStr">
        <is>
          <t xml:space="preserve">ARABIC_ALEF_MAKSURA</t>
        </is>
      </c>
      <c r="QQ15" t="inlineStr">
        <is>
          <t xml:space="preserve">ARABIC_ALEF_MADDA_A</t>
        </is>
      </c>
      <c r="QR15" t="inlineStr">
        <is>
          <t xml:space="preserve">ARABIC_ALEF_MAKSURA</t>
        </is>
      </c>
      <c r="QT15" t="inlineStr">
        <is>
          <t xml:space="preserve">ARABIC_ALEF_MAKSURA</t>
        </is>
      </c>
      <c r="QU15" t="inlineStr">
        <is>
          <t xml:space="preserve">ARABIC_ALEF_MADDA_A</t>
        </is>
      </c>
      <c r="QV15" t="inlineStr">
        <is>
          <t xml:space="preserve">ARABIC_ALEF_MAKSURA</t>
        </is>
      </c>
      <c r="QX15" t="inlineStr">
        <is>
          <t xml:space="preserve">ARABIC_ALEF_MAKSURA</t>
        </is>
      </c>
      <c r="QY15" t="inlineStr">
        <is>
          <t xml:space="preserve">ARABIC_ALEF_MADDA_A</t>
        </is>
      </c>
      <c r="QZ15" t="inlineStr">
        <is>
          <t xml:space="preserve">ARABIC_ALEF_MAKSURA</t>
        </is>
      </c>
      <c r="RB15" t="inlineStr">
        <is>
          <t xml:space="preserve">ARABIC_ALEF_MAKSURA</t>
        </is>
      </c>
      <c r="RC15" t="inlineStr">
        <is>
          <t xml:space="preserve">ARABIC_ALEF_MADDA_A</t>
        </is>
      </c>
      <c r="RD15" t="inlineStr">
        <is>
          <t xml:space="preserve">ARABIC_ALEF_MAKSURA</t>
        </is>
      </c>
      <c r="SX15" t="inlineStr">
        <is>
          <t xml:space="preserve">BENGALI_09B2</t>
        </is>
      </c>
      <c r="SZ15" t="inlineStr">
        <is>
          <t xml:space="preserve">BENGALI_09B2</t>
        </is>
      </c>
      <c r="TM15" t="inlineStr">
        <is>
          <t xml:space="preserve">N_WITH_TILDE_SMALL</t>
        </is>
      </c>
      <c r="TU15" t="inlineStr">
        <is>
          <t xml:space="preserve">N_WITH_TILDE_SMALL</t>
        </is>
      </c>
      <c r="TV15" t="inlineStr">
        <is>
          <t xml:space="preserve">CYRILLIC_SM_TE</t>
        </is>
      </c>
      <c r="TW15" t="inlineStr">
        <is>
          <t xml:space="preserve">CYRILLIC_TE</t>
        </is>
      </c>
      <c r="TZ15" t="inlineStr">
        <is>
          <t xml:space="preserve">CYRILLIC_SM_TE</t>
        </is>
      </c>
      <c r="UA15" t="inlineStr">
        <is>
          <t xml:space="preserve">CYRILLIC_TE</t>
        </is>
      </c>
      <c r="VE15" t="inlineStr">
        <is>
          <t xml:space="preserve">N_WITH_TILDE_SMALL</t>
        </is>
      </c>
      <c r="XB15" t="inlineStr">
        <is>
          <t xml:space="preserve">ARABIC_062F</t>
        </is>
      </c>
      <c r="XC15" t="inlineStr">
        <is>
          <t xml:space="preserve">ARABIC_0689</t>
        </is>
      </c>
      <c r="XD15" t="inlineStr">
        <is>
          <t xml:space="preserve">ARABIC_062F</t>
        </is>
      </c>
      <c r="XE15" t="inlineStr">
        <is>
          <t xml:space="preserve">ARABIC_DDAL</t>
        </is>
      </c>
      <c r="XF15" t="inlineStr">
        <is>
          <t xml:space="preserve">UCAS_14F4</t>
        </is>
      </c>
      <c r="XG15" t="inlineStr">
        <is>
          <t xml:space="preserve">UCAS_14C7</t>
        </is>
      </c>
      <c r="XH15" t="inlineStr">
        <is>
          <t xml:space="preserve">UCAS_14F4</t>
        </is>
      </c>
      <c r="XJ15" t="inlineStr">
        <is>
          <t xml:space="preserve">n</t>
        </is>
      </c>
      <c r="XK15" t="inlineStr">
        <is>
          <t xml:space="preserve">N</t>
        </is>
      </c>
      <c r="XM15" t="inlineStr">
        <is>
          <t xml:space="preserve">UCAS_14C7</t>
        </is>
      </c>
      <c r="XN15" t="inlineStr">
        <is>
          <t xml:space="preserve">CHEROKEE_13BE</t>
        </is>
      </c>
      <c r="XO15" t="inlineStr">
        <is>
          <t xml:space="preserve">CHEROKEE_13BB</t>
        </is>
      </c>
      <c r="XP15" t="inlineStr">
        <is>
          <t xml:space="preserve">CHEROKEE_13BE</t>
        </is>
      </c>
      <c r="XQ15" t="inlineStr">
        <is>
          <t xml:space="preserve">n</t>
        </is>
      </c>
    </row>
    <row r="16" s="116" customFormat="true" ht="15.95" hidden="false" customHeight="true" outlineLevel="0" collapsed="false">
      <c r="A16" s="93" t="s">
        <v>1186</v>
      </c>
      <c r="B16" s="94" t="s">
        <v>1187</v>
      </c>
      <c r="C16" s="94" t="s">
        <v>1188</v>
      </c>
      <c r="D16" s="94"/>
      <c r="E16" s="94"/>
      <c r="F16" s="95"/>
      <c r="G16" s="95"/>
      <c r="H16" s="95"/>
      <c r="I16" s="95"/>
      <c r="J16" s="96"/>
      <c r="K16" s="96"/>
      <c r="L16" s="96"/>
      <c r="M16" s="96"/>
      <c r="N16" s="97"/>
      <c r="O16" s="97"/>
      <c r="P16" s="97"/>
      <c r="Q16" s="97"/>
      <c r="R16" s="98"/>
      <c r="S16" s="98"/>
      <c r="T16" s="98"/>
      <c r="U16" s="98"/>
      <c r="V16" s="99"/>
      <c r="W16" s="99"/>
      <c r="X16" s="99"/>
      <c r="Y16" s="99"/>
      <c r="Z16" s="100"/>
      <c r="AA16" s="100"/>
      <c r="AB16" s="100"/>
      <c r="AC16" s="100"/>
      <c r="AD16" s="101" t="s">
        <v>661</v>
      </c>
      <c r="AE16" s="101" t="s">
        <v>663</v>
      </c>
      <c r="AF16" s="101"/>
      <c r="AG16" s="101"/>
      <c r="AH16" t="inlineStr">
        <is>
          <t xml:space="preserve">o</t>
        </is>
      </c>
      <c r="AI16" t="inlineStr">
        <is>
          <t xml:space="preserve">O</t>
        </is>
      </c>
      <c r="AK16" t="inlineStr">
        <is>
          <t xml:space="preserve">HIRAGANA_RA</t>
        </is>
      </c>
      <c r="AL16" s="103" t="s">
        <v>530</v>
      </c>
      <c r="AM16" s="103" t="s">
        <v>127</v>
      </c>
      <c r="AN16" s="103" t="s">
        <v>530</v>
      </c>
      <c r="AO16" s="103"/>
      <c r="AP16" s="104" t="s">
        <v>282</v>
      </c>
      <c r="AQ16" s="104" t="s">
        <v>234</v>
      </c>
      <c r="AR16" s="104"/>
      <c r="AS16" s="104"/>
      <c r="AT16" s="105" t="s">
        <v>391</v>
      </c>
      <c r="AU16" s="105" t="s">
        <v>347</v>
      </c>
      <c r="AV16" s="105"/>
      <c r="AW16" s="105"/>
      <c r="AX16" s="106" t="s">
        <v>391</v>
      </c>
      <c r="AY16" s="106" t="s">
        <v>347</v>
      </c>
      <c r="AZ16" s="106"/>
      <c r="BA16" s="106"/>
      <c r="BB16" s="107" t="s">
        <v>410</v>
      </c>
      <c r="BC16" s="107" t="s">
        <v>314</v>
      </c>
      <c r="BD16" s="107"/>
      <c r="BE16" s="107"/>
      <c r="BF16" s="108" t="s">
        <v>410</v>
      </c>
      <c r="BG16" s="108" t="s">
        <v>314</v>
      </c>
      <c r="BH16" s="108"/>
      <c r="BI16" s="108"/>
      <c r="BJ16" s="109" t="s">
        <v>364</v>
      </c>
      <c r="BK16" s="109" t="s">
        <v>320</v>
      </c>
      <c r="BL16" s="109"/>
      <c r="BM16" s="109"/>
      <c r="BN16" s="95"/>
      <c r="BO16" s="95"/>
      <c r="BP16" s="95"/>
      <c r="BQ16" t="inlineStr">
        <is>
          <t xml:space="preserve">O_WITH_ACUTE_SMALL</t>
        </is>
      </c>
      <c r="BR16" s="110"/>
      <c r="BS16" s="110"/>
      <c r="BT16" s="110"/>
      <c r="BU16" s="110"/>
      <c r="BZ16" s="111"/>
      <c r="CA16" s="111"/>
      <c r="CB16" s="111"/>
      <c r="CC16" t="inlineStr">
        <is>
          <t xml:space="preserve">O_WITH_GRAVE_SMALL</t>
        </is>
      </c>
      <c r="CD16" s="95" t="s">
        <v>484</v>
      </c>
      <c r="CE16" s="95" t="s">
        <v>459</v>
      </c>
      <c r="CF16" s="95"/>
      <c r="CG16" s="95" t="s">
        <v>457</v>
      </c>
      <c r="CH16" s="112"/>
      <c r="CI16" s="112"/>
      <c r="CJ16" s="112"/>
      <c r="CK16" s="112"/>
      <c r="CL16" s="113"/>
      <c r="CM16" s="113"/>
      <c r="CN16" s="113"/>
      <c r="CO16" s="113"/>
      <c r="CP16" s="84"/>
      <c r="CQ16" s="84"/>
      <c r="CR16" s="84"/>
      <c r="CS16" s="84"/>
      <c r="CT16" s="110"/>
      <c r="CU16" s="110"/>
      <c r="CV16" s="110"/>
      <c r="CW16" s="110"/>
      <c r="CX16" s="114"/>
      <c r="CY16" s="114"/>
      <c r="CZ16" s="114"/>
      <c r="DA16" s="114"/>
      <c r="DB16" s="115"/>
      <c r="DC16" s="115"/>
      <c r="DD16" s="115"/>
      <c r="DE16" s="115"/>
      <c r="ED16" t="inlineStr">
        <is>
          <t xml:space="preserve">CYRILLIC_SM_O</t>
        </is>
      </c>
      <c r="EE16" t="inlineStr">
        <is>
          <t xml:space="preserve">CYRILLIC_O</t>
        </is>
      </c>
      <c r="EH16" t="inlineStr">
        <is>
          <t xml:space="preserve">CYRILLIC_SM_O</t>
        </is>
      </c>
      <c r="EI16" t="inlineStr">
        <is>
          <t xml:space="preserve">CYRILLIC_O</t>
        </is>
      </c>
      <c r="EL16" t="inlineStr">
        <is>
          <t xml:space="preserve">ARABIC_KHAH</t>
        </is>
      </c>
      <c r="EN16" t="inlineStr">
        <is>
          <t xml:space="preserve">ARABIC_KHAH</t>
        </is>
      </c>
      <c r="EP16" t="inlineStr">
        <is>
          <t xml:space="preserve">DEVANAGARI_0926</t>
        </is>
      </c>
      <c r="EQ16" t="inlineStr">
        <is>
          <t xml:space="preserve">DEVANAGARI_0927</t>
        </is>
      </c>
      <c r="ER16" t="inlineStr">
        <is>
          <t xml:space="preserve">DEVANAGARI_0926</t>
        </is>
      </c>
      <c r="ET16" t="inlineStr">
        <is>
          <t xml:space="preserve">DEVANAGARI_0926</t>
        </is>
      </c>
      <c r="EU16" t="inlineStr">
        <is>
          <t xml:space="preserve">DEVANAGARI_0927</t>
        </is>
      </c>
      <c r="EV16" t="inlineStr">
        <is>
          <t xml:space="preserve">DEVANAGARI_0926</t>
        </is>
      </c>
      <c r="EX16" t="inlineStr">
        <is>
          <t xml:space="preserve">DEVANAGARI_0926</t>
        </is>
      </c>
      <c r="EY16" t="inlineStr">
        <is>
          <t xml:space="preserve">DEVANAGARI_0927</t>
        </is>
      </c>
      <c r="EZ16" t="inlineStr">
        <is>
          <t xml:space="preserve">DEVANAGARI_0926</t>
        </is>
      </c>
      <c r="FB16" t="inlineStr">
        <is>
          <t xml:space="preserve">CYRILLIC_SM_STRAIGHT_U</t>
        </is>
      </c>
      <c r="FC16" t="inlineStr">
        <is>
          <t xml:space="preserve">CYRILLIC_STRAIGHT_U</t>
        </is>
      </c>
      <c r="FF16" t="inlineStr">
        <is>
          <t xml:space="preserve">ARABIC_JEEM</t>
        </is>
      </c>
      <c r="FG16" t="inlineStr">
        <is>
          <t xml:space="preserve">ARABIC_TCHEH</t>
        </is>
      </c>
      <c r="FH16" t="inlineStr">
        <is>
          <t xml:space="preserve">ARABIC_JEEM</t>
        </is>
      </c>
      <c r="GD16" t="inlineStr">
        <is>
          <t xml:space="preserve">THAI_0E19</t>
        </is>
      </c>
      <c r="GE16" t="inlineStr">
        <is>
          <t xml:space="preserve">THAI_0E2F</t>
        </is>
      </c>
      <c r="GF16" t="inlineStr">
        <is>
          <t xml:space="preserve">THAI_0E19</t>
        </is>
      </c>
      <c r="GH16" t="inlineStr">
        <is>
          <t xml:space="preserve">BENGALI_09A6</t>
        </is>
      </c>
      <c r="GI16" t="inlineStr">
        <is>
          <t xml:space="preserve">BENGALI_09A7</t>
        </is>
      </c>
      <c r="GJ16" t="inlineStr">
        <is>
          <t xml:space="preserve">BENGALI_09A6</t>
        </is>
      </c>
      <c r="GL16" t="inlineStr">
        <is>
          <t xml:space="preserve">TELUGU_0C26</t>
        </is>
      </c>
      <c r="GM16" t="inlineStr">
        <is>
          <t xml:space="preserve">TELUGU_0C27</t>
        </is>
      </c>
      <c r="GN16" t="inlineStr">
        <is>
          <t xml:space="preserve">TELUGU_0C26</t>
        </is>
      </c>
      <c r="GT16" t="inlineStr">
        <is>
          <t xml:space="preserve">ZHUYIN_311F</t>
        </is>
      </c>
      <c r="GV16" t="inlineStr">
        <is>
          <t xml:space="preserve">ZHUYIN_311F</t>
        </is>
      </c>
      <c r="GX16" t="inlineStr">
        <is>
          <t xml:space="preserve">GEORGIAN_10DD</t>
        </is>
      </c>
      <c r="GZ16" t="inlineStr">
        <is>
          <t xml:space="preserve">GEORGIAN_10DD</t>
        </is>
      </c>
      <c r="HB16" t="inlineStr">
        <is>
          <t xml:space="preserve">ARMENIAN_0568</t>
        </is>
      </c>
      <c r="HC16" t="inlineStr">
        <is>
          <t xml:space="preserve">ARMENIAN_0538</t>
        </is>
      </c>
      <c r="HV16" t="inlineStr">
        <is>
          <t xml:space="preserve">KANGXI_RADICAL_MAN</t>
        </is>
      </c>
      <c r="HW16" t="inlineStr">
        <is>
          <t xml:space="preserve">o</t>
        </is>
      </c>
      <c r="HX16" t="inlineStr">
        <is>
          <t xml:space="preserve">KANGXI_RADICAL_MAN</t>
        </is>
      </c>
      <c r="IK16" t="inlineStr">
        <is>
          <t xml:space="preserve">LATIN_014D</t>
        </is>
      </c>
      <c r="IO16" t="inlineStr">
        <is>
          <t xml:space="preserve">LATIN_014D</t>
        </is>
      </c>
      <c r="IW16" t="inlineStr">
        <is>
          <t xml:space="preserve">LATIN_00F8</t>
        </is>
      </c>
      <c r="JA16" t="inlineStr">
        <is>
          <t xml:space="preserve">LATIN_014D</t>
        </is>
      </c>
      <c r="JE16" t="inlineStr">
        <is>
          <t xml:space="preserve">UMLAUT_O_SMALL</t>
        </is>
      </c>
      <c r="JI16" t="inlineStr">
        <is>
          <t xml:space="preserve">UMLAUT_O_SMALL</t>
        </is>
      </c>
      <c r="JJ16" t="inlineStr">
        <is>
          <t xml:space="preserve">ARABIC_TEH_MARBUTA</t>
        </is>
      </c>
      <c r="JK16" t="inlineStr">
        <is>
          <t xml:space="preserve">MUL_SIGN</t>
        </is>
      </c>
      <c r="JL16" t="inlineStr">
        <is>
          <t xml:space="preserve">ARABIC_TEH_MARBUTA</t>
        </is>
      </c>
      <c r="JR16" t="inlineStr">
        <is>
          <t xml:space="preserve">ETHIOPIC_12A6</t>
        </is>
      </c>
      <c r="JT16" t="inlineStr">
        <is>
          <t xml:space="preserve">ETHIOPIC_12A6</t>
        </is>
      </c>
      <c r="KD16" t="inlineStr">
        <is>
          <t xml:space="preserve">ARABIC_TEH_MARBUTA</t>
        </is>
      </c>
      <c r="KE16" t="inlineStr">
        <is>
          <t xml:space="preserve">MUL_SIGN</t>
        </is>
      </c>
      <c r="KF16" t="inlineStr">
        <is>
          <t xml:space="preserve">ARABIC_TEH_MARBUTA</t>
        </is>
      </c>
      <c r="KH16" t="inlineStr">
        <is>
          <t xml:space="preserve">ARABIC_TEH_MARBUTA</t>
        </is>
      </c>
      <c r="KI16" t="inlineStr">
        <is>
          <t xml:space="preserve">MUL_SIGN</t>
        </is>
      </c>
      <c r="KJ16" t="inlineStr">
        <is>
          <t xml:space="preserve">ARABIC_TEH_MARBUTA</t>
        </is>
      </c>
      <c r="KL16" t="inlineStr">
        <is>
          <t xml:space="preserve">ARABIC_OE</t>
        </is>
      </c>
      <c r="KM16" t="inlineStr">
        <is>
          <t xml:space="preserve">ARABIC_WAW_HAMZA_A</t>
        </is>
      </c>
      <c r="KN16" t="inlineStr">
        <is>
          <t xml:space="preserve">ARABIC_OE</t>
        </is>
      </c>
      <c r="LA16" t="inlineStr">
        <is>
          <t xml:space="preserve">U"\f\f\f" SECTION</t>
        </is>
      </c>
      <c r="OH16" t="inlineStr">
        <is>
          <t xml:space="preserve">o</t>
        </is>
      </c>
      <c r="OI16" t="inlineStr">
        <is>
          <t xml:space="preserve">O</t>
        </is>
      </c>
      <c r="OK16" t="inlineStr">
        <is>
          <t xml:space="preserve">O_WITH_ACUTE_SMALL</t>
        </is>
      </c>
      <c r="PB16" t="inlineStr">
        <is>
          <t xml:space="preserve">ARABIC_TEH_MARBUTA</t>
        </is>
      </c>
      <c r="PC16" t="inlineStr">
        <is>
          <t xml:space="preserve">MUL_SIGN</t>
        </is>
      </c>
      <c r="PD16" t="inlineStr">
        <is>
          <t xml:space="preserve">ARABIC_TEH_MARBUTA</t>
        </is>
      </c>
      <c r="PF16" t="inlineStr">
        <is>
          <t xml:space="preserve">ARABIC_TEH_MARBUTA</t>
        </is>
      </c>
      <c r="PG16" t="inlineStr">
        <is>
          <t xml:space="preserve">MUL_SIGN</t>
        </is>
      </c>
      <c r="PH16" t="inlineStr">
        <is>
          <t xml:space="preserve">ARABIC_TEH_MARBUTA</t>
        </is>
      </c>
      <c r="PJ16" t="inlineStr">
        <is>
          <t xml:space="preserve">ARABIC_TEH_MARBUTA</t>
        </is>
      </c>
      <c r="PK16" t="inlineStr">
        <is>
          <t xml:space="preserve">MUL_SIGN</t>
        </is>
      </c>
      <c r="PL16" t="inlineStr">
        <is>
          <t xml:space="preserve">ARABIC_TEH_MARBUTA</t>
        </is>
      </c>
      <c r="PN16" t="inlineStr">
        <is>
          <t xml:space="preserve">ARABIC_TEH_MARBUTA</t>
        </is>
      </c>
      <c r="PO16" t="inlineStr">
        <is>
          <t xml:space="preserve">MUL_SIGN</t>
        </is>
      </c>
      <c r="PP16" t="inlineStr">
        <is>
          <t xml:space="preserve">ARABIC_TEH_MARBUTA</t>
        </is>
      </c>
      <c r="PR16" t="inlineStr">
        <is>
          <t xml:space="preserve">ARABIC_TEH_MARBUTA</t>
        </is>
      </c>
      <c r="PS16" t="inlineStr">
        <is>
          <t xml:space="preserve">MUL_SIGN</t>
        </is>
      </c>
      <c r="PT16" t="inlineStr">
        <is>
          <t xml:space="preserve">ARABIC_TEH_MARBUTA</t>
        </is>
      </c>
      <c r="PV16" t="inlineStr">
        <is>
          <t xml:space="preserve">ARABIC_TEH_MARBUTA</t>
        </is>
      </c>
      <c r="PW16" t="inlineStr">
        <is>
          <t xml:space="preserve">MUL_SIGN</t>
        </is>
      </c>
      <c r="PX16" t="inlineStr">
        <is>
          <t xml:space="preserve">ARABIC_TEH_MARBUTA</t>
        </is>
      </c>
      <c r="PZ16" t="inlineStr">
        <is>
          <t xml:space="preserve">ARABIC_TEH_MARBUTA</t>
        </is>
      </c>
      <c r="QA16" t="inlineStr">
        <is>
          <t xml:space="preserve">MUL_SIGN</t>
        </is>
      </c>
      <c r="QB16" t="inlineStr">
        <is>
          <t xml:space="preserve">ARABIC_TEH_MARBUTA</t>
        </is>
      </c>
      <c r="QD16" t="inlineStr">
        <is>
          <t xml:space="preserve">ARABIC_TEH_MARBUTA</t>
        </is>
      </c>
      <c r="QE16" t="inlineStr">
        <is>
          <t xml:space="preserve">MUL_SIGN</t>
        </is>
      </c>
      <c r="QF16" t="inlineStr">
        <is>
          <t xml:space="preserve">ARABIC_TEH_MARBUTA</t>
        </is>
      </c>
      <c r="QH16" t="inlineStr">
        <is>
          <t xml:space="preserve">ARABIC_TEH_MARBUTA</t>
        </is>
      </c>
      <c r="QI16" t="inlineStr">
        <is>
          <t xml:space="preserve">MUL_SIGN</t>
        </is>
      </c>
      <c r="QJ16" t="inlineStr">
        <is>
          <t xml:space="preserve">ARABIC_TEH_MARBUTA</t>
        </is>
      </c>
      <c r="QL16" t="inlineStr">
        <is>
          <t xml:space="preserve">ARABIC_TEH_MARBUTA</t>
        </is>
      </c>
      <c r="QM16" t="inlineStr">
        <is>
          <t xml:space="preserve">MUL_SIGN</t>
        </is>
      </c>
      <c r="QN16" t="inlineStr">
        <is>
          <t xml:space="preserve">ARABIC_TEH_MARBUTA</t>
        </is>
      </c>
      <c r="QP16" t="inlineStr">
        <is>
          <t xml:space="preserve">ARABIC_TEH_MARBUTA</t>
        </is>
      </c>
      <c r="QQ16" t="inlineStr">
        <is>
          <t xml:space="preserve">MUL_SIGN</t>
        </is>
      </c>
      <c r="QR16" t="inlineStr">
        <is>
          <t xml:space="preserve">ARABIC_TEH_MARBUTA</t>
        </is>
      </c>
      <c r="QT16" t="inlineStr">
        <is>
          <t xml:space="preserve">ARABIC_TEH_MARBUTA</t>
        </is>
      </c>
      <c r="QU16" t="inlineStr">
        <is>
          <t xml:space="preserve">MUL_SIGN</t>
        </is>
      </c>
      <c r="QV16" t="inlineStr">
        <is>
          <t xml:space="preserve">ARABIC_TEH_MARBUTA</t>
        </is>
      </c>
      <c r="QX16" t="inlineStr">
        <is>
          <t xml:space="preserve">ARABIC_TEH_MARBUTA</t>
        </is>
      </c>
      <c r="QY16" t="inlineStr">
        <is>
          <t xml:space="preserve">MUL_SIGN</t>
        </is>
      </c>
      <c r="QZ16" t="inlineStr">
        <is>
          <t xml:space="preserve">ARABIC_TEH_MARBUTA</t>
        </is>
      </c>
      <c r="RB16" t="inlineStr">
        <is>
          <t xml:space="preserve">ARABIC_TEH_MARBUTA</t>
        </is>
      </c>
      <c r="RC16" t="inlineStr">
        <is>
          <t xml:space="preserve">MUL_SIGN</t>
        </is>
      </c>
      <c r="RD16" t="inlineStr">
        <is>
          <t xml:space="preserve">ARABIC_TEH_MARBUTA</t>
        </is>
      </c>
      <c r="SX16" t="inlineStr">
        <is>
          <t xml:space="preserve">BENGALI_09A6</t>
        </is>
      </c>
      <c r="SY16" t="inlineStr">
        <is>
          <t xml:space="preserve">BENGALI_09A7</t>
        </is>
      </c>
      <c r="SZ16" t="inlineStr">
        <is>
          <t xml:space="preserve">BENGALI_09A6</t>
        </is>
      </c>
      <c r="TM16" t="inlineStr">
        <is>
          <t xml:space="preserve">LATIN_00F8</t>
        </is>
      </c>
      <c r="TU16" t="inlineStr">
        <is>
          <t xml:space="preserve">UMLAUT_O_SMALL</t>
        </is>
      </c>
      <c r="TV16" t="inlineStr">
        <is>
          <t xml:space="preserve">CYRILLIC_SM_SHCHA</t>
        </is>
      </c>
      <c r="TW16" t="inlineStr">
        <is>
          <t xml:space="preserve">CYRILLIC_SHCHA</t>
        </is>
      </c>
      <c r="TZ16" t="inlineStr">
        <is>
          <t xml:space="preserve">CYRILLIC_SM_SHCHA</t>
        </is>
      </c>
      <c r="UA16" t="inlineStr">
        <is>
          <t xml:space="preserve">CYRILLIC_SHCHA</t>
        </is>
      </c>
      <c r="VA16" t="inlineStr">
        <is>
          <t xml:space="preserve">LATIN_014D</t>
        </is>
      </c>
      <c r="VE16" t="inlineStr">
        <is>
          <t xml:space="preserve">UMLAUT_O_SMALL</t>
        </is>
      </c>
      <c r="VR16" t="inlineStr">
        <is>
          <t xml:space="preserve">o</t>
        </is>
      </c>
      <c r="VS16" t="inlineStr">
        <is>
          <t xml:space="preserve">O</t>
        </is>
      </c>
      <c r="VU16" t="inlineStr">
        <is>
          <t xml:space="preserve">O_WITH_ACUTE_SMALL</t>
        </is>
      </c>
      <c r="VV16" t="inlineStr">
        <is>
          <t xml:space="preserve">o</t>
        </is>
      </c>
      <c r="VW16" t="inlineStr">
        <is>
          <t xml:space="preserve">O</t>
        </is>
      </c>
      <c r="VY16" t="inlineStr">
        <is>
          <t xml:space="preserve">O_WITH_GRAVE_SMALL</t>
        </is>
      </c>
      <c r="WG16" t="inlineStr">
        <is>
          <t xml:space="preserve">LATIN_00F5</t>
        </is>
      </c>
      <c r="WH16" t="inlineStr">
        <is>
          <t xml:space="preserve">o</t>
        </is>
      </c>
      <c r="WI16" t="inlineStr">
        <is>
          <t xml:space="preserve">O</t>
        </is>
      </c>
      <c r="WK16" t="inlineStr">
        <is>
          <t xml:space="preserve">LATIN_00F5</t>
        </is>
      </c>
      <c r="WT16" t="inlineStr">
        <is>
          <t xml:space="preserve">o</t>
        </is>
      </c>
      <c r="WU16" t="inlineStr">
        <is>
          <t xml:space="preserve">O</t>
        </is>
      </c>
      <c r="WW16" t="inlineStr">
        <is>
          <t xml:space="preserve">LATIN_01EB</t>
        </is>
      </c>
      <c r="XB16" t="inlineStr">
        <is>
          <t xml:space="preserve">U"\f" ARABIC_KHAH</t>
        </is>
      </c>
      <c r="XC16" t="inlineStr">
        <is>
          <t xml:space="preserve">U"\f" ARABIC_0681</t>
        </is>
      </c>
      <c r="XD16" t="inlineStr">
        <is>
          <t xml:space="preserve">ARABIC_062E</t>
        </is>
      </c>
      <c r="XE16" t="inlineStr">
        <is>
          <t xml:space="preserve">'</t>
        </is>
      </c>
      <c r="XF16" t="inlineStr">
        <is>
          <t xml:space="preserve">UCAS_14D5</t>
        </is>
      </c>
      <c r="XG16" t="inlineStr">
        <is>
          <t xml:space="preserve">UCAS_15A0</t>
        </is>
      </c>
      <c r="XH16" t="inlineStr">
        <is>
          <t xml:space="preserve">UCAS_14D5</t>
        </is>
      </c>
      <c r="XJ16" t="inlineStr">
        <is>
          <t xml:space="preserve">o</t>
        </is>
      </c>
      <c r="XK16" t="inlineStr">
        <is>
          <t xml:space="preserve">O</t>
        </is>
      </c>
      <c r="XM16" t="inlineStr">
        <is>
          <t xml:space="preserve">UCAS_1405</t>
        </is>
      </c>
      <c r="XN16" t="inlineStr">
        <is>
          <t xml:space="preserve">CHEROKEE_13A3</t>
        </is>
      </c>
      <c r="XO16" t="inlineStr">
        <is>
          <t xml:space="preserve">CHEROKEE_13EC</t>
        </is>
      </c>
      <c r="XP16" t="inlineStr">
        <is>
          <t xml:space="preserve">CHEROKEE_13A3</t>
        </is>
      </c>
      <c r="XQ16" t="inlineStr">
        <is>
          <t xml:space="preserve">o</t>
        </is>
      </c>
    </row>
    <row r="17" s="116" customFormat="true" ht="15.95" hidden="false" customHeight="true" outlineLevel="0" collapsed="false">
      <c r="A17" s="93" t="s">
        <v>1189</v>
      </c>
      <c r="B17" s="94" t="s">
        <v>1190</v>
      </c>
      <c r="C17" s="94" t="s">
        <v>1191</v>
      </c>
      <c r="D17" s="94"/>
      <c r="E17" s="94"/>
      <c r="F17" s="95"/>
      <c r="G17" s="95"/>
      <c r="H17" s="95"/>
      <c r="I17" s="95"/>
      <c r="J17" s="96"/>
      <c r="K17" s="96"/>
      <c r="L17" s="96"/>
      <c r="M17" s="96"/>
      <c r="N17" s="97"/>
      <c r="O17" s="97"/>
      <c r="P17" s="97"/>
      <c r="Q17" s="97"/>
      <c r="R17" s="98"/>
      <c r="S17" s="98"/>
      <c r="T17" s="98"/>
      <c r="U17" s="98"/>
      <c r="V17" s="99"/>
      <c r="W17" s="99"/>
      <c r="X17" s="99"/>
      <c r="Y17" s="99"/>
      <c r="Z17" s="100"/>
      <c r="AA17" s="100"/>
      <c r="AB17" s="100"/>
      <c r="AC17" s="100"/>
      <c r="AD17" s="101" t="s">
        <v>665</v>
      </c>
      <c r="AE17" s="101" t="s">
        <v>667</v>
      </c>
      <c r="AF17" s="101"/>
      <c r="AG17" s="101"/>
      <c r="AH17" t="inlineStr">
        <is>
          <t xml:space="preserve">p</t>
        </is>
      </c>
      <c r="AI17" t="inlineStr">
        <is>
          <t xml:space="preserve">P</t>
        </is>
      </c>
      <c r="AK17" t="inlineStr">
        <is>
          <t xml:space="preserve">HIRAGANA_SE</t>
        </is>
      </c>
      <c r="AL17" s="103" t="s">
        <v>541</v>
      </c>
      <c r="AM17" s="117" t="s">
        <v>506</v>
      </c>
      <c r="AN17" s="103" t="s">
        <v>541</v>
      </c>
      <c r="AO17" s="103"/>
      <c r="AP17" s="104" t="s">
        <v>284</v>
      </c>
      <c r="AQ17" s="118" t="s">
        <v>236</v>
      </c>
      <c r="AR17" s="104"/>
      <c r="AS17" s="104"/>
      <c r="AT17" s="105" t="s">
        <v>367</v>
      </c>
      <c r="AU17" s="119" t="s">
        <v>323</v>
      </c>
      <c r="AV17" s="105"/>
      <c r="AW17" s="105"/>
      <c r="AX17" s="106" t="s">
        <v>367</v>
      </c>
      <c r="AY17" s="120" t="s">
        <v>323</v>
      </c>
      <c r="AZ17" s="106"/>
      <c r="BA17" s="106"/>
      <c r="BB17" s="107" t="s">
        <v>367</v>
      </c>
      <c r="BC17" s="121" t="s">
        <v>323</v>
      </c>
      <c r="BD17" s="107"/>
      <c r="BE17" s="107"/>
      <c r="BF17" s="108" t="s">
        <v>367</v>
      </c>
      <c r="BG17" s="122" t="s">
        <v>323</v>
      </c>
      <c r="BH17" s="108"/>
      <c r="BI17" s="108"/>
      <c r="BJ17" s="109" t="s">
        <v>367</v>
      </c>
      <c r="BK17" s="123" t="s">
        <v>323</v>
      </c>
      <c r="BL17" s="109"/>
      <c r="BM17" s="109"/>
      <c r="BN17" s="95"/>
      <c r="BO17" s="95"/>
      <c r="BP17" s="95"/>
      <c r="BQ17" s="95"/>
      <c r="BR17" s="110"/>
      <c r="BS17" s="110"/>
      <c r="BT17" s="110"/>
      <c r="BU17" t="inlineStr">
        <is>
          <t xml:space="preserve">U"\f\f\f" SECTION</t>
        </is>
      </c>
      <c r="BZ17" s="111"/>
      <c r="CA17" s="111"/>
      <c r="CB17" s="111"/>
      <c r="CC17" s="111"/>
      <c r="CD17" s="95" t="s">
        <v>491</v>
      </c>
      <c r="CE17" s="95"/>
      <c r="CF17" s="95"/>
      <c r="CG17" t="inlineStr">
        <is>
          <t xml:space="preserve">HEBREW_METEG</t>
        </is>
      </c>
      <c r="CH17" s="112"/>
      <c r="CI17" s="112"/>
      <c r="CJ17" s="112"/>
      <c r="CK17" s="112"/>
      <c r="CL17" s="113"/>
      <c r="CM17" s="113"/>
      <c r="CN17" s="113"/>
      <c r="CO17" s="113"/>
      <c r="CP17" s="84"/>
      <c r="CQ17" s="84"/>
      <c r="CR17" s="84"/>
      <c r="CS17" s="84"/>
      <c r="CT17" s="110"/>
      <c r="CU17" s="110"/>
      <c r="CV17" s="110"/>
      <c r="CW17" s="110"/>
      <c r="CX17" s="114"/>
      <c r="CY17" s="114"/>
      <c r="CZ17" s="114"/>
      <c r="DA17" s="126"/>
      <c r="DB17" s="115"/>
      <c r="DC17" s="115"/>
      <c r="DD17" s="115"/>
      <c r="DE17" s="127"/>
      <c r="ED17" t="inlineStr">
        <is>
          <t xml:space="preserve">CYRILLIC_SM_PE</t>
        </is>
      </c>
      <c r="EE17" t="inlineStr">
        <is>
          <t xml:space="preserve">CYRILLIC_PE</t>
        </is>
      </c>
      <c r="EH17" t="inlineStr">
        <is>
          <t xml:space="preserve">CYRILLIC_SM_PE</t>
        </is>
      </c>
      <c r="EI17" t="inlineStr">
        <is>
          <t xml:space="preserve">CYRILLIC_PE</t>
        </is>
      </c>
      <c r="EL17" t="inlineStr">
        <is>
          <t xml:space="preserve">ARABIC_HAH</t>
        </is>
      </c>
      <c r="EN17" t="inlineStr">
        <is>
          <t xml:space="preserve">ARABIC_HAH</t>
        </is>
      </c>
      <c r="EP17" t="inlineStr">
        <is>
          <t xml:space="preserve">DEVANAGARI_091C</t>
        </is>
      </c>
      <c r="EQ17" t="inlineStr">
        <is>
          <t xml:space="preserve">DEVANAGARI_091D</t>
        </is>
      </c>
      <c r="ER17" t="inlineStr">
        <is>
          <t xml:space="preserve">DEVANAGARI_091C</t>
        </is>
      </c>
      <c r="ES17" t="inlineStr">
        <is>
          <t xml:space="preserve">DEVANAGARI_093C</t>
        </is>
      </c>
      <c r="ET17" t="inlineStr">
        <is>
          <t xml:space="preserve">DEVANAGARI_091C</t>
        </is>
      </c>
      <c r="EU17" t="inlineStr">
        <is>
          <t xml:space="preserve">DEVANAGARI_091D</t>
        </is>
      </c>
      <c r="EV17" t="inlineStr">
        <is>
          <t xml:space="preserve">DEVANAGARI_091C</t>
        </is>
      </c>
      <c r="EW17" t="inlineStr">
        <is>
          <t xml:space="preserve">DEVANAGARI_093C</t>
        </is>
      </c>
      <c r="EX17" t="inlineStr">
        <is>
          <t xml:space="preserve">DEVANAGARI_091C</t>
        </is>
      </c>
      <c r="EY17" t="inlineStr">
        <is>
          <t xml:space="preserve">DEVANAGARI_091D</t>
        </is>
      </c>
      <c r="EZ17" t="inlineStr">
        <is>
          <t xml:space="preserve">DEVANAGARI_091C</t>
        </is>
      </c>
      <c r="FB17" t="inlineStr">
        <is>
          <t xml:space="preserve">CYRILLIC_SM_ZE</t>
        </is>
      </c>
      <c r="FC17" t="inlineStr">
        <is>
          <t xml:space="preserve">CYRILLIC_ZE</t>
        </is>
      </c>
      <c r="FF17" t="inlineStr">
        <is>
          <t xml:space="preserve">ARABIC_HAH</t>
        </is>
      </c>
      <c r="FG17" t="inlineStr">
        <is>
          <t xml:space="preserve">ARABIC_KHAH</t>
        </is>
      </c>
      <c r="FH17" t="inlineStr">
        <is>
          <t xml:space="preserve">ARABIC_HAH</t>
        </is>
      </c>
      <c r="GD17" t="inlineStr">
        <is>
          <t xml:space="preserve">THAI_0E22</t>
        </is>
      </c>
      <c r="GE17" t="inlineStr">
        <is>
          <t xml:space="preserve">THAI_0E0D</t>
        </is>
      </c>
      <c r="GF17" t="inlineStr">
        <is>
          <t xml:space="preserve">THAI_0E22</t>
        </is>
      </c>
      <c r="GH17" t="inlineStr">
        <is>
          <t xml:space="preserve">BENGALI_099C</t>
        </is>
      </c>
      <c r="GI17" t="inlineStr">
        <is>
          <t xml:space="preserve">BENGALI_099D</t>
        </is>
      </c>
      <c r="GJ17" t="inlineStr">
        <is>
          <t xml:space="preserve">BENGALI_099C</t>
        </is>
      </c>
      <c r="GL17" t="inlineStr">
        <is>
          <t xml:space="preserve">TELUGU_0C1C</t>
        </is>
      </c>
      <c r="GM17" t="inlineStr">
        <is>
          <t xml:space="preserve">TELUGU_0C1D</t>
        </is>
      </c>
      <c r="GN17" t="inlineStr">
        <is>
          <t xml:space="preserve">TELUGU_0C1C</t>
        </is>
      </c>
      <c r="GP17" t="inlineStr">
        <is>
          <t xml:space="preserve">TAMIL_0B9C</t>
        </is>
      </c>
      <c r="GR17" t="inlineStr">
        <is>
          <t xml:space="preserve">TAMIL_0B9C</t>
        </is>
      </c>
      <c r="GT17" t="inlineStr">
        <is>
          <t xml:space="preserve">ZHUYIN_3123</t>
        </is>
      </c>
      <c r="GV17" t="inlineStr">
        <is>
          <t xml:space="preserve">ZHUYIN_3123</t>
        </is>
      </c>
      <c r="GX17" t="inlineStr">
        <is>
          <t xml:space="preserve">GEORGIAN_10DE</t>
        </is>
      </c>
      <c r="GZ17" t="inlineStr">
        <is>
          <t xml:space="preserve">GEORGIAN_10DE</t>
        </is>
      </c>
      <c r="HB17" t="inlineStr">
        <is>
          <t xml:space="preserve">ARMENIAN_0569</t>
        </is>
      </c>
      <c r="HC17" t="inlineStr">
        <is>
          <t xml:space="preserve">ARMENIAN_0539</t>
        </is>
      </c>
      <c r="HV17" t="inlineStr">
        <is>
          <t xml:space="preserve">KANGXI_RADICAL_HEART</t>
        </is>
      </c>
      <c r="HW17" t="inlineStr">
        <is>
          <t xml:space="preserve">p</t>
        </is>
      </c>
      <c r="HX17" t="inlineStr">
        <is>
          <t xml:space="preserve">KANGXI_RADICAL_HEART</t>
        </is>
      </c>
      <c r="IW17" t="inlineStr">
        <is>
          <t xml:space="preserve">PESO_SIGN</t>
        </is>
      </c>
      <c r="JE17" t="inlineStr">
        <is>
          <t xml:space="preserve">LATIN_00F4</t>
        </is>
      </c>
      <c r="JI17" t="inlineStr">
        <is>
          <t xml:space="preserve">LATIN_00F4</t>
        </is>
      </c>
      <c r="JJ17" t="inlineStr">
        <is>
          <t xml:space="preserve">ARABIC_HAH</t>
        </is>
      </c>
      <c r="JK17" t="inlineStr">
        <is>
          <t xml:space="preserve">ARABIC_SEMICOLON</t>
        </is>
      </c>
      <c r="JL17" t="inlineStr">
        <is>
          <t xml:space="preserve">ARABIC_HAH</t>
        </is>
      </c>
      <c r="JR17" t="inlineStr">
        <is>
          <t xml:space="preserve">ETHIOPIC_1350</t>
        </is>
      </c>
      <c r="JS17" t="inlineStr">
        <is>
          <t xml:space="preserve">ETHIOPIC_1330</t>
        </is>
      </c>
      <c r="JT17" t="inlineStr">
        <is>
          <t xml:space="preserve">ETHIOPIC_1350</t>
        </is>
      </c>
      <c r="KD17" t="inlineStr">
        <is>
          <t xml:space="preserve">ARABIC_HAH</t>
        </is>
      </c>
      <c r="KE17" t="inlineStr">
        <is>
          <t xml:space="preserve">ARABIC_SEMICOLON</t>
        </is>
      </c>
      <c r="KF17" t="inlineStr">
        <is>
          <t xml:space="preserve">ARABIC_HAH</t>
        </is>
      </c>
      <c r="KH17" t="inlineStr">
        <is>
          <t xml:space="preserve">ARABIC_HAH</t>
        </is>
      </c>
      <c r="KI17" t="inlineStr">
        <is>
          <t xml:space="preserve">ARABIC_SEMICOLON</t>
        </is>
      </c>
      <c r="KJ17" t="inlineStr">
        <is>
          <t xml:space="preserve">ARABIC_HAH</t>
        </is>
      </c>
      <c r="KL17" t="inlineStr">
        <is>
          <t xml:space="preserve">ARABIC_PEH</t>
        </is>
      </c>
      <c r="KM17" t="inlineStr">
        <is>
          <t xml:space="preserve">ARABIC_THEH</t>
        </is>
      </c>
      <c r="KN17" t="inlineStr">
        <is>
          <t xml:space="preserve">ARABIC_PEH</t>
        </is>
      </c>
      <c r="LA17" t="inlineStr">
        <is>
          <t xml:space="preserve">U"\f\f" PILCROW</t>
        </is>
      </c>
      <c r="PB17" t="inlineStr">
        <is>
          <t xml:space="preserve">ARABIC_HAH</t>
        </is>
      </c>
      <c r="PC17" t="inlineStr">
        <is>
          <t xml:space="preserve">ARABIC_SEMICOLON</t>
        </is>
      </c>
      <c r="PD17" t="inlineStr">
        <is>
          <t xml:space="preserve">ARABIC_HAH</t>
        </is>
      </c>
      <c r="PF17" t="inlineStr">
        <is>
          <t xml:space="preserve">ARABIC_HAH</t>
        </is>
      </c>
      <c r="PG17" t="inlineStr">
        <is>
          <t xml:space="preserve">ARABIC_SEMICOLON</t>
        </is>
      </c>
      <c r="PH17" t="inlineStr">
        <is>
          <t xml:space="preserve">ARABIC_HAH</t>
        </is>
      </c>
      <c r="PJ17" t="inlineStr">
        <is>
          <t xml:space="preserve">ARABIC_HAH</t>
        </is>
      </c>
      <c r="PK17" t="inlineStr">
        <is>
          <t xml:space="preserve">ARABIC_SEMICOLON</t>
        </is>
      </c>
      <c r="PL17" t="inlineStr">
        <is>
          <t xml:space="preserve">ARABIC_HAH</t>
        </is>
      </c>
      <c r="PN17" t="inlineStr">
        <is>
          <t xml:space="preserve">ARABIC_HAH</t>
        </is>
      </c>
      <c r="PO17" t="inlineStr">
        <is>
          <t xml:space="preserve">ARABIC_SEMICOLON</t>
        </is>
      </c>
      <c r="PP17" t="inlineStr">
        <is>
          <t xml:space="preserve">ARABIC_HAH</t>
        </is>
      </c>
      <c r="PR17" t="inlineStr">
        <is>
          <t xml:space="preserve">ARABIC_HAH</t>
        </is>
      </c>
      <c r="PS17" t="inlineStr">
        <is>
          <t xml:space="preserve">ARABIC_SEMICOLON</t>
        </is>
      </c>
      <c r="PT17" t="inlineStr">
        <is>
          <t xml:space="preserve">ARABIC_HAH</t>
        </is>
      </c>
      <c r="PV17" t="inlineStr">
        <is>
          <t xml:space="preserve">ARABIC_HAH</t>
        </is>
      </c>
      <c r="PW17" t="inlineStr">
        <is>
          <t xml:space="preserve">ARABIC_SEMICOLON</t>
        </is>
      </c>
      <c r="PX17" t="inlineStr">
        <is>
          <t xml:space="preserve">ARABIC_HAH</t>
        </is>
      </c>
      <c r="PZ17" t="inlineStr">
        <is>
          <t xml:space="preserve">ARABIC_HAH</t>
        </is>
      </c>
      <c r="QA17" t="inlineStr">
        <is>
          <t xml:space="preserve">ARABIC_SEMICOLON</t>
        </is>
      </c>
      <c r="QB17" t="inlineStr">
        <is>
          <t xml:space="preserve">ARABIC_HAH</t>
        </is>
      </c>
      <c r="QD17" t="inlineStr">
        <is>
          <t xml:space="preserve">ARABIC_HAH</t>
        </is>
      </c>
      <c r="QE17" t="inlineStr">
        <is>
          <t xml:space="preserve">ARABIC_SEMICOLON</t>
        </is>
      </c>
      <c r="QF17" t="inlineStr">
        <is>
          <t xml:space="preserve">ARABIC_HAH</t>
        </is>
      </c>
      <c r="QH17" t="inlineStr">
        <is>
          <t xml:space="preserve">ARABIC_HAH</t>
        </is>
      </c>
      <c r="QI17" t="inlineStr">
        <is>
          <t xml:space="preserve">ARABIC_SEMICOLON</t>
        </is>
      </c>
      <c r="QJ17" t="inlineStr">
        <is>
          <t xml:space="preserve">ARABIC_HAH</t>
        </is>
      </c>
      <c r="QL17" t="inlineStr">
        <is>
          <t xml:space="preserve">ARABIC_HAH</t>
        </is>
      </c>
      <c r="QM17" t="inlineStr">
        <is>
          <t xml:space="preserve">ARABIC_SEMICOLON</t>
        </is>
      </c>
      <c r="QN17" t="inlineStr">
        <is>
          <t xml:space="preserve">ARABIC_HAH</t>
        </is>
      </c>
      <c r="QP17" t="inlineStr">
        <is>
          <t xml:space="preserve">ARABIC_HAH</t>
        </is>
      </c>
      <c r="QQ17" t="inlineStr">
        <is>
          <t xml:space="preserve">ARABIC_SEMICOLON</t>
        </is>
      </c>
      <c r="QR17" t="inlineStr">
        <is>
          <t xml:space="preserve">ARABIC_HAH</t>
        </is>
      </c>
      <c r="QT17" t="inlineStr">
        <is>
          <t xml:space="preserve">ARABIC_HAH</t>
        </is>
      </c>
      <c r="QU17" t="inlineStr">
        <is>
          <t xml:space="preserve">ARABIC_SEMICOLON</t>
        </is>
      </c>
      <c r="QV17" t="inlineStr">
        <is>
          <t xml:space="preserve">ARABIC_HAH</t>
        </is>
      </c>
      <c r="QX17" t="inlineStr">
        <is>
          <t xml:space="preserve">ARABIC_HAH</t>
        </is>
      </c>
      <c r="QY17" t="inlineStr">
        <is>
          <t xml:space="preserve">ARABIC_SEMICOLON</t>
        </is>
      </c>
      <c r="QZ17" t="inlineStr">
        <is>
          <t xml:space="preserve">ARABIC_HAH</t>
        </is>
      </c>
      <c r="RB17" t="inlineStr">
        <is>
          <t xml:space="preserve">ARABIC_HAH</t>
        </is>
      </c>
      <c r="RC17" t="inlineStr">
        <is>
          <t xml:space="preserve">ARABIC_SEMICOLON</t>
        </is>
      </c>
      <c r="RD17" t="inlineStr">
        <is>
          <t xml:space="preserve">ARABIC_HAH</t>
        </is>
      </c>
      <c r="SX17" t="inlineStr">
        <is>
          <t xml:space="preserve">BENGALI_099C</t>
        </is>
      </c>
      <c r="SY17" t="inlineStr">
        <is>
          <t xml:space="preserve">BENGALI_099D</t>
        </is>
      </c>
      <c r="SZ17" t="inlineStr">
        <is>
          <t xml:space="preserve">BENGALI_099C</t>
        </is>
      </c>
      <c r="TM17" t="inlineStr">
        <is>
          <t xml:space="preserve">PESO_SIGN</t>
        </is>
      </c>
      <c r="TV17" t="inlineStr">
        <is>
          <t xml:space="preserve">CYRILLIC_SM_ZE</t>
        </is>
      </c>
      <c r="TW17" t="inlineStr">
        <is>
          <t xml:space="preserve">CYRILLIC_ZE</t>
        </is>
      </c>
      <c r="TZ17" t="inlineStr">
        <is>
          <t xml:space="preserve">CYRILLIC_SM_ZE</t>
        </is>
      </c>
      <c r="UA17" t="inlineStr">
        <is>
          <t xml:space="preserve">CYRILLIC_ZE</t>
        </is>
      </c>
      <c r="VE17" t="inlineStr">
        <is>
          <t xml:space="preserve">LATIN_0153</t>
        </is>
      </c>
      <c r="WG17" t="inlineStr">
        <is>
          <t xml:space="preserve">LATIN_0153</t>
        </is>
      </c>
      <c r="XB17" t="inlineStr">
        <is>
          <t xml:space="preserve">U"\f" ARABIC_HAH</t>
        </is>
      </c>
      <c r="XC17" t="inlineStr">
        <is>
          <t xml:space="preserve">U"\f" ARABIC_0685</t>
        </is>
      </c>
      <c r="XD17" t="inlineStr">
        <is>
          <t xml:space="preserve">ARABIC_062D</t>
        </is>
      </c>
      <c r="XE17" t="inlineStr">
        <is>
          <t xml:space="preserve">QUOTE</t>
        </is>
      </c>
      <c r="XF17" t="inlineStr">
        <is>
          <t xml:space="preserve">UCAS_1528</t>
        </is>
      </c>
      <c r="XG17" t="inlineStr">
        <is>
          <t xml:space="preserve">UCAS_15A6</t>
        </is>
      </c>
      <c r="XH17" t="inlineStr">
        <is>
          <t xml:space="preserve">UCAS_1528</t>
        </is>
      </c>
      <c r="XJ17" t="inlineStr">
        <is>
          <t xml:space="preserve">p</t>
        </is>
      </c>
      <c r="XK17" t="inlineStr">
        <is>
          <t xml:space="preserve">P</t>
        </is>
      </c>
      <c r="XM17" t="inlineStr">
        <is>
          <t xml:space="preserve">UCAS_1438</t>
        </is>
      </c>
      <c r="XN17" t="inlineStr">
        <is>
          <t xml:space="preserve">CHEROKEE_13C1</t>
        </is>
      </c>
      <c r="XO17" t="inlineStr">
        <is>
          <t xml:space="preserve">CHEROKEE_13EA</t>
        </is>
      </c>
      <c r="XP17" t="inlineStr">
        <is>
          <t xml:space="preserve">CHEROKEE_13C1</t>
        </is>
      </c>
      <c r="XQ17" t="inlineStr">
        <is>
          <t xml:space="preserve">p</t>
        </is>
      </c>
    </row>
    <row r="18" s="116" customFormat="true" ht="15.95" hidden="false" customHeight="true" outlineLevel="0" collapsed="false">
      <c r="A18" s="93" t="s">
        <v>1193</v>
      </c>
      <c r="B18" s="94" t="s">
        <v>1132</v>
      </c>
      <c r="C18" s="94" t="s">
        <v>1133</v>
      </c>
      <c r="D18" s="94"/>
      <c r="E18" s="94"/>
      <c r="F18" s="95"/>
      <c r="G18" s="95"/>
      <c r="H18" s="95"/>
      <c r="I18" t="inlineStr">
        <is>
          <t xml:space="preserve">U"\b\b@"</t>
        </is>
      </c>
      <c r="J18" s="96" t="s">
        <v>1130</v>
      </c>
      <c r="K18" s="96" t="s">
        <v>1131</v>
      </c>
      <c r="L18" s="96"/>
      <c r="M18" s="96"/>
      <c r="N18" s="97"/>
      <c r="O18" s="97"/>
      <c r="P18" s="97"/>
      <c r="Q18" s="97"/>
      <c r="R18" s="98"/>
      <c r="S18" s="98"/>
      <c r="T18" s="98"/>
      <c r="U18" s="98"/>
      <c r="V18" s="99"/>
      <c r="W18" s="99"/>
      <c r="X18" s="99"/>
      <c r="Y18" s="99"/>
      <c r="Z18" s="100"/>
      <c r="AA18" s="100"/>
      <c r="AB18" s="100"/>
      <c r="AC18" s="100" t="s">
        <v>1195</v>
      </c>
      <c r="AD18" s="101" t="s">
        <v>642</v>
      </c>
      <c r="AE18" s="101" t="s">
        <v>643</v>
      </c>
      <c r="AF18" s="101"/>
      <c r="AG18" s="101"/>
      <c r="AH18" t="inlineStr">
        <is>
          <t xml:space="preserve">q</t>
        </is>
      </c>
      <c r="AI18" t="inlineStr">
        <is>
          <t xml:space="preserve">Q</t>
        </is>
      </c>
      <c r="AK18" t="inlineStr">
        <is>
          <t xml:space="preserve">HIRAGANA_TA</t>
        </is>
      </c>
      <c r="AL18" s="103" t="s">
        <v>562</v>
      </c>
      <c r="AM18" t="inlineStr">
        <is>
          <t xml:space="preserve">U"\v" ARABIC_FATHA</t>
        </is>
      </c>
      <c r="AN18" s="103" t="s">
        <v>562</v>
      </c>
      <c r="AO18" s="103"/>
      <c r="AP18" s="104" t="s">
        <v>1197</v>
      </c>
      <c r="AQ18" s="118" t="s">
        <v>1198</v>
      </c>
      <c r="AR18" s="104" t="s">
        <v>1197</v>
      </c>
      <c r="AS18" s="104"/>
      <c r="AT18" s="105" t="s">
        <v>369</v>
      </c>
      <c r="AU18" s="119" t="s">
        <v>325</v>
      </c>
      <c r="AV18" s="105"/>
      <c r="AW18" t="inlineStr">
        <is>
          <t xml:space="preserve">U"\f\f\f\f" CYRILLIC_SM_JE</t>
        </is>
      </c>
      <c r="AX18" s="106" t="s">
        <v>369</v>
      </c>
      <c r="AY18" s="120" t="s">
        <v>325</v>
      </c>
      <c r="AZ18" s="106"/>
      <c r="BA18" s="106"/>
      <c r="BB18" s="107" t="s">
        <v>369</v>
      </c>
      <c r="BC18" s="121" t="s">
        <v>325</v>
      </c>
      <c r="BD18" s="107"/>
      <c r="BE18" s="107"/>
      <c r="BF18" s="108" t="s">
        <v>369</v>
      </c>
      <c r="BG18" s="122" t="s">
        <v>325</v>
      </c>
      <c r="BH18" s="108"/>
      <c r="BI18" s="108"/>
      <c r="BJ18" s="109" t="s">
        <v>1179</v>
      </c>
      <c r="BK18" s="123" t="s">
        <v>394</v>
      </c>
      <c r="BL18" s="109"/>
      <c r="BM18" s="109"/>
      <c r="BN18" s="95"/>
      <c r="BO18" s="95"/>
      <c r="BP18" s="95"/>
      <c r="BQ18" s="95" t="s">
        <v>16</v>
      </c>
      <c r="BR18" s="110"/>
      <c r="BS18" s="110"/>
      <c r="BT18" s="110"/>
      <c r="BU18" s="110"/>
      <c r="BZ18" s="111"/>
      <c r="CA18" s="111"/>
      <c r="CB18" s="111"/>
      <c r="CC18" s="111"/>
      <c r="CD18" s="95" t="s">
        <v>1173</v>
      </c>
      <c r="CE18" s="95" t="s">
        <v>1181</v>
      </c>
      <c r="CF18" s="95"/>
      <c r="CG18" t="inlineStr">
        <is>
          <t xml:space="preserve">HEBREW_QAMATS</t>
        </is>
      </c>
      <c r="CH18" s="112"/>
      <c r="CI18" s="112"/>
      <c r="CJ18" s="112"/>
      <c r="CK18" t="inlineStr">
        <is>
          <t xml:space="preserve">U"\b\b@"</t>
        </is>
      </c>
      <c r="CL18" s="113"/>
      <c r="CM18" s="113"/>
      <c r="CN18" s="113"/>
      <c r="CO18" t="inlineStr">
        <is>
          <t xml:space="preserve">U"\b\b@"</t>
        </is>
      </c>
      <c r="CP18" s="84"/>
      <c r="CQ18" s="84"/>
      <c r="CR18" s="84"/>
      <c r="CS18" t="inlineStr">
        <is>
          <t xml:space="preserve">U"\b\b@"</t>
        </is>
      </c>
      <c r="CT18" s="110"/>
      <c r="CU18" s="110"/>
      <c r="CV18" s="110"/>
      <c r="CW18" t="inlineStr">
        <is>
          <t xml:space="preserve">U"\b\b@"</t>
        </is>
      </c>
      <c r="CX18" s="114"/>
      <c r="CY18" s="114"/>
      <c r="CZ18" s="114"/>
      <c r="DA18" s="114" t="s">
        <v>16</v>
      </c>
      <c r="DB18" s="115"/>
      <c r="DC18" s="115"/>
      <c r="DD18" s="115"/>
      <c r="DE18" s="115" t="s">
        <v>16</v>
      </c>
      <c r="DI18" t="inlineStr">
        <is>
          <t xml:space="preserve">BACKSLASH</t>
        </is>
      </c>
      <c r="DQ18" t="inlineStr">
        <is>
          <t xml:space="preserve">@</t>
        </is>
      </c>
      <c r="ED18" t="inlineStr">
        <is>
          <t xml:space="preserve">CYRILLIC_SM_LJE</t>
        </is>
      </c>
      <c r="EE18" t="inlineStr">
        <is>
          <t xml:space="preserve">CYRILLIC_LJE</t>
        </is>
      </c>
      <c r="EH18" t="inlineStr">
        <is>
          <t xml:space="preserve">CYRILLIC_SM_LJE</t>
        </is>
      </c>
      <c r="EI18" t="inlineStr">
        <is>
          <t xml:space="preserve">CYRILLIC_LJE</t>
        </is>
      </c>
      <c r="EL18" t="inlineStr">
        <is>
          <t xml:space="preserve">ARABIC_DAD</t>
        </is>
      </c>
      <c r="EN18" t="inlineStr">
        <is>
          <t xml:space="preserve">ARABIC_DAD</t>
        </is>
      </c>
      <c r="EP18" t="inlineStr">
        <is>
          <t xml:space="preserve">DEVA_DC_094C</t>
        </is>
      </c>
      <c r="EQ18" t="inlineStr">
        <is>
          <t xml:space="preserve">DEVANAGARI_0914</t>
        </is>
      </c>
      <c r="ER18" t="inlineStr">
        <is>
          <t xml:space="preserve">DEVA_DC_094C</t>
        </is>
      </c>
      <c r="ET18" t="inlineStr">
        <is>
          <t xml:space="preserve">DEVA_DC_094C</t>
        </is>
      </c>
      <c r="EU18" t="inlineStr">
        <is>
          <t xml:space="preserve">DEVANAGARI_0914</t>
        </is>
      </c>
      <c r="EV18" t="inlineStr">
        <is>
          <t xml:space="preserve">DEVA_DC_094C</t>
        </is>
      </c>
      <c r="EX18" t="inlineStr">
        <is>
          <t xml:space="preserve">DEVA_DC_094C</t>
        </is>
      </c>
      <c r="EY18" t="inlineStr">
        <is>
          <t xml:space="preserve">DEVANAGARI_0914</t>
        </is>
      </c>
      <c r="EZ18" t="inlineStr">
        <is>
          <t xml:space="preserve">DEVA_DC_094C</t>
        </is>
      </c>
      <c r="FB18" t="inlineStr">
        <is>
          <t xml:space="preserve">CYRILLIC_SM_EF</t>
        </is>
      </c>
      <c r="FC18" t="inlineStr">
        <is>
          <t xml:space="preserve">CYRILLIC_EF</t>
        </is>
      </c>
      <c r="FF18" t="inlineStr">
        <is>
          <t xml:space="preserve">ARABIC_TAH</t>
        </is>
      </c>
      <c r="FG18" t="inlineStr">
        <is>
          <t xml:space="preserve">ARABIC_ZAH</t>
        </is>
      </c>
      <c r="FH18" t="inlineStr">
        <is>
          <t xml:space="preserve">ARABIC_TAH</t>
        </is>
      </c>
      <c r="FV18" t="inlineStr">
        <is>
          <t xml:space="preserve">a</t>
        </is>
      </c>
      <c r="FW18" t="inlineStr">
        <is>
          <t xml:space="preserve">A</t>
        </is>
      </c>
      <c r="GD18" t="inlineStr">
        <is>
          <t xml:space="preserve">THAI_0E46</t>
        </is>
      </c>
      <c r="GE18" t="inlineStr">
        <is>
          <t xml:space="preserve">THAI_0E50</t>
        </is>
      </c>
      <c r="GF18" t="inlineStr">
        <is>
          <t xml:space="preserve">THAI_0E46</t>
        </is>
      </c>
      <c r="GH18" t="inlineStr">
        <is>
          <t xml:space="preserve">BENG_DC_09CC</t>
        </is>
      </c>
      <c r="GI18" t="inlineStr">
        <is>
          <t xml:space="preserve">BENGALI_0994</t>
        </is>
      </c>
      <c r="GJ18" t="inlineStr">
        <is>
          <t xml:space="preserve">BENG_DC_09CC</t>
        </is>
      </c>
      <c r="GL18" t="inlineStr">
        <is>
          <t xml:space="preserve">TELU_DC_0C4C</t>
        </is>
      </c>
      <c r="GM18" t="inlineStr">
        <is>
          <t xml:space="preserve">TELUGU_0C14</t>
        </is>
      </c>
      <c r="GN18" t="inlineStr">
        <is>
          <t xml:space="preserve">TELU_DC_0C4C</t>
        </is>
      </c>
      <c r="GP18" t="inlineStr">
        <is>
          <t xml:space="preserve">TAML_DC_0BCC</t>
        </is>
      </c>
      <c r="GQ18" t="inlineStr">
        <is>
          <t xml:space="preserve"/>
        </is>
      </c>
      <c r="GR18" t="inlineStr">
        <is>
          <t xml:space="preserve">TAML_DC_0BCC</t>
        </is>
      </c>
      <c r="GT18" t="inlineStr">
        <is>
          <t xml:space="preserve">ZHUYIN_3106</t>
        </is>
      </c>
      <c r="GV18" t="inlineStr">
        <is>
          <t xml:space="preserve">ZHUYIN_3106</t>
        </is>
      </c>
      <c r="GX18" t="inlineStr">
        <is>
          <t xml:space="preserve">GEORGIAN_10E5</t>
        </is>
      </c>
      <c r="GZ18" t="inlineStr">
        <is>
          <t xml:space="preserve">GEORGIAN_10E5</t>
        </is>
      </c>
      <c r="HB18" t="inlineStr">
        <is>
          <t xml:space="preserve">ARMENIAN_0573</t>
        </is>
      </c>
      <c r="HC18" t="inlineStr">
        <is>
          <t xml:space="preserve">ARMENIAN_0543</t>
        </is>
      </c>
      <c r="HQ18" t="inlineStr">
        <is>
          <t xml:space="preserve">@</t>
        </is>
      </c>
      <c r="HV18" t="inlineStr">
        <is>
          <t xml:space="preserve">KANGXI_RADICAL_HAND</t>
        </is>
      </c>
      <c r="HW18" t="inlineStr">
        <is>
          <t xml:space="preserve">q</t>
        </is>
      </c>
      <c r="HX18" t="inlineStr">
        <is>
          <t xml:space="preserve">KANGXI_RADICAL_HAND</t>
        </is>
      </c>
      <c r="JJ18" t="inlineStr">
        <is>
          <t xml:space="preserve">ARABIC_DAD</t>
        </is>
      </c>
      <c r="JK18" t="inlineStr">
        <is>
          <t xml:space="preserve">U"\v" ARABIC_FATHA</t>
        </is>
      </c>
      <c r="JL18" t="inlineStr">
        <is>
          <t xml:space="preserve">ARABIC_DAD</t>
        </is>
      </c>
      <c r="JR18" t="inlineStr">
        <is>
          <t xml:space="preserve">ETHIOPIC_1240</t>
        </is>
      </c>
      <c r="JS18" t="inlineStr">
        <is>
          <t xml:space="preserve">ETHIOPIC_1250</t>
        </is>
      </c>
      <c r="JT18" t="inlineStr">
        <is>
          <t xml:space="preserve">ETHIOPIC_1240</t>
        </is>
      </c>
      <c r="JV18" t="inlineStr">
        <is>
          <t xml:space="preserve">LATIN_1EB9</t>
        </is>
      </c>
      <c r="JW18" t="inlineStr">
        <is>
          <t xml:space="preserve">LATIN_1EB8</t>
        </is>
      </c>
      <c r="JY18" t="inlineStr">
        <is>
          <t xml:space="preserve">q</t>
        </is>
      </c>
      <c r="KD18" t="inlineStr">
        <is>
          <t xml:space="preserve">ARABIC_DAD</t>
        </is>
      </c>
      <c r="KE18" t="inlineStr">
        <is>
          <t xml:space="preserve">U"\v" ARABIC_FATHA</t>
        </is>
      </c>
      <c r="KF18" t="inlineStr">
        <is>
          <t xml:space="preserve">ARABIC_DAD</t>
        </is>
      </c>
      <c r="KH18" t="inlineStr">
        <is>
          <t xml:space="preserve">ARABIC_DAD</t>
        </is>
      </c>
      <c r="KI18" t="inlineStr">
        <is>
          <t xml:space="preserve">U"\v" ARABIC_FATHA</t>
        </is>
      </c>
      <c r="KJ18" t="inlineStr">
        <is>
          <t xml:space="preserve">ARABIC_DAD</t>
        </is>
      </c>
      <c r="KL18" t="inlineStr">
        <is>
          <t xml:space="preserve">ARABIC_QAF</t>
        </is>
      </c>
      <c r="KN18" t="inlineStr">
        <is>
          <t xml:space="preserve">ARABIC_QAF</t>
        </is>
      </c>
      <c r="LJ18" t="inlineStr">
        <is>
          <t xml:space="preserve">a</t>
        </is>
      </c>
      <c r="LK18" t="inlineStr">
        <is>
          <t xml:space="preserve">A</t>
        </is>
      </c>
      <c r="NY18" t="inlineStr">
        <is>
          <t xml:space="preserve">@</t>
        </is>
      </c>
      <c r="NZ18" t="inlineStr">
        <is>
          <t xml:space="preserve">a</t>
        </is>
      </c>
      <c r="OA18" t="inlineStr">
        <is>
          <t xml:space="preserve">A</t>
        </is>
      </c>
      <c r="OO18" t="inlineStr">
        <is>
          <t xml:space="preserve">BACKSLASH</t>
        </is>
      </c>
      <c r="OW18" t="inlineStr">
        <is>
          <t xml:space="preserve">BACKSLASH</t>
        </is>
      </c>
      <c r="PA18" t="inlineStr">
        <is>
          <t xml:space="preserve">U"\b\b@"</t>
        </is>
      </c>
      <c r="PB18" t="inlineStr">
        <is>
          <t xml:space="preserve">ARABIC_DAD</t>
        </is>
      </c>
      <c r="PC18" t="inlineStr">
        <is>
          <t xml:space="preserve">U"\v" ARABIC_FATHA</t>
        </is>
      </c>
      <c r="PD18" t="inlineStr">
        <is>
          <t xml:space="preserve">ARABIC_DAD</t>
        </is>
      </c>
      <c r="PF18" t="inlineStr">
        <is>
          <t xml:space="preserve">ARABIC_DAD</t>
        </is>
      </c>
      <c r="PG18" t="inlineStr">
        <is>
          <t xml:space="preserve">U"\v" ARABIC_FATHA</t>
        </is>
      </c>
      <c r="PH18" t="inlineStr">
        <is>
          <t xml:space="preserve">ARABIC_DAD</t>
        </is>
      </c>
      <c r="PJ18" t="inlineStr">
        <is>
          <t xml:space="preserve">ARABIC_DAD</t>
        </is>
      </c>
      <c r="PK18" t="inlineStr">
        <is>
          <t xml:space="preserve">U"\v" ARABIC_FATHA</t>
        </is>
      </c>
      <c r="PL18" t="inlineStr">
        <is>
          <t xml:space="preserve">ARABIC_DAD</t>
        </is>
      </c>
      <c r="PN18" t="inlineStr">
        <is>
          <t xml:space="preserve">ARABIC_DAD</t>
        </is>
      </c>
      <c r="PO18" t="inlineStr">
        <is>
          <t xml:space="preserve">U"\v" ARABIC_FATHA</t>
        </is>
      </c>
      <c r="PP18" t="inlineStr">
        <is>
          <t xml:space="preserve">ARABIC_DAD</t>
        </is>
      </c>
      <c r="PR18" t="inlineStr">
        <is>
          <t xml:space="preserve">ARABIC_DAD</t>
        </is>
      </c>
      <c r="PS18" t="inlineStr">
        <is>
          <t xml:space="preserve">U"\v" ARABIC_FATHA</t>
        </is>
      </c>
      <c r="PT18" t="inlineStr">
        <is>
          <t xml:space="preserve">ARABIC_DAD</t>
        </is>
      </c>
      <c r="PV18" t="inlineStr">
        <is>
          <t xml:space="preserve">ARABIC_DAD</t>
        </is>
      </c>
      <c r="PW18" t="inlineStr">
        <is>
          <t xml:space="preserve">U"\v" ARABIC_FATHA</t>
        </is>
      </c>
      <c r="PX18" t="inlineStr">
        <is>
          <t xml:space="preserve">ARABIC_DAD</t>
        </is>
      </c>
      <c r="PZ18" t="inlineStr">
        <is>
          <t xml:space="preserve">ARABIC_DAD</t>
        </is>
      </c>
      <c r="QA18" t="inlineStr">
        <is>
          <t xml:space="preserve">U"\v" ARABIC_FATHA</t>
        </is>
      </c>
      <c r="QB18" t="inlineStr">
        <is>
          <t xml:space="preserve">ARABIC_DAD</t>
        </is>
      </c>
      <c r="QD18" t="inlineStr">
        <is>
          <t xml:space="preserve">ARABIC_DAD</t>
        </is>
      </c>
      <c r="QE18" t="inlineStr">
        <is>
          <t xml:space="preserve">U"\v" ARABIC_FATHA</t>
        </is>
      </c>
      <c r="QF18" t="inlineStr">
        <is>
          <t xml:space="preserve">ARABIC_DAD</t>
        </is>
      </c>
      <c r="QH18" t="inlineStr">
        <is>
          <t xml:space="preserve">ARABIC_DAD</t>
        </is>
      </c>
      <c r="QI18" t="inlineStr">
        <is>
          <t xml:space="preserve">U"\v" ARABIC_FATHA</t>
        </is>
      </c>
      <c r="QJ18" t="inlineStr">
        <is>
          <t xml:space="preserve">ARABIC_DAD</t>
        </is>
      </c>
      <c r="QL18" t="inlineStr">
        <is>
          <t xml:space="preserve">ARABIC_DAD</t>
        </is>
      </c>
      <c r="QM18" t="inlineStr">
        <is>
          <t xml:space="preserve">U"\v" ARABIC_FATHA</t>
        </is>
      </c>
      <c r="QN18" t="inlineStr">
        <is>
          <t xml:space="preserve">ARABIC_DAD</t>
        </is>
      </c>
      <c r="QP18" t="inlineStr">
        <is>
          <t xml:space="preserve">ARABIC_DAD</t>
        </is>
      </c>
      <c r="QQ18" t="inlineStr">
        <is>
          <t xml:space="preserve">U"\v" ARABIC_FATHA</t>
        </is>
      </c>
      <c r="QR18" t="inlineStr">
        <is>
          <t xml:space="preserve">ARABIC_DAD</t>
        </is>
      </c>
      <c r="QT18" t="inlineStr">
        <is>
          <t xml:space="preserve">ARABIC_DAD</t>
        </is>
      </c>
      <c r="QU18" t="inlineStr">
        <is>
          <t xml:space="preserve">U"\v" ARABIC_FATHA</t>
        </is>
      </c>
      <c r="QV18" t="inlineStr">
        <is>
          <t xml:space="preserve">ARABIC_DAD</t>
        </is>
      </c>
      <c r="QX18" t="inlineStr">
        <is>
          <t xml:space="preserve">ARABIC_DAD</t>
        </is>
      </c>
      <c r="QY18" t="inlineStr">
        <is>
          <t xml:space="preserve">U"\v" ARABIC_FATHA</t>
        </is>
      </c>
      <c r="QZ18" t="inlineStr">
        <is>
          <t xml:space="preserve">ARABIC_DAD</t>
        </is>
      </c>
      <c r="RB18" t="inlineStr">
        <is>
          <t xml:space="preserve">ARABIC_DAD</t>
        </is>
      </c>
      <c r="RC18" t="inlineStr">
        <is>
          <t xml:space="preserve">U"\v" ARABIC_FATHA</t>
        </is>
      </c>
      <c r="RD18" t="inlineStr">
        <is>
          <t xml:space="preserve">ARABIC_DAD</t>
        </is>
      </c>
      <c r="RF18" t="inlineStr">
        <is>
          <t xml:space="preserve">a</t>
        </is>
      </c>
      <c r="RG18" t="inlineStr">
        <is>
          <t xml:space="preserve">A</t>
        </is>
      </c>
      <c r="RJ18" t="inlineStr">
        <is>
          <t xml:space="preserve">a</t>
        </is>
      </c>
      <c r="RK18" t="inlineStr">
        <is>
          <t xml:space="preserve">A</t>
        </is>
      </c>
      <c r="RN18" t="inlineStr">
        <is>
          <t xml:space="preserve">a</t>
        </is>
      </c>
      <c r="RO18" t="inlineStr">
        <is>
          <t xml:space="preserve">A</t>
        </is>
      </c>
      <c r="RR18" t="inlineStr">
        <is>
          <t xml:space="preserve">a</t>
        </is>
      </c>
      <c r="RS18" t="inlineStr">
        <is>
          <t xml:space="preserve">A</t>
        </is>
      </c>
      <c r="RV18" t="inlineStr">
        <is>
          <t xml:space="preserve">a</t>
        </is>
      </c>
      <c r="RW18" t="inlineStr">
        <is>
          <t xml:space="preserve">A</t>
        </is>
      </c>
      <c r="SX18" t="inlineStr">
        <is>
          <t xml:space="preserve">BENG_DC_09CC</t>
        </is>
      </c>
      <c r="SY18" t="inlineStr">
        <is>
          <t xml:space="preserve">BENGALI_0994</t>
        </is>
      </c>
      <c r="SZ18" t="inlineStr">
        <is>
          <t xml:space="preserve">BENG_DC_09CC</t>
        </is>
      </c>
      <c r="TV18" t="inlineStr">
        <is>
          <t xml:space="preserve">CYRILLIC_SM_SHORT_I</t>
        </is>
      </c>
      <c r="TW18" t="inlineStr">
        <is>
          <t xml:space="preserve">CYRILLIC_SHORT_I</t>
        </is>
      </c>
      <c r="TZ18" t="inlineStr">
        <is>
          <t xml:space="preserve">CYRILLIC_SM_SHORT_I</t>
        </is>
      </c>
      <c r="UA18" t="inlineStr">
        <is>
          <t xml:space="preserve">CYRILLIC_SHORT_I</t>
        </is>
      </c>
      <c r="UT18" t="inlineStr">
        <is>
          <t xml:space="preserve">a</t>
        </is>
      </c>
      <c r="UU18" t="inlineStr">
        <is>
          <t xml:space="preserve">A</t>
        </is>
      </c>
      <c r="VE18" t="inlineStr">
        <is>
          <t xml:space="preserve">LETTER_AE_SMALL</t>
        </is>
      </c>
      <c r="WD18" t="inlineStr">
        <is>
          <t xml:space="preserve">A_WITH_ACUTE_SMALL</t>
        </is>
      </c>
      <c r="WE18" t="inlineStr">
        <is>
          <t xml:space="preserve">A_WITH_ACUTE</t>
        </is>
      </c>
      <c r="WG18" t="inlineStr">
        <is>
          <t xml:space="preserve">q</t>
        </is>
      </c>
      <c r="XB18" t="inlineStr">
        <is>
          <t xml:space="preserve">U"\f\f" ARABIC_DAD</t>
        </is>
      </c>
      <c r="XD18" t="inlineStr">
        <is>
          <t xml:space="preserve">ARABIC_0636</t>
        </is>
      </c>
      <c r="XF18" t="inlineStr">
        <is>
          <t xml:space="preserve">UCAS_158F</t>
        </is>
      </c>
      <c r="XG18" t="inlineStr">
        <is>
          <t xml:space="preserve">U"\x06\x06\x06" UCAS_148B</t>
        </is>
      </c>
      <c r="XH18" t="inlineStr">
        <is>
          <t xml:space="preserve">UCAS_158F</t>
        </is>
      </c>
      <c r="XN18" t="inlineStr">
        <is>
          <t xml:space="preserve">CHEROKEE_13AA</t>
        </is>
      </c>
      <c r="XO18" t="inlineStr">
        <is>
          <t xml:space="preserve">CHEROKEE_13C6</t>
        </is>
      </c>
      <c r="XP18" t="inlineStr">
        <is>
          <t xml:space="preserve">CHEROKEE_13AA</t>
        </is>
      </c>
      <c r="XQ18" t="inlineStr">
        <is>
          <t xml:space="preserve">q</t>
        </is>
      </c>
    </row>
    <row r="19" s="116" customFormat="true" ht="15.95" hidden="false" customHeight="true" outlineLevel="0" collapsed="false">
      <c r="A19" s="93" t="s">
        <v>1200</v>
      </c>
      <c r="B19" s="94" t="s">
        <v>1201</v>
      </c>
      <c r="C19" s="94" t="s">
        <v>1202</v>
      </c>
      <c r="D19" s="94"/>
      <c r="E19" s="94"/>
      <c r="F19" s="95"/>
      <c r="G19" s="95"/>
      <c r="H19" s="95"/>
      <c r="I19" s="95"/>
      <c r="J19" s="96"/>
      <c r="K19" s="96"/>
      <c r="L19" s="96"/>
      <c r="M19" s="96"/>
      <c r="N19" s="97"/>
      <c r="O19" s="97"/>
      <c r="P19" s="97"/>
      <c r="Q19" s="97"/>
      <c r="R19" s="98"/>
      <c r="S19" s="98"/>
      <c r="T19" s="98"/>
      <c r="U19" s="98"/>
      <c r="V19" s="99"/>
      <c r="W19" s="99"/>
      <c r="X19" s="99"/>
      <c r="Y19" s="99"/>
      <c r="Z19" s="100"/>
      <c r="AA19" s="100"/>
      <c r="AB19" s="100"/>
      <c r="AC19" s="100"/>
      <c r="AD19" s="101" t="s">
        <v>635</v>
      </c>
      <c r="AE19" s="101" t="s">
        <v>636</v>
      </c>
      <c r="AF19" s="101"/>
      <c r="AG19" s="101"/>
      <c r="AH19" t="inlineStr">
        <is>
          <t xml:space="preserve">r</t>
        </is>
      </c>
      <c r="AI19" t="inlineStr">
        <is>
          <t xml:space="preserve">R</t>
        </is>
      </c>
      <c r="AK19" t="inlineStr">
        <is>
          <t xml:space="preserve">HIRAGANA_SU</t>
        </is>
      </c>
      <c r="AL19" s="103" t="s">
        <v>592</v>
      </c>
      <c r="AM19" t="inlineStr">
        <is>
          <t xml:space="preserve">U"\v" ARABIC_DAMMATAN</t>
        </is>
      </c>
      <c r="AN19" s="103" t="s">
        <v>592</v>
      </c>
      <c r="AO19" s="117" t="s">
        <v>51</v>
      </c>
      <c r="AP19" s="104" t="s">
        <v>286</v>
      </c>
      <c r="AQ19" s="118" t="s">
        <v>238</v>
      </c>
      <c r="AR19" s="104"/>
      <c r="AS19" s="118" t="s">
        <v>62</v>
      </c>
      <c r="AT19" s="105" t="s">
        <v>370</v>
      </c>
      <c r="AU19" s="119" t="s">
        <v>326</v>
      </c>
      <c r="AV19" s="105"/>
      <c r="AW19" s="105"/>
      <c r="AX19" s="106" t="s">
        <v>370</v>
      </c>
      <c r="AY19" s="120" t="s">
        <v>326</v>
      </c>
      <c r="AZ19" s="106"/>
      <c r="BA19" s="106"/>
      <c r="BB19" s="107" t="s">
        <v>370</v>
      </c>
      <c r="BC19" s="121" t="s">
        <v>326</v>
      </c>
      <c r="BD19" s="107"/>
      <c r="BE19" s="107"/>
      <c r="BF19" s="108" t="s">
        <v>370</v>
      </c>
      <c r="BG19" s="122" t="s">
        <v>326</v>
      </c>
      <c r="BH19" s="108"/>
      <c r="BI19" s="108"/>
      <c r="BJ19" s="109" t="s">
        <v>368</v>
      </c>
      <c r="BK19" s="123" t="s">
        <v>324</v>
      </c>
      <c r="BL19" s="109"/>
      <c r="BM19" s="109"/>
      <c r="BN19" s="95"/>
      <c r="BO19" s="95"/>
      <c r="BP19" s="95"/>
      <c r="BQ19" s="95"/>
      <c r="BR19" s="110"/>
      <c r="BS19" s="110"/>
      <c r="BT19" s="110"/>
      <c r="BU19" s="110"/>
      <c r="BZ19" s="111"/>
      <c r="CA19" s="111"/>
      <c r="CB19" s="111"/>
      <c r="CC19" s="125" t="s">
        <v>84</v>
      </c>
      <c r="CD19" s="95" t="s">
        <v>495</v>
      </c>
      <c r="CE19" s="95"/>
      <c r="CF19" s="95"/>
      <c r="CG19" s="95" t="s">
        <v>465</v>
      </c>
      <c r="CH19" s="112"/>
      <c r="CI19" s="112"/>
      <c r="CJ19" s="112"/>
      <c r="CK19" s="112"/>
      <c r="CL19" s="113"/>
      <c r="CM19" s="113"/>
      <c r="CN19" s="113"/>
      <c r="CO19" s="113"/>
      <c r="CP19" s="84"/>
      <c r="CQ19" s="84"/>
      <c r="CR19" s="84"/>
      <c r="CS19" s="84"/>
      <c r="CT19" s="110"/>
      <c r="CU19" s="110"/>
      <c r="CV19" s="110"/>
      <c r="CW19" s="110"/>
      <c r="CX19" s="114"/>
      <c r="CY19" s="114"/>
      <c r="CZ19" s="114"/>
      <c r="DA19" s="114"/>
      <c r="DB19" s="115"/>
      <c r="DC19" s="115"/>
      <c r="DD19" s="115"/>
      <c r="DE19" s="115"/>
      <c r="ED19" t="inlineStr">
        <is>
          <t xml:space="preserve">CYRILLIC_SM_ER</t>
        </is>
      </c>
      <c r="EE19" t="inlineStr">
        <is>
          <t xml:space="preserve">CYRILLIC_ER</t>
        </is>
      </c>
      <c r="EH19" t="inlineStr">
        <is>
          <t xml:space="preserve">CYRILLIC_SM_ER</t>
        </is>
      </c>
      <c r="EI19" t="inlineStr">
        <is>
          <t xml:space="preserve">CYRILLIC_ER</t>
        </is>
      </c>
      <c r="EL19" t="inlineStr">
        <is>
          <t xml:space="preserve">ARABIC_QAF</t>
        </is>
      </c>
      <c r="EN19" t="inlineStr">
        <is>
          <t xml:space="preserve">ARABIC_QAF</t>
        </is>
      </c>
      <c r="EP19" t="inlineStr">
        <is>
          <t xml:space="preserve">DEVA_DC_0940</t>
        </is>
      </c>
      <c r="EQ19" t="inlineStr">
        <is>
          <t xml:space="preserve">DEVANAGARI_0908</t>
        </is>
      </c>
      <c r="ER19" t="inlineStr">
        <is>
          <t xml:space="preserve">DEVA_DC_0940</t>
        </is>
      </c>
      <c r="ET19" t="inlineStr">
        <is>
          <t xml:space="preserve">DEVA_DC_0940</t>
        </is>
      </c>
      <c r="EU19" t="inlineStr">
        <is>
          <t xml:space="preserve">DEVANAGARI_0908</t>
        </is>
      </c>
      <c r="EV19" t="inlineStr">
        <is>
          <t xml:space="preserve">DEVA_DC_0940</t>
        </is>
      </c>
      <c r="EX19" t="inlineStr">
        <is>
          <t xml:space="preserve">DEVA_DC_0940</t>
        </is>
      </c>
      <c r="EY19" t="inlineStr">
        <is>
          <t xml:space="preserve">DEVANAGARI_0908</t>
        </is>
      </c>
      <c r="EZ19" t="inlineStr">
        <is>
          <t xml:space="preserve">DEVA_DC_0940</t>
        </is>
      </c>
      <c r="FB19" t="inlineStr">
        <is>
          <t xml:space="preserve">CYRILLIC_SM_ZHE</t>
        </is>
      </c>
      <c r="FC19" t="inlineStr">
        <is>
          <t xml:space="preserve">CYRILLIC_ZHE</t>
        </is>
      </c>
      <c r="FF19" t="inlineStr">
        <is>
          <t xml:space="preserve">ARABIC_DAL</t>
        </is>
      </c>
      <c r="FG19" t="inlineStr">
        <is>
          <t xml:space="preserve">ARABIC_DDAL</t>
        </is>
      </c>
      <c r="FH19" t="inlineStr">
        <is>
          <t xml:space="preserve">ARABIC_DAL</t>
        </is>
      </c>
      <c r="GD19" t="inlineStr">
        <is>
          <t xml:space="preserve">THAI_0E1E</t>
        </is>
      </c>
      <c r="GE19" t="inlineStr">
        <is>
          <t xml:space="preserve">THAI_0E11</t>
        </is>
      </c>
      <c r="GF19" t="inlineStr">
        <is>
          <t xml:space="preserve">THAI_0E1E</t>
        </is>
      </c>
      <c r="GH19" t="inlineStr">
        <is>
          <t xml:space="preserve">BENG_DC_09C0</t>
        </is>
      </c>
      <c r="GI19" t="inlineStr">
        <is>
          <t xml:space="preserve">BENGALI_0988</t>
        </is>
      </c>
      <c r="GJ19" t="inlineStr">
        <is>
          <t xml:space="preserve">BENG_DC_09C0</t>
        </is>
      </c>
      <c r="GL19" t="inlineStr">
        <is>
          <t xml:space="preserve">TELU_DC_0C40</t>
        </is>
      </c>
      <c r="GM19" t="inlineStr">
        <is>
          <t xml:space="preserve">TELUGU_0C08</t>
        </is>
      </c>
      <c r="GN19" t="inlineStr">
        <is>
          <t xml:space="preserve">TELU_DC_0C40</t>
        </is>
      </c>
      <c r="GP19" t="inlineStr">
        <is>
          <t xml:space="preserve">TAML_DC_0BC0</t>
        </is>
      </c>
      <c r="GQ19" t="inlineStr">
        <is>
          <t xml:space="preserve">TAMIL_0B88</t>
        </is>
      </c>
      <c r="GR19" t="inlineStr">
        <is>
          <t xml:space="preserve">TAML_DC_0BC0</t>
        </is>
      </c>
      <c r="GT19" t="inlineStr">
        <is>
          <t xml:space="preserve">ZHUYIN_3110</t>
        </is>
      </c>
      <c r="GV19" t="inlineStr">
        <is>
          <t xml:space="preserve">ZHUYIN_3110</t>
        </is>
      </c>
      <c r="GX19" t="inlineStr">
        <is>
          <t xml:space="preserve">GEORGIAN_10E0</t>
        </is>
      </c>
      <c r="GY19" t="inlineStr">
        <is>
          <t xml:space="preserve">GEORGIAN_10E6</t>
        </is>
      </c>
      <c r="GZ19" t="inlineStr">
        <is>
          <t xml:space="preserve">GEORGIAN_10E0</t>
        </is>
      </c>
      <c r="HB19" t="inlineStr">
        <is>
          <t xml:space="preserve">ARMENIAN_057D</t>
        </is>
      </c>
      <c r="HC19" t="inlineStr">
        <is>
          <t xml:space="preserve">ARMENIAN_054D</t>
        </is>
      </c>
      <c r="HV19" t="inlineStr">
        <is>
          <t xml:space="preserve">KANGXI_RADICAL_MOUTH</t>
        </is>
      </c>
      <c r="HW19" t="inlineStr">
        <is>
          <t xml:space="preserve">r</t>
        </is>
      </c>
      <c r="HX19" t="inlineStr">
        <is>
          <t xml:space="preserve">KANGXI_RADICAL_MOUTH</t>
        </is>
      </c>
      <c r="JE19" t="inlineStr">
        <is>
          <t xml:space="preserve">LATIN_00EA</t>
        </is>
      </c>
      <c r="JI19" t="inlineStr">
        <is>
          <t xml:space="preserve">LATIN_00EA</t>
        </is>
      </c>
      <c r="JJ19" t="inlineStr">
        <is>
          <t xml:space="preserve">ARABIC_QAF</t>
        </is>
      </c>
      <c r="JK19" t="inlineStr">
        <is>
          <t xml:space="preserve">U"\v" ARABIC_DAMMATAN</t>
        </is>
      </c>
      <c r="JL19" t="inlineStr">
        <is>
          <t xml:space="preserve">ARABIC_QAF</t>
        </is>
      </c>
      <c r="JM19" t="inlineStr">
        <is>
          <t xml:space="preserve">CURRENCY_SIGN</t>
        </is>
      </c>
      <c r="JR19" t="inlineStr">
        <is>
          <t xml:space="preserve">ETHIOPIC_1228</t>
        </is>
      </c>
      <c r="JT19" t="inlineStr">
        <is>
          <t xml:space="preserve">ETHIOPIC_1228</t>
        </is>
      </c>
      <c r="KD19" t="inlineStr">
        <is>
          <t xml:space="preserve">ARABIC_QAF</t>
        </is>
      </c>
      <c r="KE19" t="inlineStr">
        <is>
          <t xml:space="preserve">U"\v" ARABIC_DAMMATAN</t>
        </is>
      </c>
      <c r="KF19" t="inlineStr">
        <is>
          <t xml:space="preserve">ARABIC_QAF</t>
        </is>
      </c>
      <c r="KG19" t="inlineStr">
        <is>
          <t xml:space="preserve">CURRENCY_SIGN</t>
        </is>
      </c>
      <c r="KH19" t="inlineStr">
        <is>
          <t xml:space="preserve">ARABIC_QAF</t>
        </is>
      </c>
      <c r="KI19" t="inlineStr">
        <is>
          <t xml:space="preserve">U"\v" ARABIC_DAMMATAN</t>
        </is>
      </c>
      <c r="KJ19" t="inlineStr">
        <is>
          <t xml:space="preserve">ARABIC_QAF</t>
        </is>
      </c>
      <c r="KK19" t="inlineStr">
        <is>
          <t xml:space="preserve">CURRENCY_SIGN</t>
        </is>
      </c>
      <c r="KL19" t="inlineStr">
        <is>
          <t xml:space="preserve">ARABIC_REH</t>
        </is>
      </c>
      <c r="KM19" t="inlineStr">
        <is>
          <t xml:space="preserve">ARABIC_REH_V</t>
        </is>
      </c>
      <c r="KN19" t="inlineStr">
        <is>
          <t xml:space="preserve">ARABIC_REH</t>
        </is>
      </c>
      <c r="PB19" t="inlineStr">
        <is>
          <t xml:space="preserve">ARABIC_QAF</t>
        </is>
      </c>
      <c r="PC19" t="inlineStr">
        <is>
          <t xml:space="preserve">U"\v" ARABIC_DAMMATAN</t>
        </is>
      </c>
      <c r="PD19" t="inlineStr">
        <is>
          <t xml:space="preserve">ARABIC_QAF</t>
        </is>
      </c>
      <c r="PE19" t="inlineStr">
        <is>
          <t xml:space="preserve">CURRENCY_SIGN</t>
        </is>
      </c>
      <c r="PF19" t="inlineStr">
        <is>
          <t xml:space="preserve">ARABIC_QAF</t>
        </is>
      </c>
      <c r="PG19" t="inlineStr">
        <is>
          <t xml:space="preserve">U"\v" ARABIC_DAMMATAN</t>
        </is>
      </c>
      <c r="PH19" t="inlineStr">
        <is>
          <t xml:space="preserve">ARABIC_QAF</t>
        </is>
      </c>
      <c r="PI19" t="inlineStr">
        <is>
          <t xml:space="preserve">CURRENCY_SIGN</t>
        </is>
      </c>
      <c r="PJ19" t="inlineStr">
        <is>
          <t xml:space="preserve">ARABIC_QAF</t>
        </is>
      </c>
      <c r="PK19" t="inlineStr">
        <is>
          <t xml:space="preserve">U"\v" ARABIC_DAMMATAN</t>
        </is>
      </c>
      <c r="PL19" t="inlineStr">
        <is>
          <t xml:space="preserve">ARABIC_QAF</t>
        </is>
      </c>
      <c r="PM19" t="inlineStr">
        <is>
          <t xml:space="preserve">CURRENCY_SIGN</t>
        </is>
      </c>
      <c r="PN19" t="inlineStr">
        <is>
          <t xml:space="preserve">ARABIC_QAF</t>
        </is>
      </c>
      <c r="PO19" t="inlineStr">
        <is>
          <t xml:space="preserve">U"\v" ARABIC_DAMMATAN</t>
        </is>
      </c>
      <c r="PP19" t="inlineStr">
        <is>
          <t xml:space="preserve">ARABIC_QAF</t>
        </is>
      </c>
      <c r="PQ19" t="inlineStr">
        <is>
          <t xml:space="preserve">CURRENCY_SIGN</t>
        </is>
      </c>
      <c r="PR19" t="inlineStr">
        <is>
          <t xml:space="preserve">ARABIC_QAF</t>
        </is>
      </c>
      <c r="PS19" t="inlineStr">
        <is>
          <t xml:space="preserve">U"\v" ARABIC_DAMMATAN</t>
        </is>
      </c>
      <c r="PT19" t="inlineStr">
        <is>
          <t xml:space="preserve">ARABIC_QAF</t>
        </is>
      </c>
      <c r="PU19" t="inlineStr">
        <is>
          <t xml:space="preserve">CURRENCY_SIGN</t>
        </is>
      </c>
      <c r="PV19" t="inlineStr">
        <is>
          <t xml:space="preserve">ARABIC_QAF</t>
        </is>
      </c>
      <c r="PW19" t="inlineStr">
        <is>
          <t xml:space="preserve">U"\v" ARABIC_DAMMATAN</t>
        </is>
      </c>
      <c r="PX19" t="inlineStr">
        <is>
          <t xml:space="preserve">ARABIC_QAF</t>
        </is>
      </c>
      <c r="PY19" t="inlineStr">
        <is>
          <t xml:space="preserve">CURRENCY_SIGN</t>
        </is>
      </c>
      <c r="PZ19" t="inlineStr">
        <is>
          <t xml:space="preserve">ARABIC_QAF</t>
        </is>
      </c>
      <c r="QA19" t="inlineStr">
        <is>
          <t xml:space="preserve">U"\v" ARABIC_DAMMATAN</t>
        </is>
      </c>
      <c r="QB19" t="inlineStr">
        <is>
          <t xml:space="preserve">ARABIC_QAF</t>
        </is>
      </c>
      <c r="QC19" t="inlineStr">
        <is>
          <t xml:space="preserve">CURRENCY_SIGN</t>
        </is>
      </c>
      <c r="QD19" t="inlineStr">
        <is>
          <t xml:space="preserve">ARABIC_QAF</t>
        </is>
      </c>
      <c r="QE19" t="inlineStr">
        <is>
          <t xml:space="preserve">U"\v" ARABIC_DAMMATAN</t>
        </is>
      </c>
      <c r="QF19" t="inlineStr">
        <is>
          <t xml:space="preserve">ARABIC_QAF</t>
        </is>
      </c>
      <c r="QG19" t="inlineStr">
        <is>
          <t xml:space="preserve">CURRENCY_SIGN</t>
        </is>
      </c>
      <c r="QH19" t="inlineStr">
        <is>
          <t xml:space="preserve">ARABIC_QAF</t>
        </is>
      </c>
      <c r="QI19" t="inlineStr">
        <is>
          <t xml:space="preserve">U"\v" ARABIC_DAMMATAN</t>
        </is>
      </c>
      <c r="QJ19" t="inlineStr">
        <is>
          <t xml:space="preserve">ARABIC_QAF</t>
        </is>
      </c>
      <c r="QK19" t="inlineStr">
        <is>
          <t xml:space="preserve">CURRENCY_SIGN</t>
        </is>
      </c>
      <c r="QL19" t="inlineStr">
        <is>
          <t xml:space="preserve">ARABIC_QAF</t>
        </is>
      </c>
      <c r="QM19" t="inlineStr">
        <is>
          <t xml:space="preserve">U"\v" ARABIC_DAMMATAN</t>
        </is>
      </c>
      <c r="QN19" t="inlineStr">
        <is>
          <t xml:space="preserve">ARABIC_QAF</t>
        </is>
      </c>
      <c r="QO19" t="inlineStr">
        <is>
          <t xml:space="preserve">CURRENCY_SIGN</t>
        </is>
      </c>
      <c r="QP19" t="inlineStr">
        <is>
          <t xml:space="preserve">ARABIC_QAF</t>
        </is>
      </c>
      <c r="QQ19" t="inlineStr">
        <is>
          <t xml:space="preserve">U"\v" ARABIC_DAMMATAN</t>
        </is>
      </c>
      <c r="QR19" t="inlineStr">
        <is>
          <t xml:space="preserve">ARABIC_QAF</t>
        </is>
      </c>
      <c r="QS19" t="inlineStr">
        <is>
          <t xml:space="preserve">CURRENCY_SIGN</t>
        </is>
      </c>
      <c r="QT19" t="inlineStr">
        <is>
          <t xml:space="preserve">ARABIC_QAF</t>
        </is>
      </c>
      <c r="QU19" t="inlineStr">
        <is>
          <t xml:space="preserve">U"\v" ARABIC_DAMMATAN</t>
        </is>
      </c>
      <c r="QV19" t="inlineStr">
        <is>
          <t xml:space="preserve">ARABIC_QAF</t>
        </is>
      </c>
      <c r="QW19" t="inlineStr">
        <is>
          <t xml:space="preserve">CURRENCY_SIGN</t>
        </is>
      </c>
      <c r="QX19" t="inlineStr">
        <is>
          <t xml:space="preserve">ARABIC_QAF</t>
        </is>
      </c>
      <c r="QY19" t="inlineStr">
        <is>
          <t xml:space="preserve">U"\v" ARABIC_DAMMATAN</t>
        </is>
      </c>
      <c r="QZ19" t="inlineStr">
        <is>
          <t xml:space="preserve">ARABIC_QAF</t>
        </is>
      </c>
      <c r="RA19" t="inlineStr">
        <is>
          <t xml:space="preserve">CURRENCY_SIGN</t>
        </is>
      </c>
      <c r="RB19" t="inlineStr">
        <is>
          <t xml:space="preserve">ARABIC_QAF</t>
        </is>
      </c>
      <c r="RC19" t="inlineStr">
        <is>
          <t xml:space="preserve">U"\v" ARABIC_DAMMATAN</t>
        </is>
      </c>
      <c r="RD19" t="inlineStr">
        <is>
          <t xml:space="preserve">ARABIC_QAF</t>
        </is>
      </c>
      <c r="RE19" t="inlineStr">
        <is>
          <t xml:space="preserve">CURRENCY_SIGN</t>
        </is>
      </c>
      <c r="SX19" t="inlineStr">
        <is>
          <t xml:space="preserve">BENG_DC_09C0</t>
        </is>
      </c>
      <c r="SY19" t="inlineStr">
        <is>
          <t xml:space="preserve">BENGALI_0988</t>
        </is>
      </c>
      <c r="SZ19" t="inlineStr">
        <is>
          <t xml:space="preserve">BENG_DC_09C0</t>
        </is>
      </c>
      <c r="TV19" t="inlineStr">
        <is>
          <t xml:space="preserve">CYRILLIC_SM_KA</t>
        </is>
      </c>
      <c r="TW19" t="inlineStr">
        <is>
          <t xml:space="preserve">CYRILLIC_KA</t>
        </is>
      </c>
      <c r="TZ19" t="inlineStr">
        <is>
          <t xml:space="preserve">CYRILLIC_SM_KA</t>
        </is>
      </c>
      <c r="UA19" t="inlineStr">
        <is>
          <t xml:space="preserve">CYRILLIC_KA</t>
        </is>
      </c>
      <c r="VE19" t="inlineStr">
        <is>
          <t xml:space="preserve">U"\f\f\f\f" LATIN_00FD</t>
        </is>
      </c>
      <c r="XB19" t="inlineStr">
        <is>
          <t xml:space="preserve">U"\f" ARABIC_QAF</t>
        </is>
      </c>
      <c r="XD19" t="inlineStr">
        <is>
          <t xml:space="preserve">ARABIC_0642</t>
        </is>
      </c>
      <c r="XF19" t="inlineStr">
        <is>
          <t xml:space="preserve">UCAS_146D</t>
        </is>
      </c>
      <c r="XG19" t="inlineStr">
        <is>
          <t xml:space="preserve">UCAS_1596</t>
        </is>
      </c>
      <c r="XH19" t="inlineStr">
        <is>
          <t xml:space="preserve">UCAS_146D</t>
        </is>
      </c>
      <c r="XJ19" t="inlineStr">
        <is>
          <t xml:space="preserve">r</t>
        </is>
      </c>
      <c r="XK19" t="inlineStr">
        <is>
          <t xml:space="preserve">R</t>
        </is>
      </c>
      <c r="XM19" t="inlineStr">
        <is>
          <t xml:space="preserve">UCAS_154B</t>
        </is>
      </c>
      <c r="XN19" t="inlineStr">
        <is>
          <t xml:space="preserve">CHEROKEE_13DB</t>
        </is>
      </c>
      <c r="XO19" t="inlineStr">
        <is>
          <t xml:space="preserve">CHEROKEE_13CF</t>
        </is>
      </c>
      <c r="XP19" t="inlineStr">
        <is>
          <t xml:space="preserve">CHEROKEE_13DB</t>
        </is>
      </c>
      <c r="XQ19" t="inlineStr">
        <is>
          <t xml:space="preserve">r</t>
        </is>
      </c>
    </row>
    <row r="20" s="116" customFormat="true" ht="15.95" hidden="false" customHeight="true" outlineLevel="0" collapsed="false">
      <c r="A20" s="93" t="s">
        <v>1204</v>
      </c>
      <c r="B20" s="94" t="s">
        <v>1205</v>
      </c>
      <c r="C20" s="94" t="s">
        <v>1206</v>
      </c>
      <c r="D20" s="94"/>
      <c r="E20" s="94"/>
      <c r="F20" s="95"/>
      <c r="G20" s="95"/>
      <c r="H20" s="95"/>
      <c r="I20" s="95"/>
      <c r="J20" s="96"/>
      <c r="K20" s="96"/>
      <c r="L20" s="96"/>
      <c r="M20" s="96"/>
      <c r="N20" s="97"/>
      <c r="O20" s="97"/>
      <c r="P20" s="97"/>
      <c r="Q20" s="97"/>
      <c r="R20" s="98"/>
      <c r="S20" s="98"/>
      <c r="T20" s="98"/>
      <c r="U20" s="98"/>
      <c r="V20" s="99"/>
      <c r="W20" s="99"/>
      <c r="X20" s="99"/>
      <c r="Y20" s="99"/>
      <c r="Z20" s="100"/>
      <c r="AA20" s="100"/>
      <c r="AB20" s="100"/>
      <c r="AC20" s="130" t="s">
        <v>135</v>
      </c>
      <c r="AD20" s="101" t="s">
        <v>637</v>
      </c>
      <c r="AE20" s="101"/>
      <c r="AF20" s="101"/>
      <c r="AG20" s="101"/>
      <c r="AH20" t="inlineStr">
        <is>
          <t xml:space="preserve">s</t>
        </is>
      </c>
      <c r="AI20" t="inlineStr">
        <is>
          <t xml:space="preserve">S</t>
        </is>
      </c>
      <c r="AK20" t="inlineStr">
        <is>
          <t xml:space="preserve">HIRAGANA_TO</t>
        </is>
      </c>
      <c r="AL20" s="103" t="s">
        <v>556</v>
      </c>
      <c r="AM20" s="103"/>
      <c r="AN20" s="103"/>
      <c r="AO20" s="103"/>
      <c r="AP20" s="104" t="s">
        <v>290</v>
      </c>
      <c r="AQ20" s="104" t="s">
        <v>240</v>
      </c>
      <c r="AR20" s="104"/>
      <c r="AS20" s="104"/>
      <c r="AT20" s="105" t="s">
        <v>406</v>
      </c>
      <c r="AU20" s="119" t="s">
        <v>308</v>
      </c>
      <c r="AV20" s="105"/>
      <c r="AW20" t="inlineStr">
        <is>
          <t xml:space="preserve">CYRILLIC_SM_YERU</t>
        </is>
      </c>
      <c r="AX20" s="106" t="s">
        <v>394</v>
      </c>
      <c r="AY20" s="120" t="s">
        <v>350</v>
      </c>
      <c r="AZ20" s="106"/>
      <c r="BA20" s="106"/>
      <c r="BB20" s="107" t="s">
        <v>394</v>
      </c>
      <c r="BC20" s="121" t="s">
        <v>350</v>
      </c>
      <c r="BD20" s="107"/>
      <c r="BE20" s="107"/>
      <c r="BF20" s="108" t="s">
        <v>394</v>
      </c>
      <c r="BG20" s="122" t="s">
        <v>350</v>
      </c>
      <c r="BH20" s="108"/>
      <c r="BI20" s="108"/>
      <c r="BJ20" s="109" t="s">
        <v>402</v>
      </c>
      <c r="BK20" s="123" t="s">
        <v>358</v>
      </c>
      <c r="BL20" s="109"/>
      <c r="BM20" s="109"/>
      <c r="BN20" s="95"/>
      <c r="BO20" s="95"/>
      <c r="BP20" s="95"/>
      <c r="BQ20" s="95" t="s">
        <v>1207</v>
      </c>
      <c r="BR20" s="110"/>
      <c r="BS20" s="110"/>
      <c r="BT20" s="110"/>
      <c r="BU20" s="124" t="s">
        <v>135</v>
      </c>
      <c r="BZ20" s="111"/>
      <c r="CA20" s="111"/>
      <c r="CB20" s="111"/>
      <c r="CC20" s="125" t="s">
        <v>135</v>
      </c>
      <c r="CD20" s="95" t="s">
        <v>474</v>
      </c>
      <c r="CE20" s="95"/>
      <c r="CF20" s="95"/>
      <c r="CG20" s="95"/>
      <c r="CH20" s="112"/>
      <c r="CI20" s="112"/>
      <c r="CJ20" s="112"/>
      <c r="CK20" s="112"/>
      <c r="CL20" s="113"/>
      <c r="CM20" s="113"/>
      <c r="CN20" s="113"/>
      <c r="CO20" s="113"/>
      <c r="CP20" s="84"/>
      <c r="CQ20" s="84"/>
      <c r="CR20" s="84"/>
      <c r="CS20" s="84"/>
      <c r="CT20" s="110"/>
      <c r="CU20" s="110"/>
      <c r="CV20" s="110"/>
      <c r="CW20" s="110"/>
      <c r="CX20" s="114"/>
      <c r="CY20" s="114"/>
      <c r="CZ20" s="114"/>
      <c r="DA20" s="126" t="s">
        <v>1207</v>
      </c>
      <c r="DB20" s="115"/>
      <c r="DC20" s="115"/>
      <c r="DD20" s="115"/>
      <c r="DE20" s="127" t="s">
        <v>1207</v>
      </c>
      <c r="DU20" t="inlineStr">
        <is>
          <t xml:space="preserve">LATIN_0161</t>
        </is>
      </c>
      <c r="DY20" t="inlineStr">
        <is>
          <t xml:space="preserve">LATIN_0161</t>
        </is>
      </c>
      <c r="ED20" t="inlineStr">
        <is>
          <t xml:space="preserve">CYRILLIC_SM_ES</t>
        </is>
      </c>
      <c r="EE20" t="inlineStr">
        <is>
          <t xml:space="preserve">CYRILLIC_ES</t>
        </is>
      </c>
      <c r="EH20" t="inlineStr">
        <is>
          <t xml:space="preserve">CYRILLIC_SM_ES</t>
        </is>
      </c>
      <c r="EI20" t="inlineStr">
        <is>
          <t xml:space="preserve">CYRILLIC_ES</t>
        </is>
      </c>
      <c r="EL20" t="inlineStr">
        <is>
          <t xml:space="preserve">ARABIC_SEEN</t>
        </is>
      </c>
      <c r="EN20" t="inlineStr">
        <is>
          <t xml:space="preserve">ARABIC_SEEN</t>
        </is>
      </c>
      <c r="EP20" t="inlineStr">
        <is>
          <t xml:space="preserve">DEVA_DC_0947</t>
        </is>
      </c>
      <c r="EQ20" t="inlineStr">
        <is>
          <t xml:space="preserve">DEVANAGARI_090F</t>
        </is>
      </c>
      <c r="ER20" t="inlineStr">
        <is>
          <t xml:space="preserve">DEVA_DC_0947</t>
        </is>
      </c>
      <c r="ET20" t="inlineStr">
        <is>
          <t xml:space="preserve">DEVA_DC_0947</t>
        </is>
      </c>
      <c r="EU20" t="inlineStr">
        <is>
          <t xml:space="preserve">DEVANAGARI_090F</t>
        </is>
      </c>
      <c r="EV20" t="inlineStr">
        <is>
          <t xml:space="preserve">DEVA_DC_0947</t>
        </is>
      </c>
      <c r="EX20" t="inlineStr">
        <is>
          <t xml:space="preserve">DEVA_DC_0947</t>
        </is>
      </c>
      <c r="EY20" t="inlineStr">
        <is>
          <t xml:space="preserve">DEVANAGARI_090F</t>
        </is>
      </c>
      <c r="EZ20" t="inlineStr">
        <is>
          <t xml:space="preserve">DEVA_DC_0947</t>
        </is>
      </c>
      <c r="FB20" t="inlineStr">
        <is>
          <t xml:space="preserve">CYRILLIC_SM_YERU</t>
        </is>
      </c>
      <c r="FC20" t="inlineStr">
        <is>
          <t xml:space="preserve">CYRILLIC_YERU</t>
        </is>
      </c>
      <c r="FF20" t="inlineStr">
        <is>
          <t xml:space="preserve">ARABIC_WAW</t>
        </is>
      </c>
      <c r="FG20" t="inlineStr">
        <is>
          <t xml:space="preserve">ARABIC_ZAIN</t>
        </is>
      </c>
      <c r="FH20" t="inlineStr">
        <is>
          <t xml:space="preserve">ARABIC_WAW</t>
        </is>
      </c>
      <c r="GD20" t="inlineStr">
        <is>
          <t xml:space="preserve">THAI_0E2B</t>
        </is>
      </c>
      <c r="GE20" t="inlineStr">
        <is>
          <t xml:space="preserve">THAI_0E06</t>
        </is>
      </c>
      <c r="GF20" t="inlineStr">
        <is>
          <t xml:space="preserve">THAI_0E2B</t>
        </is>
      </c>
      <c r="GH20" t="inlineStr">
        <is>
          <t xml:space="preserve">BENG_DC_09C7</t>
        </is>
      </c>
      <c r="GI20" t="inlineStr">
        <is>
          <t xml:space="preserve">BENGALI_098F</t>
        </is>
      </c>
      <c r="GJ20" t="inlineStr">
        <is>
          <t xml:space="preserve">BENG_DC_09C7</t>
        </is>
      </c>
      <c r="GL20" t="inlineStr">
        <is>
          <t xml:space="preserve">TELU_DC_0C47</t>
        </is>
      </c>
      <c r="GM20" t="inlineStr">
        <is>
          <t xml:space="preserve">TELUGU_0C0F</t>
        </is>
      </c>
      <c r="GN20" t="inlineStr">
        <is>
          <t xml:space="preserve">TELU_DC_0C47</t>
        </is>
      </c>
      <c r="GP20" t="inlineStr">
        <is>
          <t xml:space="preserve">TAML_DC_0BC7</t>
        </is>
      </c>
      <c r="GQ20" t="inlineStr">
        <is>
          <t xml:space="preserve">TAMIL_0B8F</t>
        </is>
      </c>
      <c r="GR20" t="inlineStr">
        <is>
          <t xml:space="preserve">TAML_DC_0BC7</t>
        </is>
      </c>
      <c r="GT20" t="inlineStr">
        <is>
          <t xml:space="preserve">ZHUYIN_310B</t>
        </is>
      </c>
      <c r="GV20" t="inlineStr">
        <is>
          <t xml:space="preserve">ZHUYIN_310B</t>
        </is>
      </c>
      <c r="GX20" t="inlineStr">
        <is>
          <t xml:space="preserve">GEORGIAN_10E1</t>
        </is>
      </c>
      <c r="GY20" t="inlineStr">
        <is>
          <t xml:space="preserve">GEORGIAN_10E8</t>
        </is>
      </c>
      <c r="GZ20" t="inlineStr">
        <is>
          <t xml:space="preserve">GEORGIAN_10E1</t>
        </is>
      </c>
      <c r="HB20" t="inlineStr">
        <is>
          <t xml:space="preserve">ARMENIAN_057E</t>
        </is>
      </c>
      <c r="HC20" t="inlineStr">
        <is>
          <t xml:space="preserve">ARMENIAN_054E</t>
        </is>
      </c>
      <c r="HV20" t="inlineStr">
        <is>
          <t xml:space="preserve">KANGXI_RADICAL_CORPSE</t>
        </is>
      </c>
      <c r="HW20" t="inlineStr">
        <is>
          <t xml:space="preserve">s</t>
        </is>
      </c>
      <c r="HX20" t="inlineStr">
        <is>
          <t xml:space="preserve">KANGXI_RADICAL_CORPSE</t>
        </is>
      </c>
      <c r="JE20" t="inlineStr">
        <is>
          <t xml:space="preserve">LATIN_0161</t>
        </is>
      </c>
      <c r="JI20" t="inlineStr">
        <is>
          <t xml:space="preserve">LATIN_0161</t>
        </is>
      </c>
      <c r="JJ20" t="inlineStr">
        <is>
          <t xml:space="preserve">ARABIC_SEEN</t>
        </is>
      </c>
      <c r="JR20" t="inlineStr">
        <is>
          <t xml:space="preserve">ETHIOPIC_1230</t>
        </is>
      </c>
      <c r="JS20" t="inlineStr">
        <is>
          <t xml:space="preserve">ETHIOPIC_1220</t>
        </is>
      </c>
      <c r="JT20" t="inlineStr">
        <is>
          <t xml:space="preserve">ETHIOPIC_1230</t>
        </is>
      </c>
      <c r="KD20" t="inlineStr">
        <is>
          <t xml:space="preserve">ARABIC_SEEN</t>
        </is>
      </c>
      <c r="KH20" t="inlineStr">
        <is>
          <t xml:space="preserve">ARABIC_SEEN</t>
        </is>
      </c>
      <c r="KL20" t="inlineStr">
        <is>
          <t xml:space="preserve">ARABIC_SEEN</t>
        </is>
      </c>
      <c r="KM20" t="inlineStr">
        <is>
          <t xml:space="preserve">ARABIC_SHEEN</t>
        </is>
      </c>
      <c r="KN20" t="inlineStr">
        <is>
          <t xml:space="preserve">ARABIC_SEEN</t>
        </is>
      </c>
      <c r="PB20" t="inlineStr">
        <is>
          <t xml:space="preserve">ARABIC_SEEN</t>
        </is>
      </c>
      <c r="PF20" t="inlineStr">
        <is>
          <t xml:space="preserve">ARABIC_SEEN</t>
        </is>
      </c>
      <c r="PJ20" t="inlineStr">
        <is>
          <t xml:space="preserve">ARABIC_SEEN</t>
        </is>
      </c>
      <c r="PN20" t="inlineStr">
        <is>
          <t xml:space="preserve">ARABIC_SEEN</t>
        </is>
      </c>
      <c r="PR20" t="inlineStr">
        <is>
          <t xml:space="preserve">ARABIC_SEEN</t>
        </is>
      </c>
      <c r="PV20" t="inlineStr">
        <is>
          <t xml:space="preserve">ARABIC_SEEN</t>
        </is>
      </c>
      <c r="PZ20" t="inlineStr">
        <is>
          <t xml:space="preserve">ARABIC_SEEN</t>
        </is>
      </c>
      <c r="QD20" t="inlineStr">
        <is>
          <t xml:space="preserve">ARABIC_SEEN</t>
        </is>
      </c>
      <c r="QH20" t="inlineStr">
        <is>
          <t xml:space="preserve">ARABIC_SEEN</t>
        </is>
      </c>
      <c r="QL20" t="inlineStr">
        <is>
          <t xml:space="preserve">ARABIC_SEEN</t>
        </is>
      </c>
      <c r="QP20" t="inlineStr">
        <is>
          <t xml:space="preserve">ARABIC_SEEN</t>
        </is>
      </c>
      <c r="QT20" t="inlineStr">
        <is>
          <t xml:space="preserve">ARABIC_SEEN</t>
        </is>
      </c>
      <c r="QX20" t="inlineStr">
        <is>
          <t xml:space="preserve">ARABIC_SEEN</t>
        </is>
      </c>
      <c r="RB20" t="inlineStr">
        <is>
          <t xml:space="preserve">ARABIC_SEEN</t>
        </is>
      </c>
      <c r="SX20" t="inlineStr">
        <is>
          <t xml:space="preserve">BENG_DC_09C7</t>
        </is>
      </c>
      <c r="SY20" t="inlineStr">
        <is>
          <t xml:space="preserve">BENGALI_098F</t>
        </is>
      </c>
      <c r="SZ20" t="inlineStr">
        <is>
          <t xml:space="preserve">BENG_DC_09C7</t>
        </is>
      </c>
      <c r="TA20" t="inlineStr">
        <is>
          <t xml:space="preserve">BENGALI_0989</t>
        </is>
      </c>
      <c r="TV20" t="inlineStr">
        <is>
          <t xml:space="preserve">CYRILLIC_SM_YERU</t>
        </is>
      </c>
      <c r="TW20" t="inlineStr">
        <is>
          <t xml:space="preserve">CYRILLIC_YERU</t>
        </is>
      </c>
      <c r="TZ20" t="inlineStr">
        <is>
          <t xml:space="preserve">CYRILLIC_SM_YERU</t>
        </is>
      </c>
      <c r="UA20" t="inlineStr">
        <is>
          <t xml:space="preserve">CYRILLIC_YERU</t>
        </is>
      </c>
      <c r="VE20" t="inlineStr">
        <is>
          <t xml:space="preserve">ESZETT</t>
        </is>
      </c>
      <c r="WG20" t="inlineStr">
        <is>
          <t xml:space="preserve">ESZETT</t>
        </is>
      </c>
      <c r="XB20" t="inlineStr">
        <is>
          <t xml:space="preserve">U"\f\f\f" ARABIC_SEEN</t>
        </is>
      </c>
      <c r="XC20" t="inlineStr">
        <is>
          <t xml:space="preserve">U"\f\f\x06\x06" ARABIC_YEH_HAMZA_A</t>
        </is>
      </c>
      <c r="XD20" t="inlineStr">
        <is>
          <t xml:space="preserve">ARABIC_0633</t>
        </is>
      </c>
      <c r="XE20" t="inlineStr">
        <is>
          <t xml:space="preserve">ARABIC_YEH_BARREE</t>
        </is>
      </c>
      <c r="XF20" t="inlineStr">
        <is>
          <t xml:space="preserve">UCAS_1405</t>
        </is>
      </c>
      <c r="XG20" t="inlineStr">
        <is>
          <t xml:space="preserve">UCAS_1433</t>
        </is>
      </c>
      <c r="XH20" t="inlineStr">
        <is>
          <t xml:space="preserve">UCAS_1405</t>
        </is>
      </c>
      <c r="XJ20" t="inlineStr">
        <is>
          <t xml:space="preserve">s</t>
        </is>
      </c>
      <c r="XK20" t="inlineStr">
        <is>
          <t xml:space="preserve">S</t>
        </is>
      </c>
      <c r="XM20" t="inlineStr">
        <is>
          <t xml:space="preserve">UCAS_14F4</t>
        </is>
      </c>
      <c r="XN20" t="inlineStr">
        <is>
          <t xml:space="preserve">CHEROKEE_13CD</t>
        </is>
      </c>
      <c r="XO20" t="inlineStr">
        <is>
          <t xml:space="preserve">CHEROKEE_13CE</t>
        </is>
      </c>
      <c r="XP20" t="inlineStr">
        <is>
          <t xml:space="preserve">CHEROKEE_13CD</t>
        </is>
      </c>
      <c r="XQ20" t="inlineStr">
        <is>
          <t xml:space="preserve">s</t>
        </is>
      </c>
    </row>
    <row r="21" s="116" customFormat="true" ht="15.95" hidden="false" customHeight="true" outlineLevel="0" collapsed="false">
      <c r="A21" s="93" t="s">
        <v>1208</v>
      </c>
      <c r="B21" s="94" t="s">
        <v>1209</v>
      </c>
      <c r="C21" s="94" t="s">
        <v>943</v>
      </c>
      <c r="D21" s="94"/>
      <c r="E21" s="94"/>
      <c r="F21" s="95"/>
      <c r="G21" s="95"/>
      <c r="H21" s="95"/>
      <c r="I21" s="95"/>
      <c r="J21" s="96"/>
      <c r="K21" s="96"/>
      <c r="L21" s="96"/>
      <c r="M21" s="96"/>
      <c r="N21" s="97"/>
      <c r="O21" s="97"/>
      <c r="P21" s="97"/>
      <c r="Q21" s="97"/>
      <c r="R21" s="98"/>
      <c r="S21" s="98"/>
      <c r="T21" s="98"/>
      <c r="U21" s="98"/>
      <c r="V21" s="99"/>
      <c r="W21" s="99"/>
      <c r="X21" s="99"/>
      <c r="Y21" s="99"/>
      <c r="Z21" s="100"/>
      <c r="AA21" s="100"/>
      <c r="AB21" s="100"/>
      <c r="AC21" s="100"/>
      <c r="AD21" s="101" t="s">
        <v>644</v>
      </c>
      <c r="AE21" s="101" t="s">
        <v>645</v>
      </c>
      <c r="AF21" s="101"/>
      <c r="AG21" s="101"/>
      <c r="AH21" t="inlineStr">
        <is>
          <t xml:space="preserve">t</t>
        </is>
      </c>
      <c r="AI21" t="inlineStr">
        <is>
          <t xml:space="preserve">T</t>
        </is>
      </c>
      <c r="AK21" t="inlineStr">
        <is>
          <t xml:space="preserve">HIRAGANA_KA</t>
        </is>
      </c>
      <c r="AL21" s="103" t="s">
        <v>590</v>
      </c>
      <c r="AM21" s="103"/>
      <c r="AN21" s="103"/>
      <c r="AO21" t="inlineStr">
        <is>
          <t xml:space="preserve">ARABIC_VEH</t>
        </is>
      </c>
      <c r="AP21" s="104" t="s">
        <v>292</v>
      </c>
      <c r="AQ21" s="104" t="s">
        <v>242</v>
      </c>
      <c r="AR21" s="104"/>
      <c r="AS21" s="104"/>
      <c r="AT21" s="105" t="s">
        <v>365</v>
      </c>
      <c r="AU21" s="105" t="s">
        <v>321</v>
      </c>
      <c r="AV21" s="105"/>
      <c r="AW21" t="inlineStr">
        <is>
          <t xml:space="preserve">CYRILLIC_SM_IO</t>
        </is>
      </c>
      <c r="AX21" s="106" t="s">
        <v>365</v>
      </c>
      <c r="AY21" s="106" t="s">
        <v>321</v>
      </c>
      <c r="AZ21" s="106"/>
      <c r="BA21" s="106"/>
      <c r="BB21" s="107" t="s">
        <v>365</v>
      </c>
      <c r="BC21" s="107" t="s">
        <v>321</v>
      </c>
      <c r="BD21" s="107"/>
      <c r="BE21" s="107"/>
      <c r="BF21" s="108" t="s">
        <v>365</v>
      </c>
      <c r="BG21" s="108" t="s">
        <v>321</v>
      </c>
      <c r="BH21" s="108"/>
      <c r="BI21" s="108"/>
      <c r="BJ21" s="109" t="s">
        <v>390</v>
      </c>
      <c r="BK21" s="109" t="s">
        <v>346</v>
      </c>
      <c r="BL21" s="109"/>
      <c r="BM21" s="109"/>
      <c r="BN21" s="95"/>
      <c r="BO21" s="95"/>
      <c r="BP21" s="95"/>
      <c r="BQ21" s="95"/>
      <c r="BR21" s="110"/>
      <c r="BS21" s="110"/>
      <c r="BT21" s="110"/>
      <c r="BU21" s="110"/>
      <c r="BZ21" s="111"/>
      <c r="CA21" s="111"/>
      <c r="CB21" s="111"/>
      <c r="CC21" s="111"/>
      <c r="CD21" s="95" t="s">
        <v>471</v>
      </c>
      <c r="CE21" s="95"/>
      <c r="CF21" s="95"/>
      <c r="CG21" s="95" t="s">
        <v>467</v>
      </c>
      <c r="CH21" s="112"/>
      <c r="CI21" s="112"/>
      <c r="CJ21" s="112"/>
      <c r="CK21" s="112"/>
      <c r="CL21" s="113"/>
      <c r="CM21" s="113"/>
      <c r="CN21" s="113"/>
      <c r="CO21" s="113"/>
      <c r="CP21" s="84"/>
      <c r="CQ21" s="84"/>
      <c r="CR21" s="84"/>
      <c r="CS21" s="84"/>
      <c r="CT21" s="110"/>
      <c r="CU21" s="110"/>
      <c r="CV21" s="110"/>
      <c r="CW21" s="110"/>
      <c r="CX21" s="114"/>
      <c r="CY21" s="114"/>
      <c r="CZ21" s="114"/>
      <c r="DA21" s="114"/>
      <c r="DB21" s="115"/>
      <c r="DC21" s="115"/>
      <c r="DD21" s="115"/>
      <c r="DE21" s="115"/>
      <c r="ED21" t="inlineStr">
        <is>
          <t xml:space="preserve">CYRILLIC_SM_TE</t>
        </is>
      </c>
      <c r="EE21" t="inlineStr">
        <is>
          <t xml:space="preserve">CYRILLIC_TE</t>
        </is>
      </c>
      <c r="EH21" t="inlineStr">
        <is>
          <t xml:space="preserve">CYRILLIC_SM_TE</t>
        </is>
      </c>
      <c r="EI21" t="inlineStr">
        <is>
          <t xml:space="preserve">CYRILLIC_TE</t>
        </is>
      </c>
      <c r="EL21" t="inlineStr">
        <is>
          <t xml:space="preserve">ARABIC_FEH</t>
        </is>
      </c>
      <c r="EN21" t="inlineStr">
        <is>
          <t xml:space="preserve">ARABIC_FEH</t>
        </is>
      </c>
      <c r="EP21" t="inlineStr">
        <is>
          <t xml:space="preserve">DEVA_DC_0942</t>
        </is>
      </c>
      <c r="EQ21" t="inlineStr">
        <is>
          <t xml:space="preserve">DEVANAGARI_090A</t>
        </is>
      </c>
      <c r="ER21" t="inlineStr">
        <is>
          <t xml:space="preserve">DEVA_DC_0942</t>
        </is>
      </c>
      <c r="ET21" t="inlineStr">
        <is>
          <t xml:space="preserve">DEVA_DC_0942</t>
        </is>
      </c>
      <c r="EU21" t="inlineStr">
        <is>
          <t xml:space="preserve">DEVANAGARI_090A</t>
        </is>
      </c>
      <c r="EV21" t="inlineStr">
        <is>
          <t xml:space="preserve">DEVA_DC_0942</t>
        </is>
      </c>
      <c r="EX21" t="inlineStr">
        <is>
          <t xml:space="preserve">DEVA_DC_0942</t>
        </is>
      </c>
      <c r="EY21" t="inlineStr">
        <is>
          <t xml:space="preserve">DEVANAGARI_090A</t>
        </is>
      </c>
      <c r="EZ21" t="inlineStr">
        <is>
          <t xml:space="preserve">DEVA_DC_0942</t>
        </is>
      </c>
      <c r="FB21" t="inlineStr">
        <is>
          <t xml:space="preserve">CYRILLIC_SM_E</t>
        </is>
      </c>
      <c r="FC21" t="inlineStr">
        <is>
          <t xml:space="preserve">CYRILLIC_E</t>
        </is>
      </c>
      <c r="FF21" t="inlineStr">
        <is>
          <t xml:space="preserve">ARABIC_TTEH</t>
        </is>
      </c>
      <c r="FG21" t="inlineStr">
        <is>
          <t xml:space="preserve">ARABIC_THEH</t>
        </is>
      </c>
      <c r="FH21" t="inlineStr">
        <is>
          <t xml:space="preserve">ARABIC_TTEH</t>
        </is>
      </c>
      <c r="GD21" t="inlineStr">
        <is>
          <t xml:space="preserve">THAI_0E30</t>
        </is>
      </c>
      <c r="GE21" t="inlineStr">
        <is>
          <t xml:space="preserve">THAI_0E18</t>
        </is>
      </c>
      <c r="GF21" t="inlineStr">
        <is>
          <t xml:space="preserve">THAI_0E30</t>
        </is>
      </c>
      <c r="GH21" t="inlineStr">
        <is>
          <t xml:space="preserve">BENG_DC_09C2</t>
        </is>
      </c>
      <c r="GI21" t="inlineStr">
        <is>
          <t xml:space="preserve">BENGALI_098A</t>
        </is>
      </c>
      <c r="GJ21" t="inlineStr">
        <is>
          <t xml:space="preserve">BENG_DC_09C2</t>
        </is>
      </c>
      <c r="GL21" t="inlineStr">
        <is>
          <t xml:space="preserve">TELU_DC_0C42</t>
        </is>
      </c>
      <c r="GM21" t="inlineStr">
        <is>
          <t xml:space="preserve">TELUGU_0C0A</t>
        </is>
      </c>
      <c r="GN21" t="inlineStr">
        <is>
          <t xml:space="preserve">TELU_DC_0C42</t>
        </is>
      </c>
      <c r="GP21" t="inlineStr">
        <is>
          <t xml:space="preserve">TAML_DC_0BC2</t>
        </is>
      </c>
      <c r="GQ21" t="inlineStr">
        <is>
          <t xml:space="preserve">TAMIL_0B8A</t>
        </is>
      </c>
      <c r="GR21" t="inlineStr">
        <is>
          <t xml:space="preserve">TAML_DC_0BC2</t>
        </is>
      </c>
      <c r="GT21" t="inlineStr">
        <is>
          <t xml:space="preserve">ZHUYIN_3114</t>
        </is>
      </c>
      <c r="GV21" t="inlineStr">
        <is>
          <t xml:space="preserve">ZHUYIN_3114</t>
        </is>
      </c>
      <c r="GX21" t="inlineStr">
        <is>
          <t xml:space="preserve">GEORGIAN_10E2</t>
        </is>
      </c>
      <c r="GY21" t="inlineStr">
        <is>
          <t xml:space="preserve">GEORGIAN_10D7</t>
        </is>
      </c>
      <c r="GZ21" t="inlineStr">
        <is>
          <t xml:space="preserve">GEORGIAN_10E2</t>
        </is>
      </c>
      <c r="HB21" t="inlineStr">
        <is>
          <t xml:space="preserve">ARMENIAN_0574</t>
        </is>
      </c>
      <c r="HC21" t="inlineStr">
        <is>
          <t xml:space="preserve">ARMENIAN_0544</t>
        </is>
      </c>
      <c r="HV21" t="inlineStr">
        <is>
          <t xml:space="preserve">CJK_5EFF</t>
        </is>
      </c>
      <c r="HW21" t="inlineStr">
        <is>
          <t xml:space="preserve">t</t>
        </is>
      </c>
      <c r="HX21" t="inlineStr">
        <is>
          <t xml:space="preserve">CJK_5EFF</t>
        </is>
      </c>
      <c r="JJ21" t="inlineStr">
        <is>
          <t xml:space="preserve">ARABIC_FEH</t>
        </is>
      </c>
      <c r="JM21" t="inlineStr">
        <is>
          <t xml:space="preserve">ARABIC_VEH</t>
        </is>
      </c>
      <c r="JR21" t="inlineStr">
        <is>
          <t xml:space="preserve">ETHIOPIC_1270</t>
        </is>
      </c>
      <c r="JS21" t="inlineStr">
        <is>
          <t xml:space="preserve">ETHIOPIC_1320</t>
        </is>
      </c>
      <c r="JT21" t="inlineStr">
        <is>
          <t xml:space="preserve">ETHIOPIC_1270</t>
        </is>
      </c>
      <c r="KD21" t="inlineStr">
        <is>
          <t xml:space="preserve">ARABIC_FEH</t>
        </is>
      </c>
      <c r="KG21" t="inlineStr">
        <is>
          <t xml:space="preserve">ARABIC_VEH</t>
        </is>
      </c>
      <c r="KH21" t="inlineStr">
        <is>
          <t xml:space="preserve">ARABIC_FEH</t>
        </is>
      </c>
      <c r="KK21" t="inlineStr">
        <is>
          <t xml:space="preserve">ARABIC_VEH</t>
        </is>
      </c>
      <c r="KL21" t="inlineStr">
        <is>
          <t xml:space="preserve">ARABIC_TEH</t>
        </is>
      </c>
      <c r="KM21" t="inlineStr">
        <is>
          <t xml:space="preserve">ARABIC_TAH</t>
        </is>
      </c>
      <c r="KN21" t="inlineStr">
        <is>
          <t xml:space="preserve">ARABIC_TEH</t>
        </is>
      </c>
      <c r="PB21" t="inlineStr">
        <is>
          <t xml:space="preserve">ARABIC_FEH</t>
        </is>
      </c>
      <c r="PE21" t="inlineStr">
        <is>
          <t xml:space="preserve">ARABIC_VEH</t>
        </is>
      </c>
      <c r="PF21" t="inlineStr">
        <is>
          <t xml:space="preserve">ARABIC_FEH</t>
        </is>
      </c>
      <c r="PI21" t="inlineStr">
        <is>
          <t xml:space="preserve">ARABIC_VEH</t>
        </is>
      </c>
      <c r="PJ21" t="inlineStr">
        <is>
          <t xml:space="preserve">ARABIC_FEH</t>
        </is>
      </c>
      <c r="PM21" t="inlineStr">
        <is>
          <t xml:space="preserve">ARABIC_VEH</t>
        </is>
      </c>
      <c r="PN21" t="inlineStr">
        <is>
          <t xml:space="preserve">ARABIC_FEH</t>
        </is>
      </c>
      <c r="PQ21" t="inlineStr">
        <is>
          <t xml:space="preserve">ARABIC_VEH</t>
        </is>
      </c>
      <c r="PR21" t="inlineStr">
        <is>
          <t xml:space="preserve">ARABIC_FEH</t>
        </is>
      </c>
      <c r="PU21" t="inlineStr">
        <is>
          <t xml:space="preserve">ARABIC_VEH</t>
        </is>
      </c>
      <c r="PV21" t="inlineStr">
        <is>
          <t xml:space="preserve">ARABIC_FEH</t>
        </is>
      </c>
      <c r="PY21" t="inlineStr">
        <is>
          <t xml:space="preserve">ARABIC_VEH</t>
        </is>
      </c>
      <c r="PZ21" t="inlineStr">
        <is>
          <t xml:space="preserve">ARABIC_FEH</t>
        </is>
      </c>
      <c r="QC21" t="inlineStr">
        <is>
          <t xml:space="preserve">ARABIC_VEH</t>
        </is>
      </c>
      <c r="QD21" t="inlineStr">
        <is>
          <t xml:space="preserve">ARABIC_FEH</t>
        </is>
      </c>
      <c r="QG21" t="inlineStr">
        <is>
          <t xml:space="preserve">ARABIC_VEH</t>
        </is>
      </c>
      <c r="QH21" t="inlineStr">
        <is>
          <t xml:space="preserve">ARABIC_FEH</t>
        </is>
      </c>
      <c r="QK21" t="inlineStr">
        <is>
          <t xml:space="preserve">ARABIC_VEH</t>
        </is>
      </c>
      <c r="QL21" t="inlineStr">
        <is>
          <t xml:space="preserve">ARABIC_FEH</t>
        </is>
      </c>
      <c r="QO21" t="inlineStr">
        <is>
          <t xml:space="preserve">ARABIC_VEH</t>
        </is>
      </c>
      <c r="QP21" t="inlineStr">
        <is>
          <t xml:space="preserve">ARABIC_FEH</t>
        </is>
      </c>
      <c r="QS21" t="inlineStr">
        <is>
          <t xml:space="preserve">ARABIC_VEH</t>
        </is>
      </c>
      <c r="QT21" t="inlineStr">
        <is>
          <t xml:space="preserve">ARABIC_FEH</t>
        </is>
      </c>
      <c r="QW21" t="inlineStr">
        <is>
          <t xml:space="preserve">ARABIC_VEH</t>
        </is>
      </c>
      <c r="QX21" t="inlineStr">
        <is>
          <t xml:space="preserve">ARABIC_FEH</t>
        </is>
      </c>
      <c r="RA21" t="inlineStr">
        <is>
          <t xml:space="preserve">ARABIC_VEH</t>
        </is>
      </c>
      <c r="RB21" t="inlineStr">
        <is>
          <t xml:space="preserve">ARABIC_FEH</t>
        </is>
      </c>
      <c r="RE21" t="inlineStr">
        <is>
          <t xml:space="preserve">ARABIC_VEH</t>
        </is>
      </c>
      <c r="SX21" t="inlineStr">
        <is>
          <t xml:space="preserve">BENG_DC_09C2</t>
        </is>
      </c>
      <c r="SY21" t="inlineStr">
        <is>
          <t xml:space="preserve">BENGALI_098A</t>
        </is>
      </c>
      <c r="SZ21" t="inlineStr">
        <is>
          <t xml:space="preserve">BENG_DC_09C2</t>
        </is>
      </c>
      <c r="TV21" t="inlineStr">
        <is>
          <t xml:space="preserve">CYRILLIC_SM_IE</t>
        </is>
      </c>
      <c r="TW21" t="inlineStr">
        <is>
          <t xml:space="preserve">CYRILLIC_IE</t>
        </is>
      </c>
      <c r="TZ21" t="inlineStr">
        <is>
          <t xml:space="preserve">CYRILLIC_SM_IE</t>
        </is>
      </c>
      <c r="UA21" t="inlineStr">
        <is>
          <t xml:space="preserve">CYRILLIC_IE</t>
        </is>
      </c>
      <c r="VE21" t="inlineStr">
        <is>
          <t xml:space="preserve">U"\f\f\f\f" LATIN_00FE</t>
        </is>
      </c>
      <c r="XB21" t="inlineStr">
        <is>
          <t xml:space="preserve">ARABIC_0641</t>
        </is>
      </c>
      <c r="XD21" t="inlineStr">
        <is>
          <t xml:space="preserve">ARABIC_0641</t>
        </is>
      </c>
      <c r="XF21" t="inlineStr">
        <is>
          <t xml:space="preserve">UCAS_144E</t>
        </is>
      </c>
      <c r="XG21" t="inlineStr">
        <is>
          <t xml:space="preserve">UCAS_1671</t>
        </is>
      </c>
      <c r="XH21" t="inlineStr">
        <is>
          <t xml:space="preserve">UCAS_144E</t>
        </is>
      </c>
      <c r="XJ21" t="inlineStr">
        <is>
          <t xml:space="preserve">t</t>
        </is>
      </c>
      <c r="XK21" t="inlineStr">
        <is>
          <t xml:space="preserve">T</t>
        </is>
      </c>
      <c r="XM21" t="inlineStr">
        <is>
          <t xml:space="preserve">UCAS_1455</t>
        </is>
      </c>
      <c r="XN21" t="inlineStr">
        <is>
          <t xml:space="preserve">CHEROKEE_13D4</t>
        </is>
      </c>
      <c r="XO21" t="inlineStr">
        <is>
          <t xml:space="preserve">CHEROKEE_13D8</t>
        </is>
      </c>
      <c r="XP21" t="inlineStr">
        <is>
          <t xml:space="preserve">CHEROKEE_13D4</t>
        </is>
      </c>
      <c r="XQ21" t="inlineStr">
        <is>
          <t xml:space="preserve">t</t>
        </is>
      </c>
    </row>
    <row r="22" s="116" customFormat="true" ht="15.95" hidden="false" customHeight="true" outlineLevel="0" collapsed="false">
      <c r="A22" s="93" t="s">
        <v>1210</v>
      </c>
      <c r="B22" s="94" t="s">
        <v>1211</v>
      </c>
      <c r="C22" s="94" t="s">
        <v>1212</v>
      </c>
      <c r="D22" s="94"/>
      <c r="E22" s="94"/>
      <c r="F22" s="95"/>
      <c r="G22" s="95"/>
      <c r="H22" s="95"/>
      <c r="I22" s="95"/>
      <c r="J22" s="96"/>
      <c r="K22" s="96"/>
      <c r="L22" s="96"/>
      <c r="M22" s="96"/>
      <c r="N22" s="97"/>
      <c r="O22" s="97"/>
      <c r="P22" s="97"/>
      <c r="Q22" s="97"/>
      <c r="R22" s="98"/>
      <c r="S22" s="98"/>
      <c r="T22" s="98"/>
      <c r="U22" s="98"/>
      <c r="V22" s="99"/>
      <c r="W22" s="99"/>
      <c r="X22" s="99"/>
      <c r="Y22" s="99"/>
      <c r="Z22" s="100"/>
      <c r="AA22" s="100"/>
      <c r="AB22" s="100"/>
      <c r="AC22" s="100"/>
      <c r="AD22" s="101" t="s">
        <v>666</v>
      </c>
      <c r="AE22" s="101"/>
      <c r="AF22" s="101"/>
      <c r="AG22" s="101"/>
      <c r="AH22" t="inlineStr">
        <is>
          <t xml:space="preserve">u</t>
        </is>
      </c>
      <c r="AI22" t="inlineStr">
        <is>
          <t xml:space="preserve">U</t>
        </is>
      </c>
      <c r="AK22" t="inlineStr">
        <is>
          <t xml:space="preserve">HIRAGANA_NA</t>
        </is>
      </c>
      <c r="AL22" s="103" t="s">
        <v>568</v>
      </c>
      <c r="AM22" s="117" t="s">
        <v>80</v>
      </c>
      <c r="AN22" s="103" t="s">
        <v>568</v>
      </c>
      <c r="AO22" s="103"/>
      <c r="AP22" s="104" t="s">
        <v>268</v>
      </c>
      <c r="AQ22" s="118" t="s">
        <v>220</v>
      </c>
      <c r="AR22" s="104"/>
      <c r="AS22" s="104"/>
      <c r="AT22" s="105" t="s">
        <v>363</v>
      </c>
      <c r="AU22" s="119" t="s">
        <v>319</v>
      </c>
      <c r="AV22" s="105"/>
      <c r="AW22" s="105" t="s">
        <v>415</v>
      </c>
      <c r="AX22" s="106" t="s">
        <v>363</v>
      </c>
      <c r="AY22" s="120" t="s">
        <v>319</v>
      </c>
      <c r="AZ22" s="106"/>
      <c r="BA22" s="106"/>
      <c r="BB22" s="107" t="s">
        <v>363</v>
      </c>
      <c r="BC22" s="121" t="s">
        <v>319</v>
      </c>
      <c r="BD22" s="107"/>
      <c r="BE22" t="inlineStr">
        <is>
          <t xml:space="preserve">CYRILLIC_SM_GHE_W_UPTURN</t>
        </is>
      </c>
      <c r="BF22" s="108" t="s">
        <v>363</v>
      </c>
      <c r="BG22" s="122" t="s">
        <v>319</v>
      </c>
      <c r="BH22" s="108"/>
      <c r="BI22" s="108"/>
      <c r="BJ22" s="109" t="s">
        <v>370</v>
      </c>
      <c r="BK22" s="123" t="s">
        <v>326</v>
      </c>
      <c r="BL22" s="109"/>
      <c r="BM22" s="109"/>
      <c r="BN22" s="95"/>
      <c r="BO22" s="95"/>
      <c r="BP22" s="95"/>
      <c r="BQ22" s="95" t="s">
        <v>682</v>
      </c>
      <c r="BR22" s="110"/>
      <c r="BS22" s="110"/>
      <c r="BT22" s="110"/>
      <c r="BU22" s="110"/>
      <c r="BZ22" s="111"/>
      <c r="CA22" s="111"/>
      <c r="CB22" s="111"/>
      <c r="CC22" t="inlineStr">
        <is>
          <t xml:space="preserve">UMLAUT_U_SMALL</t>
        </is>
      </c>
      <c r="CD22" s="95" t="s">
        <v>476</v>
      </c>
      <c r="CE22" s="95"/>
      <c r="CF22" s="95"/>
      <c r="CG22" s="128" t="s">
        <v>498</v>
      </c>
      <c r="CH22" s="112"/>
      <c r="CI22" s="112"/>
      <c r="CJ22" s="112"/>
      <c r="CK22" s="112"/>
      <c r="CL22" s="113"/>
      <c r="CM22" s="113"/>
      <c r="CN22" s="113"/>
      <c r="CO22" s="113"/>
      <c r="CP22" s="84"/>
      <c r="CQ22" s="84"/>
      <c r="CR22" s="84"/>
      <c r="CS22" s="84"/>
      <c r="CT22" s="110"/>
      <c r="CU22" s="110"/>
      <c r="CV22" s="110"/>
      <c r="CW22" s="110"/>
      <c r="CX22" s="114"/>
      <c r="CY22" s="114"/>
      <c r="CZ22" s="114"/>
      <c r="DA22" s="114" t="s">
        <v>682</v>
      </c>
      <c r="DB22" s="115"/>
      <c r="DC22" s="115"/>
      <c r="DD22" s="115"/>
      <c r="DE22" s="115" t="s">
        <v>682</v>
      </c>
      <c r="DU22" t="inlineStr">
        <is>
          <t xml:space="preserve">LATIN_016B</t>
        </is>
      </c>
      <c r="ED22" t="inlineStr">
        <is>
          <t xml:space="preserve">CYRILLIC_SM_U</t>
        </is>
      </c>
      <c r="EE22" t="inlineStr">
        <is>
          <t xml:space="preserve">CYRILLIC_U</t>
        </is>
      </c>
      <c r="EH22" t="inlineStr">
        <is>
          <t xml:space="preserve">CYRILLIC_SM_U</t>
        </is>
      </c>
      <c r="EI22" t="inlineStr">
        <is>
          <t xml:space="preserve">CYRILLIC_U</t>
        </is>
      </c>
      <c r="EL22" t="inlineStr">
        <is>
          <t xml:space="preserve">ARABIC_AIN</t>
        </is>
      </c>
      <c r="EN22" t="inlineStr">
        <is>
          <t xml:space="preserve">ARABIC_AIN</t>
        </is>
      </c>
      <c r="EP22" t="inlineStr">
        <is>
          <t xml:space="preserve">DEVANAGARI_0939</t>
        </is>
      </c>
      <c r="EQ22" t="inlineStr">
        <is>
          <t xml:space="preserve">DEVANAGARI_0919</t>
        </is>
      </c>
      <c r="ER22" t="inlineStr">
        <is>
          <t xml:space="preserve">DEVANAGARI_0939</t>
        </is>
      </c>
      <c r="ET22" t="inlineStr">
        <is>
          <t xml:space="preserve">DEVANAGARI_0939</t>
        </is>
      </c>
      <c r="EU22" t="inlineStr">
        <is>
          <t xml:space="preserve">DEVANAGARI_0919</t>
        </is>
      </c>
      <c r="EV22" t="inlineStr">
        <is>
          <t xml:space="preserve">DEVANAGARI_0939</t>
        </is>
      </c>
      <c r="EX22" t="inlineStr">
        <is>
          <t xml:space="preserve">DEVANAGARI_0939</t>
        </is>
      </c>
      <c r="EY22" t="inlineStr">
        <is>
          <t xml:space="preserve">DEVANAGARI_0919</t>
        </is>
      </c>
      <c r="EZ22" t="inlineStr">
        <is>
          <t xml:space="preserve">DEVANAGARI_0939</t>
        </is>
      </c>
      <c r="FB22" t="inlineStr">
        <is>
          <t xml:space="preserve">CYRILLIC_SM_GHE</t>
        </is>
      </c>
      <c r="FC22" t="inlineStr">
        <is>
          <t xml:space="preserve">CYRILLIC_GHE</t>
        </is>
      </c>
      <c r="FF22" t="inlineStr">
        <is>
          <t xml:space="preserve">ARABIC_TEH</t>
        </is>
      </c>
      <c r="FG22" t="inlineStr">
        <is>
          <t xml:space="preserve">ARABIC_TEH_MARBUTA_GOAL</t>
        </is>
      </c>
      <c r="FH22" t="inlineStr">
        <is>
          <t xml:space="preserve">ARABIC_TEH</t>
        </is>
      </c>
      <c r="GD22" t="inlineStr">
        <is>
          <t xml:space="preserve">THAI_DC_0E35</t>
        </is>
      </c>
      <c r="GE22" t="inlineStr">
        <is>
          <t xml:space="preserve">THAI_DC_0E4A</t>
        </is>
      </c>
      <c r="GF22" t="inlineStr">
        <is>
          <t xml:space="preserve">THAI_DC_0E35</t>
        </is>
      </c>
      <c r="GH22" t="inlineStr">
        <is>
          <t xml:space="preserve">BENGALI_09B9</t>
        </is>
      </c>
      <c r="GI22" t="inlineStr">
        <is>
          <t xml:space="preserve">BENGALI_0999</t>
        </is>
      </c>
      <c r="GJ22" t="inlineStr">
        <is>
          <t xml:space="preserve">BENGALI_09B9</t>
        </is>
      </c>
      <c r="GL22" t="inlineStr">
        <is>
          <t xml:space="preserve">TELUGU_0C39</t>
        </is>
      </c>
      <c r="GM22" t="inlineStr">
        <is>
          <t xml:space="preserve">TELUGU_0C19</t>
        </is>
      </c>
      <c r="GN22" t="inlineStr">
        <is>
          <t xml:space="preserve">TELUGU_0C39</t>
        </is>
      </c>
      <c r="GP22" t="inlineStr">
        <is>
          <t xml:space="preserve">TAMIL_0BB9</t>
        </is>
      </c>
      <c r="GQ22" t="inlineStr">
        <is>
          <t xml:space="preserve">TAMIL_0B99</t>
        </is>
      </c>
      <c r="GR22" t="inlineStr">
        <is>
          <t xml:space="preserve">TAMIL_0BB9</t>
        </is>
      </c>
      <c r="GT22" t="inlineStr">
        <is>
          <t xml:space="preserve">ZHUYIN_3127</t>
        </is>
      </c>
      <c r="GV22" t="inlineStr">
        <is>
          <t xml:space="preserve">ZHUYIN_3127</t>
        </is>
      </c>
      <c r="GX22" t="inlineStr">
        <is>
          <t xml:space="preserve">GEORGIAN_10E3</t>
        </is>
      </c>
      <c r="GZ22" t="inlineStr">
        <is>
          <t xml:space="preserve">GEORGIAN_10E3</t>
        </is>
      </c>
      <c r="HB22" t="inlineStr">
        <is>
          <t xml:space="preserve">ARMENIAN_0582</t>
        </is>
      </c>
      <c r="HC22" t="inlineStr">
        <is>
          <t xml:space="preserve">ARMENIAN_0552</t>
        </is>
      </c>
      <c r="HV22" t="inlineStr">
        <is>
          <t xml:space="preserve">KANGXI_RADICAL_MOUNTAIN</t>
        </is>
      </c>
      <c r="HW22" t="inlineStr">
        <is>
          <t xml:space="preserve">u</t>
        </is>
      </c>
      <c r="HX22" t="inlineStr">
        <is>
          <t xml:space="preserve">KANGXI_RADICAL_MOUNTAIN</t>
        </is>
      </c>
      <c r="IK22" t="inlineStr">
        <is>
          <t xml:space="preserve">LATIN_016B</t>
        </is>
      </c>
      <c r="IO22" t="inlineStr">
        <is>
          <t xml:space="preserve">LATIN_016B</t>
        </is>
      </c>
      <c r="JA22" t="inlineStr">
        <is>
          <t xml:space="preserve">LATIN_016B</t>
        </is>
      </c>
      <c r="JE22" t="inlineStr">
        <is>
          <t xml:space="preserve">UMLAUT_U_SMALL</t>
        </is>
      </c>
      <c r="JI22" t="inlineStr">
        <is>
          <t xml:space="preserve">UMLAUT_U_SMALL</t>
        </is>
      </c>
      <c r="JJ22" t="inlineStr">
        <is>
          <t xml:space="preserve">ARABIC_AIN</t>
        </is>
      </c>
      <c r="JK22" t="inlineStr">
        <is>
          <t xml:space="preserve">ACUTE_ACCENT</t>
        </is>
      </c>
      <c r="JL22" t="inlineStr">
        <is>
          <t xml:space="preserve">ARABIC_AIN</t>
        </is>
      </c>
      <c r="JR22" t="inlineStr">
        <is>
          <t xml:space="preserve">ETHIOPIC_12A1</t>
        </is>
      </c>
      <c r="JT22" t="inlineStr">
        <is>
          <t xml:space="preserve">ETHIOPIC_12A1</t>
        </is>
      </c>
      <c r="KD22" t="inlineStr">
        <is>
          <t xml:space="preserve">ARABIC_AIN</t>
        </is>
      </c>
      <c r="KE22" t="inlineStr">
        <is>
          <t xml:space="preserve">ACUTE_ACCENT</t>
        </is>
      </c>
      <c r="KF22" t="inlineStr">
        <is>
          <t xml:space="preserve">ARABIC_AIN</t>
        </is>
      </c>
      <c r="KH22" t="inlineStr">
        <is>
          <t xml:space="preserve">ARABIC_AIN</t>
        </is>
      </c>
      <c r="KI22" t="inlineStr">
        <is>
          <t xml:space="preserve">ACUTE_ACCENT</t>
        </is>
      </c>
      <c r="KJ22" t="inlineStr">
        <is>
          <t xml:space="preserve">ARABIC_AIN</t>
        </is>
      </c>
      <c r="KL22" t="inlineStr">
        <is>
          <t xml:space="preserve">ARABIC_YEH_HAMZA_A</t>
        </is>
      </c>
      <c r="KM22" t="inlineStr">
        <is>
          <t xml:space="preserve">ARABIC_HAMZA</t>
        </is>
      </c>
      <c r="KN22" t="inlineStr">
        <is>
          <t xml:space="preserve">ARABIC_YEH_HAMZA_A</t>
        </is>
      </c>
      <c r="OH22" t="inlineStr">
        <is>
          <t xml:space="preserve">u</t>
        </is>
      </c>
      <c r="OI22" t="inlineStr">
        <is>
          <t xml:space="preserve">U</t>
        </is>
      </c>
      <c r="OK22" t="inlineStr">
        <is>
          <t xml:space="preserve">U_WITH_ACUTE_SMALL</t>
        </is>
      </c>
      <c r="PB22" t="inlineStr">
        <is>
          <t xml:space="preserve">ARABIC_AIN</t>
        </is>
      </c>
      <c r="PC22" t="inlineStr">
        <is>
          <t xml:space="preserve">ACUTE_ACCENT</t>
        </is>
      </c>
      <c r="PD22" t="inlineStr">
        <is>
          <t xml:space="preserve">ARABIC_AIN</t>
        </is>
      </c>
      <c r="PF22" t="inlineStr">
        <is>
          <t xml:space="preserve">ARABIC_AIN</t>
        </is>
      </c>
      <c r="PG22" t="inlineStr">
        <is>
          <t xml:space="preserve">ACUTE_ACCENT</t>
        </is>
      </c>
      <c r="PH22" t="inlineStr">
        <is>
          <t xml:space="preserve">ARABIC_AIN</t>
        </is>
      </c>
      <c r="PJ22" t="inlineStr">
        <is>
          <t xml:space="preserve">ARABIC_AIN</t>
        </is>
      </c>
      <c r="PK22" t="inlineStr">
        <is>
          <t xml:space="preserve">ACUTE_ACCENT</t>
        </is>
      </c>
      <c r="PL22" t="inlineStr">
        <is>
          <t xml:space="preserve">ARABIC_AIN</t>
        </is>
      </c>
      <c r="PN22" t="inlineStr">
        <is>
          <t xml:space="preserve">ARABIC_AIN</t>
        </is>
      </c>
      <c r="PO22" t="inlineStr">
        <is>
          <t xml:space="preserve">ACUTE_ACCENT</t>
        </is>
      </c>
      <c r="PP22" t="inlineStr">
        <is>
          <t xml:space="preserve">ARABIC_AIN</t>
        </is>
      </c>
      <c r="PR22" t="inlineStr">
        <is>
          <t xml:space="preserve">ARABIC_AIN</t>
        </is>
      </c>
      <c r="PS22" t="inlineStr">
        <is>
          <t xml:space="preserve">ACUTE_ACCENT</t>
        </is>
      </c>
      <c r="PT22" t="inlineStr">
        <is>
          <t xml:space="preserve">ARABIC_AIN</t>
        </is>
      </c>
      <c r="PV22" t="inlineStr">
        <is>
          <t xml:space="preserve">ARABIC_AIN</t>
        </is>
      </c>
      <c r="PW22" t="inlineStr">
        <is>
          <t xml:space="preserve">ACUTE_ACCENT</t>
        </is>
      </c>
      <c r="PX22" t="inlineStr">
        <is>
          <t xml:space="preserve">ARABIC_AIN</t>
        </is>
      </c>
      <c r="PZ22" t="inlineStr">
        <is>
          <t xml:space="preserve">ARABIC_AIN</t>
        </is>
      </c>
      <c r="QA22" t="inlineStr">
        <is>
          <t xml:space="preserve">ACUTE_ACCENT</t>
        </is>
      </c>
      <c r="QB22" t="inlineStr">
        <is>
          <t xml:space="preserve">ARABIC_AIN</t>
        </is>
      </c>
      <c r="QD22" t="inlineStr">
        <is>
          <t xml:space="preserve">ARABIC_AIN</t>
        </is>
      </c>
      <c r="QE22" t="inlineStr">
        <is>
          <t xml:space="preserve">ACUTE_ACCENT</t>
        </is>
      </c>
      <c r="QF22" t="inlineStr">
        <is>
          <t xml:space="preserve">ARABIC_AIN</t>
        </is>
      </c>
      <c r="QH22" t="inlineStr">
        <is>
          <t xml:space="preserve">ARABIC_AIN</t>
        </is>
      </c>
      <c r="QI22" t="inlineStr">
        <is>
          <t xml:space="preserve">ACUTE_ACCENT</t>
        </is>
      </c>
      <c r="QJ22" t="inlineStr">
        <is>
          <t xml:space="preserve">ARABIC_AIN</t>
        </is>
      </c>
      <c r="QL22" t="inlineStr">
        <is>
          <t xml:space="preserve">ARABIC_AIN</t>
        </is>
      </c>
      <c r="QM22" t="inlineStr">
        <is>
          <t xml:space="preserve">ACUTE_ACCENT</t>
        </is>
      </c>
      <c r="QN22" t="inlineStr">
        <is>
          <t xml:space="preserve">ARABIC_AIN</t>
        </is>
      </c>
      <c r="QP22" t="inlineStr">
        <is>
          <t xml:space="preserve">ARABIC_AIN</t>
        </is>
      </c>
      <c r="QQ22" t="inlineStr">
        <is>
          <t xml:space="preserve">ACUTE_ACCENT</t>
        </is>
      </c>
      <c r="QR22" t="inlineStr">
        <is>
          <t xml:space="preserve">ARABIC_AIN</t>
        </is>
      </c>
      <c r="QT22" t="inlineStr">
        <is>
          <t xml:space="preserve">ARABIC_AIN</t>
        </is>
      </c>
      <c r="QU22" t="inlineStr">
        <is>
          <t xml:space="preserve">ACUTE_ACCENT</t>
        </is>
      </c>
      <c r="QV22" t="inlineStr">
        <is>
          <t xml:space="preserve">ARABIC_AIN</t>
        </is>
      </c>
      <c r="QX22" t="inlineStr">
        <is>
          <t xml:space="preserve">ARABIC_AIN</t>
        </is>
      </c>
      <c r="QY22" t="inlineStr">
        <is>
          <t xml:space="preserve">ACUTE_ACCENT</t>
        </is>
      </c>
      <c r="QZ22" t="inlineStr">
        <is>
          <t xml:space="preserve">ARABIC_AIN</t>
        </is>
      </c>
      <c r="RB22" t="inlineStr">
        <is>
          <t xml:space="preserve">ARABIC_AIN</t>
        </is>
      </c>
      <c r="RC22" t="inlineStr">
        <is>
          <t xml:space="preserve">ACUTE_ACCENT</t>
        </is>
      </c>
      <c r="RD22" t="inlineStr">
        <is>
          <t xml:space="preserve">ARABIC_AIN</t>
        </is>
      </c>
      <c r="SX22" t="inlineStr">
        <is>
          <t xml:space="preserve">BENGALI_09B9</t>
        </is>
      </c>
      <c r="SY22" t="inlineStr">
        <is>
          <t xml:space="preserve">BENGALI_0999</t>
        </is>
      </c>
      <c r="SZ22" t="inlineStr">
        <is>
          <t xml:space="preserve">BENGALI_09B9</t>
        </is>
      </c>
      <c r="TU22" t="inlineStr">
        <is>
          <t xml:space="preserve">UMLAUT_U_SMALL</t>
        </is>
      </c>
      <c r="TV22" t="inlineStr">
        <is>
          <t xml:space="preserve">CYRILLIC_SM_GHE</t>
        </is>
      </c>
      <c r="TW22" t="inlineStr">
        <is>
          <t xml:space="preserve">CYRILLIC_GHE</t>
        </is>
      </c>
      <c r="TZ22" t="inlineStr">
        <is>
          <t xml:space="preserve">CYRILLIC_SM_GHE</t>
        </is>
      </c>
      <c r="UA22" t="inlineStr">
        <is>
          <t xml:space="preserve">CYRILLIC_GHE</t>
        </is>
      </c>
      <c r="VA22" t="inlineStr">
        <is>
          <t xml:space="preserve">LATIN_016B</t>
        </is>
      </c>
      <c r="VE22" t="inlineStr">
        <is>
          <t xml:space="preserve">UMLAUT_U_SMALL</t>
        </is>
      </c>
      <c r="VR22" t="inlineStr">
        <is>
          <t xml:space="preserve">u</t>
        </is>
      </c>
      <c r="VS22" t="inlineStr">
        <is>
          <t xml:space="preserve">U</t>
        </is>
      </c>
      <c r="VU22" t="inlineStr">
        <is>
          <t xml:space="preserve">U_WITH_ACUTE_SMALL</t>
        </is>
      </c>
      <c r="VV22" t="inlineStr">
        <is>
          <t xml:space="preserve">u</t>
        </is>
      </c>
      <c r="VW22" t="inlineStr">
        <is>
          <t xml:space="preserve">U</t>
        </is>
      </c>
      <c r="VY22" t="inlineStr">
        <is>
          <t xml:space="preserve">U_WITH_GRAVE_SMALL</t>
        </is>
      </c>
      <c r="WG22" t="inlineStr">
        <is>
          <t xml:space="preserve">UMLAUT_U_SMALL</t>
        </is>
      </c>
      <c r="WH22" t="inlineStr">
        <is>
          <t xml:space="preserve">u</t>
        </is>
      </c>
      <c r="WI22" t="inlineStr">
        <is>
          <t xml:space="preserve">U</t>
        </is>
      </c>
      <c r="WK22" t="inlineStr">
        <is>
          <t xml:space="preserve">LATIN_0169</t>
        </is>
      </c>
      <c r="XB22" t="inlineStr">
        <is>
          <t xml:space="preserve">ARABIC_0639</t>
        </is>
      </c>
      <c r="XD22" t="inlineStr">
        <is>
          <t xml:space="preserve">ARABIC_0639</t>
        </is>
      </c>
      <c r="XF22" t="inlineStr">
        <is>
          <t xml:space="preserve">UCAS_14A5</t>
        </is>
      </c>
      <c r="XG22" t="inlineStr">
        <is>
          <t xml:space="preserve">UCAS_1675</t>
        </is>
      </c>
      <c r="XH22" t="inlineStr">
        <is>
          <t xml:space="preserve">UCAS_14A5</t>
        </is>
      </c>
      <c r="XN22" t="inlineStr">
        <is>
          <t xml:space="preserve">CHEROKEE_13A4</t>
        </is>
      </c>
      <c r="XO22" t="inlineStr">
        <is>
          <t xml:space="preserve">CHEROKEE_13AD</t>
        </is>
      </c>
      <c r="XP22" t="inlineStr">
        <is>
          <t xml:space="preserve">CHEROKEE_13A4</t>
        </is>
      </c>
      <c r="XQ22" t="inlineStr">
        <is>
          <t xml:space="preserve">u</t>
        </is>
      </c>
    </row>
    <row r="23" s="116" customFormat="true" ht="15.95" hidden="false" customHeight="true" outlineLevel="0" collapsed="false">
      <c r="A23" s="93" t="s">
        <v>1213</v>
      </c>
      <c r="B23" s="94" t="s">
        <v>1214</v>
      </c>
      <c r="C23" s="94" t="s">
        <v>1215</v>
      </c>
      <c r="D23" s="94"/>
      <c r="E23" s="94"/>
      <c r="F23" s="95"/>
      <c r="G23" s="95"/>
      <c r="H23" s="95"/>
      <c r="I23" s="95"/>
      <c r="J23" s="96"/>
      <c r="K23" s="96"/>
      <c r="L23" s="96"/>
      <c r="M23" s="96"/>
      <c r="N23" s="97"/>
      <c r="O23" s="97"/>
      <c r="P23" s="97"/>
      <c r="Q23" s="97"/>
      <c r="R23" s="98"/>
      <c r="S23" s="98"/>
      <c r="T23" s="98"/>
      <c r="U23" s="98"/>
      <c r="V23" s="99"/>
      <c r="W23" s="99"/>
      <c r="X23" s="99"/>
      <c r="Y23" s="99"/>
      <c r="Z23" s="100"/>
      <c r="AA23" s="100"/>
      <c r="AB23" s="100"/>
      <c r="AC23" s="100"/>
      <c r="AD23" s="101" t="s">
        <v>658</v>
      </c>
      <c r="AE23" s="101"/>
      <c r="AF23" s="101"/>
      <c r="AG23" s="101"/>
      <c r="AH23" t="inlineStr">
        <is>
          <t xml:space="preserve">v</t>
        </is>
      </c>
      <c r="AI23" t="inlineStr">
        <is>
          <t xml:space="preserve">V</t>
        </is>
      </c>
      <c r="AK23" t="inlineStr">
        <is>
          <t xml:space="preserve">HIRAGANA_HI</t>
        </is>
      </c>
      <c r="AL23" s="103" t="s">
        <v>552</v>
      </c>
      <c r="AM23" s="117" t="s">
        <v>613</v>
      </c>
      <c r="AN23" s="103" t="s">
        <v>552</v>
      </c>
      <c r="AO23" s="103"/>
      <c r="AP23" s="104" t="s">
        <v>302</v>
      </c>
      <c r="AQ23" s="118" t="s">
        <v>252</v>
      </c>
      <c r="AR23" s="104"/>
      <c r="AS23" s="104"/>
      <c r="AT23" s="105" t="s">
        <v>374</v>
      </c>
      <c r="AU23" s="119" t="s">
        <v>330</v>
      </c>
      <c r="AV23" s="105"/>
      <c r="AW23" s="105"/>
      <c r="AX23" s="106" t="s">
        <v>374</v>
      </c>
      <c r="AY23" s="120" t="s">
        <v>330</v>
      </c>
      <c r="AZ23" s="106"/>
      <c r="BA23" s="106"/>
      <c r="BB23" s="107" t="s">
        <v>374</v>
      </c>
      <c r="BC23" s="121" t="s">
        <v>330</v>
      </c>
      <c r="BD23" s="107"/>
      <c r="BE23" s="107"/>
      <c r="BF23" s="108" t="s">
        <v>374</v>
      </c>
      <c r="BG23" s="122" t="s">
        <v>330</v>
      </c>
      <c r="BH23" s="108"/>
      <c r="BI23" s="108"/>
      <c r="BJ23" s="109" t="s">
        <v>398</v>
      </c>
      <c r="BK23" s="123" t="s">
        <v>354</v>
      </c>
      <c r="BL23" s="109"/>
      <c r="BM23" s="109"/>
      <c r="BN23" s="95"/>
      <c r="BO23" s="95"/>
      <c r="BP23" s="95"/>
      <c r="BQ23" s="95" t="s">
        <v>1195</v>
      </c>
      <c r="BR23" s="110"/>
      <c r="BS23" s="110"/>
      <c r="BT23" s="110"/>
      <c r="BU23" s="110"/>
      <c r="BY23" t="inlineStr">
        <is>
          <t xml:space="preserve">UMLAUT_U_SMALL</t>
        </is>
      </c>
      <c r="BZ23" s="111"/>
      <c r="CA23" s="111"/>
      <c r="CB23" s="111"/>
      <c r="CC23" s="111"/>
      <c r="CD23" s="95" t="s">
        <v>475</v>
      </c>
      <c r="CE23" s="95"/>
      <c r="CF23" s="95"/>
      <c r="CG23" s="95"/>
      <c r="CH23" s="112"/>
      <c r="CI23" s="112"/>
      <c r="CJ23" s="112"/>
      <c r="CK23" s="112"/>
      <c r="CL23" s="113"/>
      <c r="CM23" s="113"/>
      <c r="CN23" s="113"/>
      <c r="CO23" s="113"/>
      <c r="CP23" s="84"/>
      <c r="CQ23" s="84"/>
      <c r="CR23" s="84"/>
      <c r="CS23" s="84"/>
      <c r="CT23" s="110"/>
      <c r="CU23" s="110"/>
      <c r="CV23" s="110"/>
      <c r="CW23" s="110"/>
      <c r="CX23" s="114"/>
      <c r="CY23" s="114"/>
      <c r="CZ23" s="114"/>
      <c r="DA23" s="114" t="s">
        <v>1195</v>
      </c>
      <c r="DB23" s="115"/>
      <c r="DC23" s="115"/>
      <c r="DD23" s="115"/>
      <c r="DE23" s="115" t="s">
        <v>1195</v>
      </c>
      <c r="DI23" t="inlineStr">
        <is>
          <t xml:space="preserve">@</t>
        </is>
      </c>
      <c r="ED23" t="inlineStr">
        <is>
          <t xml:space="preserve">CYRILLIC_SM_VE</t>
        </is>
      </c>
      <c r="EE23" t="inlineStr">
        <is>
          <t xml:space="preserve">CYRILLIC_VE</t>
        </is>
      </c>
      <c r="EH23" t="inlineStr">
        <is>
          <t xml:space="preserve">CYRILLIC_SM_VE</t>
        </is>
      </c>
      <c r="EI23" t="inlineStr">
        <is>
          <t xml:space="preserve">CYRILLIC_VE</t>
        </is>
      </c>
      <c r="EL23" t="inlineStr">
        <is>
          <t xml:space="preserve">ARABIC_REH</t>
        </is>
      </c>
      <c r="EN23" t="inlineStr">
        <is>
          <t xml:space="preserve">ARABIC_REH</t>
        </is>
      </c>
      <c r="EP23" t="inlineStr">
        <is>
          <t xml:space="preserve">DEVANAGARI_0928</t>
        </is>
      </c>
      <c r="EQ23" t="inlineStr">
        <is>
          <t xml:space="preserve">DEVANAGARI_0929</t>
        </is>
      </c>
      <c r="ER23" t="inlineStr">
        <is>
          <t xml:space="preserve">DEVANAGARI_0928</t>
        </is>
      </c>
      <c r="ET23" t="inlineStr">
        <is>
          <t xml:space="preserve">DEVANAGARI_0928</t>
        </is>
      </c>
      <c r="EU23" t="inlineStr">
        <is>
          <t xml:space="preserve">DEVANAGARI_0929</t>
        </is>
      </c>
      <c r="EV23" t="inlineStr">
        <is>
          <t xml:space="preserve">DEVANAGARI_0928</t>
        </is>
      </c>
      <c r="EX23" t="inlineStr">
        <is>
          <t xml:space="preserve">DEVANAGARI_0928</t>
        </is>
      </c>
      <c r="EY23" t="inlineStr">
        <is>
          <t xml:space="preserve">DEVANAGARI_0929</t>
        </is>
      </c>
      <c r="EZ23" t="inlineStr">
        <is>
          <t xml:space="preserve">DEVANAGARI_0928</t>
        </is>
      </c>
      <c r="FB23" t="inlineStr">
        <is>
          <t xml:space="preserve">CYRILLIC_SM_ES</t>
        </is>
      </c>
      <c r="FC23" t="inlineStr">
        <is>
          <t xml:space="preserve">CYRILLIC_ES</t>
        </is>
      </c>
      <c r="FF23" t="inlineStr">
        <is>
          <t xml:space="preserve">ARABIC_SEEN</t>
        </is>
      </c>
      <c r="FH23" t="inlineStr">
        <is>
          <t xml:space="preserve">ARABIC_SEEN</t>
        </is>
      </c>
      <c r="GD23" t="inlineStr">
        <is>
          <t xml:space="preserve">THAI_0E2D</t>
        </is>
      </c>
      <c r="GE23" t="inlineStr">
        <is>
          <t xml:space="preserve">THAI_0E2E</t>
        </is>
      </c>
      <c r="GF23" t="inlineStr">
        <is>
          <t xml:space="preserve">THAI_0E2D</t>
        </is>
      </c>
      <c r="GH23" t="inlineStr">
        <is>
          <t xml:space="preserve">BENGALI_09A8</t>
        </is>
      </c>
      <c r="GJ23" t="inlineStr">
        <is>
          <t xml:space="preserve">BENGALI_09A8</t>
        </is>
      </c>
      <c r="GL23" t="inlineStr">
        <is>
          <t xml:space="preserve">TELUGU_0C28</t>
        </is>
      </c>
      <c r="GN23" t="inlineStr">
        <is>
          <t xml:space="preserve">TELUGU_0C28</t>
        </is>
      </c>
      <c r="GP23" t="inlineStr">
        <is>
          <t xml:space="preserve">TAMIL_0BA8</t>
        </is>
      </c>
      <c r="GQ23" t="inlineStr">
        <is>
          <t xml:space="preserve">TAMIL_0BA9</t>
        </is>
      </c>
      <c r="GR23" t="inlineStr">
        <is>
          <t xml:space="preserve">TAMIL_0BA8</t>
        </is>
      </c>
      <c r="GT23" t="inlineStr">
        <is>
          <t xml:space="preserve">ZHUYIN_3112</t>
        </is>
      </c>
      <c r="GV23" t="inlineStr">
        <is>
          <t xml:space="preserve">ZHUYIN_3112</t>
        </is>
      </c>
      <c r="GX23" t="inlineStr">
        <is>
          <t xml:space="preserve">GEORGIAN_10D5</t>
        </is>
      </c>
      <c r="GZ23" t="inlineStr">
        <is>
          <t xml:space="preserve">GEORGIAN_10D5</t>
        </is>
      </c>
      <c r="HA23" t="inlineStr">
        <is>
          <t xml:space="preserve">U"\f\f" GEORGIAN_10F3</t>
        </is>
      </c>
      <c r="HB23" t="inlineStr">
        <is>
          <t xml:space="preserve">ARMENIAN_0575</t>
        </is>
      </c>
      <c r="HC23" t="inlineStr">
        <is>
          <t xml:space="preserve">ARMENIAN_0545</t>
        </is>
      </c>
      <c r="HV23" t="inlineStr">
        <is>
          <t xml:space="preserve">KANGXI_RADICAL_WOMAN</t>
        </is>
      </c>
      <c r="HW23" t="inlineStr">
        <is>
          <t xml:space="preserve">v</t>
        </is>
      </c>
      <c r="HX23" t="inlineStr">
        <is>
          <t xml:space="preserve">KANGXI_RADICAL_WOMAN</t>
        </is>
      </c>
      <c r="JJ23" t="inlineStr">
        <is>
          <t xml:space="preserve">ARABIC_REH</t>
        </is>
      </c>
      <c r="JK23" t="inlineStr">
        <is>
          <t xml:space="preserve">ARABIC_KASRATAN</t>
        </is>
      </c>
      <c r="JL23" t="inlineStr">
        <is>
          <t xml:space="preserve">ARABIC_REH</t>
        </is>
      </c>
      <c r="JR23" t="inlineStr">
        <is>
          <t xml:space="preserve">ETHIOPIC_1238</t>
        </is>
      </c>
      <c r="JS23" t="inlineStr">
        <is>
          <t xml:space="preserve">ETHIOPIC_1268</t>
        </is>
      </c>
      <c r="JT23" t="inlineStr">
        <is>
          <t xml:space="preserve">ETHIOPIC_1238</t>
        </is>
      </c>
      <c r="JV23" t="inlineStr">
        <is>
          <t xml:space="preserve">LATIN_1E63</t>
        </is>
      </c>
      <c r="JW23" t="inlineStr">
        <is>
          <t xml:space="preserve">LATIN_1E62</t>
        </is>
      </c>
      <c r="JY23" t="inlineStr">
        <is>
          <t xml:space="preserve">v</t>
        </is>
      </c>
      <c r="KD23" t="inlineStr">
        <is>
          <t xml:space="preserve">ARABIC_REH</t>
        </is>
      </c>
      <c r="KE23" t="inlineStr">
        <is>
          <t xml:space="preserve">ARABIC_KASRATAN</t>
        </is>
      </c>
      <c r="KF23" t="inlineStr">
        <is>
          <t xml:space="preserve">ARABIC_REH</t>
        </is>
      </c>
      <c r="KH23" t="inlineStr">
        <is>
          <t xml:space="preserve">ARABIC_REH</t>
        </is>
      </c>
      <c r="KI23" t="inlineStr">
        <is>
          <t xml:space="preserve">ARABIC_KASRATAN</t>
        </is>
      </c>
      <c r="KJ23" t="inlineStr">
        <is>
          <t xml:space="preserve">ARABIC_REH</t>
        </is>
      </c>
      <c r="KL23" t="inlineStr">
        <is>
          <t xml:space="preserve">ARABIC_VEH</t>
        </is>
      </c>
      <c r="KM23" t="inlineStr">
        <is>
          <t xml:space="preserve">ARABIC_ZAH</t>
        </is>
      </c>
      <c r="KN23" t="inlineStr">
        <is>
          <t xml:space="preserve">ARABIC_VEH</t>
        </is>
      </c>
      <c r="OO23" t="inlineStr">
        <is>
          <t xml:space="preserve">@</t>
        </is>
      </c>
      <c r="OW23" t="inlineStr">
        <is>
          <t xml:space="preserve">@</t>
        </is>
      </c>
      <c r="PB23" t="inlineStr">
        <is>
          <t xml:space="preserve">ARABIC_REH</t>
        </is>
      </c>
      <c r="PC23" t="inlineStr">
        <is>
          <t xml:space="preserve">ARABIC_KASRATAN</t>
        </is>
      </c>
      <c r="PD23" t="inlineStr">
        <is>
          <t xml:space="preserve">ARABIC_REH</t>
        </is>
      </c>
      <c r="PF23" t="inlineStr">
        <is>
          <t xml:space="preserve">ARABIC_REH</t>
        </is>
      </c>
      <c r="PG23" t="inlineStr">
        <is>
          <t xml:space="preserve">ARABIC_KASRATAN</t>
        </is>
      </c>
      <c r="PH23" t="inlineStr">
        <is>
          <t xml:space="preserve">ARABIC_REH</t>
        </is>
      </c>
      <c r="PJ23" t="inlineStr">
        <is>
          <t xml:space="preserve">ARABIC_REH</t>
        </is>
      </c>
      <c r="PK23" t="inlineStr">
        <is>
          <t xml:space="preserve">ARABIC_KASRATAN</t>
        </is>
      </c>
      <c r="PL23" t="inlineStr">
        <is>
          <t xml:space="preserve">ARABIC_REH</t>
        </is>
      </c>
      <c r="PN23" t="inlineStr">
        <is>
          <t xml:space="preserve">ARABIC_REH</t>
        </is>
      </c>
      <c r="PO23" t="inlineStr">
        <is>
          <t xml:space="preserve">ARABIC_KASRATAN</t>
        </is>
      </c>
      <c r="PP23" t="inlineStr">
        <is>
          <t xml:space="preserve">ARABIC_REH</t>
        </is>
      </c>
      <c r="PR23" t="inlineStr">
        <is>
          <t xml:space="preserve">ARABIC_REH</t>
        </is>
      </c>
      <c r="PS23" t="inlineStr">
        <is>
          <t xml:space="preserve">ARABIC_KASRATAN</t>
        </is>
      </c>
      <c r="PT23" t="inlineStr">
        <is>
          <t xml:space="preserve">ARABIC_REH</t>
        </is>
      </c>
      <c r="PV23" t="inlineStr">
        <is>
          <t xml:space="preserve">ARABIC_REH</t>
        </is>
      </c>
      <c r="PW23" t="inlineStr">
        <is>
          <t xml:space="preserve">ARABIC_KASRATAN</t>
        </is>
      </c>
      <c r="PX23" t="inlineStr">
        <is>
          <t xml:space="preserve">ARABIC_REH</t>
        </is>
      </c>
      <c r="PZ23" t="inlineStr">
        <is>
          <t xml:space="preserve">ARABIC_REH</t>
        </is>
      </c>
      <c r="QA23" t="inlineStr">
        <is>
          <t xml:space="preserve">ARABIC_KASRATAN</t>
        </is>
      </c>
      <c r="QB23" t="inlineStr">
        <is>
          <t xml:space="preserve">ARABIC_REH</t>
        </is>
      </c>
      <c r="QD23" t="inlineStr">
        <is>
          <t xml:space="preserve">ARABIC_REH</t>
        </is>
      </c>
      <c r="QE23" t="inlineStr">
        <is>
          <t xml:space="preserve">ARABIC_KASRATAN</t>
        </is>
      </c>
      <c r="QF23" t="inlineStr">
        <is>
          <t xml:space="preserve">ARABIC_REH</t>
        </is>
      </c>
      <c r="QH23" t="inlineStr">
        <is>
          <t xml:space="preserve">ARABIC_REH</t>
        </is>
      </c>
      <c r="QI23" t="inlineStr">
        <is>
          <t xml:space="preserve">ARABIC_KASRATAN</t>
        </is>
      </c>
      <c r="QJ23" t="inlineStr">
        <is>
          <t xml:space="preserve">ARABIC_REH</t>
        </is>
      </c>
      <c r="QL23" t="inlineStr">
        <is>
          <t xml:space="preserve">ARABIC_REH</t>
        </is>
      </c>
      <c r="QM23" t="inlineStr">
        <is>
          <t xml:space="preserve">ARABIC_KASRATAN</t>
        </is>
      </c>
      <c r="QN23" t="inlineStr">
        <is>
          <t xml:space="preserve">ARABIC_REH</t>
        </is>
      </c>
      <c r="QP23" t="inlineStr">
        <is>
          <t xml:space="preserve">ARABIC_REH</t>
        </is>
      </c>
      <c r="QQ23" t="inlineStr">
        <is>
          <t xml:space="preserve">ARABIC_KASRATAN</t>
        </is>
      </c>
      <c r="QR23" t="inlineStr">
        <is>
          <t xml:space="preserve">ARABIC_REH</t>
        </is>
      </c>
      <c r="QT23" t="inlineStr">
        <is>
          <t xml:space="preserve">ARABIC_REH</t>
        </is>
      </c>
      <c r="QU23" t="inlineStr">
        <is>
          <t xml:space="preserve">ARABIC_KASRATAN</t>
        </is>
      </c>
      <c r="QV23" t="inlineStr">
        <is>
          <t xml:space="preserve">ARABIC_REH</t>
        </is>
      </c>
      <c r="QX23" t="inlineStr">
        <is>
          <t xml:space="preserve">ARABIC_REH</t>
        </is>
      </c>
      <c r="QY23" t="inlineStr">
        <is>
          <t xml:space="preserve">ARABIC_KASRATAN</t>
        </is>
      </c>
      <c r="QZ23" t="inlineStr">
        <is>
          <t xml:space="preserve">ARABIC_REH</t>
        </is>
      </c>
      <c r="RB23" t="inlineStr">
        <is>
          <t xml:space="preserve">ARABIC_REH</t>
        </is>
      </c>
      <c r="RC23" t="inlineStr">
        <is>
          <t xml:space="preserve">ARABIC_KASRATAN</t>
        </is>
      </c>
      <c r="RD23" t="inlineStr">
        <is>
          <t xml:space="preserve">ARABIC_REH</t>
        </is>
      </c>
      <c r="SX23" t="inlineStr">
        <is>
          <t xml:space="preserve">BENGALI_09A8</t>
        </is>
      </c>
      <c r="SZ23" t="inlineStr">
        <is>
          <t xml:space="preserve">BENGALI_09A8</t>
        </is>
      </c>
      <c r="TV23" t="inlineStr">
        <is>
          <t xml:space="preserve">CYRILLIC_SM_EM</t>
        </is>
      </c>
      <c r="TW23" t="inlineStr">
        <is>
          <t xml:space="preserve">CYRILLIC_EM</t>
        </is>
      </c>
      <c r="TZ23" t="inlineStr">
        <is>
          <t xml:space="preserve">CYRILLIC_SM_EM</t>
        </is>
      </c>
      <c r="UA23" t="inlineStr">
        <is>
          <t xml:space="preserve">CYRILLIC_EM</t>
        </is>
      </c>
      <c r="VE23" t="inlineStr">
        <is>
          <t xml:space="preserve">I_WITH_GRAVE_SMALL</t>
        </is>
      </c>
      <c r="XB23" t="inlineStr">
        <is>
          <t xml:space="preserve">U"\x06" ARABIC_REH</t>
        </is>
      </c>
      <c r="XC23" t="inlineStr">
        <is>
          <t xml:space="preserve">ARABIC_0621</t>
        </is>
      </c>
      <c r="XD23" t="inlineStr">
        <is>
          <t xml:space="preserve">ARABIC_0631</t>
        </is>
      </c>
      <c r="XF23" t="inlineStr">
        <is>
          <t xml:space="preserve">UCAS_1472</t>
        </is>
      </c>
      <c r="XG23" t="inlineStr">
        <is>
          <t xml:space="preserve">?</t>
        </is>
      </c>
      <c r="XH23" t="inlineStr">
        <is>
          <t xml:space="preserve">UCAS_1472</t>
        </is>
      </c>
      <c r="XN23" t="inlineStr">
        <is>
          <t xml:space="preserve">CHEROKEE_13A5</t>
        </is>
      </c>
      <c r="XO23" t="inlineStr">
        <is>
          <t xml:space="preserve">CHEROKEE_13DE</t>
        </is>
      </c>
      <c r="XP23" t="inlineStr">
        <is>
          <t xml:space="preserve">CHEROKEE_13A5</t>
        </is>
      </c>
      <c r="XQ23" t="inlineStr">
        <is>
          <t xml:space="preserve">v</t>
        </is>
      </c>
    </row>
    <row r="24" s="116" customFormat="true" ht="15.95" hidden="false" customHeight="true" outlineLevel="0" collapsed="false">
      <c r="A24" s="93" t="s">
        <v>1216</v>
      </c>
      <c r="B24" s="94" t="s">
        <v>1217</v>
      </c>
      <c r="C24" s="94" t="s">
        <v>1218</v>
      </c>
      <c r="D24" s="94"/>
      <c r="E24" s="94"/>
      <c r="F24" s="95"/>
      <c r="G24" s="95"/>
      <c r="H24" s="95"/>
      <c r="I24" s="95"/>
      <c r="J24" s="96" t="s">
        <v>1219</v>
      </c>
      <c r="K24" s="96" t="s">
        <v>1220</v>
      </c>
      <c r="L24" s="96"/>
      <c r="M24" s="96"/>
      <c r="N24" s="97"/>
      <c r="O24" s="97"/>
      <c r="P24" s="97"/>
      <c r="Q24" s="97"/>
      <c r="R24" s="98"/>
      <c r="S24" s="98"/>
      <c r="T24" s="98"/>
      <c r="U24" s="98"/>
      <c r="V24" s="99"/>
      <c r="W24" s="99"/>
      <c r="X24" s="99"/>
      <c r="Y24" s="99"/>
      <c r="Z24" s="100"/>
      <c r="AA24" s="100"/>
      <c r="AB24" s="100"/>
      <c r="AC24" s="100"/>
      <c r="AD24" s="101" t="s">
        <v>649</v>
      </c>
      <c r="AE24" s="101" t="s">
        <v>651</v>
      </c>
      <c r="AF24" s="101"/>
      <c r="AG24" s="101"/>
      <c r="AH24" t="inlineStr">
        <is>
          <t xml:space="preserve">w</t>
        </is>
      </c>
      <c r="AI24" t="inlineStr">
        <is>
          <t xml:space="preserve">W</t>
        </is>
      </c>
      <c r="AK24" t="inlineStr">
        <is>
          <t xml:space="preserve">HIRAGANA_TE</t>
        </is>
      </c>
      <c r="AL24" s="103" t="s">
        <v>560</v>
      </c>
      <c r="AM24" t="inlineStr">
        <is>
          <t xml:space="preserve">U"\v" ARABIC_FATHATAN</t>
        </is>
      </c>
      <c r="AN24" s="103" t="s">
        <v>560</v>
      </c>
      <c r="AO24" s="103"/>
      <c r="AP24" s="104" t="s">
        <v>288</v>
      </c>
      <c r="AQ24" s="118" t="s">
        <v>204</v>
      </c>
      <c r="AR24" s="104" t="s">
        <v>288</v>
      </c>
      <c r="AS24" s="104"/>
      <c r="AT24" s="105" t="s">
        <v>388</v>
      </c>
      <c r="AU24" s="119" t="s">
        <v>344</v>
      </c>
      <c r="AV24" s="105"/>
      <c r="AW24" t="inlineStr">
        <is>
          <t xml:space="preserve">U"\f\f" CYRILLIC_SM_DZHE</t>
        </is>
      </c>
      <c r="AX24" s="106" t="s">
        <v>388</v>
      </c>
      <c r="AY24" s="120" t="s">
        <v>344</v>
      </c>
      <c r="AZ24" s="106"/>
      <c r="BA24" s="106"/>
      <c r="BB24" s="107" t="s">
        <v>388</v>
      </c>
      <c r="BC24" s="121" t="s">
        <v>344</v>
      </c>
      <c r="BD24" s="107"/>
      <c r="BE24" s="107"/>
      <c r="BF24" s="108" t="s">
        <v>388</v>
      </c>
      <c r="BG24" s="122" t="s">
        <v>344</v>
      </c>
      <c r="BH24" s="108"/>
      <c r="BI24" s="108"/>
      <c r="BJ24" s="109" t="s">
        <v>385</v>
      </c>
      <c r="BK24" s="123" t="s">
        <v>341</v>
      </c>
      <c r="BL24" s="109"/>
      <c r="BM24" s="109"/>
      <c r="BN24" s="95"/>
      <c r="BO24" s="95"/>
      <c r="BP24" s="95"/>
      <c r="BQ24" t="inlineStr">
        <is>
          <t xml:space="preserve">U"\f\f\f\f" BROKEN_BAR</t>
        </is>
      </c>
      <c r="BR24" s="110"/>
      <c r="BS24" s="110"/>
      <c r="BT24" s="110"/>
      <c r="BU24" s="110"/>
      <c r="BZ24" s="111"/>
      <c r="CA24" s="111"/>
      <c r="CB24" s="111"/>
      <c r="CC24" s="111"/>
      <c r="CD24" s="95" t="s">
        <v>1222</v>
      </c>
      <c r="CE24" s="95" t="s">
        <v>1223</v>
      </c>
      <c r="CF24" s="95"/>
      <c r="CG24" s="128" t="s">
        <v>464</v>
      </c>
      <c r="CH24" s="112"/>
      <c r="CI24" s="112"/>
      <c r="CJ24" s="112"/>
      <c r="CK24" s="112"/>
      <c r="CL24" s="113"/>
      <c r="CM24" s="113"/>
      <c r="CN24" s="113"/>
      <c r="CO24" s="113"/>
      <c r="CP24" s="84"/>
      <c r="CQ24" s="84"/>
      <c r="CR24" s="84"/>
      <c r="CS24" s="84"/>
      <c r="CT24" s="110"/>
      <c r="CU24" s="110"/>
      <c r="CV24" s="110"/>
      <c r="CW24" s="110"/>
      <c r="CX24" s="114"/>
      <c r="CY24" s="114"/>
      <c r="CZ24" s="114"/>
      <c r="DA24" s="114" t="s">
        <v>1224</v>
      </c>
      <c r="DB24" s="115"/>
      <c r="DC24" s="115"/>
      <c r="DD24" s="115"/>
      <c r="DE24" s="115" t="s">
        <v>1224</v>
      </c>
      <c r="DI24" t="inlineStr">
        <is>
          <t xml:space="preserve">|</t>
        </is>
      </c>
      <c r="ED24" t="inlineStr">
        <is>
          <t xml:space="preserve">CYRILLIC_SM_NJE</t>
        </is>
      </c>
      <c r="EE24" t="inlineStr">
        <is>
          <t xml:space="preserve">CYRILLIC_NJE</t>
        </is>
      </c>
      <c r="EH24" t="inlineStr">
        <is>
          <t xml:space="preserve">CYRILLIC_SM_NJE</t>
        </is>
      </c>
      <c r="EI24" t="inlineStr">
        <is>
          <t xml:space="preserve">CYRILLIC_NJE</t>
        </is>
      </c>
      <c r="EL24" t="inlineStr">
        <is>
          <t xml:space="preserve">ARABIC_SAD</t>
        </is>
      </c>
      <c r="EN24" t="inlineStr">
        <is>
          <t xml:space="preserve">ARABIC_SAD</t>
        </is>
      </c>
      <c r="EP24" t="inlineStr">
        <is>
          <t xml:space="preserve">DEVA_DC_0948</t>
        </is>
      </c>
      <c r="EQ24" t="inlineStr">
        <is>
          <t xml:space="preserve">DEVANAGARI_0910</t>
        </is>
      </c>
      <c r="ER24" t="inlineStr">
        <is>
          <t xml:space="preserve">DEVA_DC_0948</t>
        </is>
      </c>
      <c r="ET24" t="inlineStr">
        <is>
          <t xml:space="preserve">DEVA_DC_0948</t>
        </is>
      </c>
      <c r="EU24" t="inlineStr">
        <is>
          <t xml:space="preserve">DEVANAGARI_0910</t>
        </is>
      </c>
      <c r="EV24" t="inlineStr">
        <is>
          <t xml:space="preserve">DEVA_DC_0948</t>
        </is>
      </c>
      <c r="EX24" t="inlineStr">
        <is>
          <t xml:space="preserve">DEVA_DC_0948</t>
        </is>
      </c>
      <c r="EY24" t="inlineStr">
        <is>
          <t xml:space="preserve">DEVANAGARI_0910</t>
        </is>
      </c>
      <c r="EZ24" t="inlineStr">
        <is>
          <t xml:space="preserve">DEVA_DC_0948</t>
        </is>
      </c>
      <c r="FB24" t="inlineStr">
        <is>
          <t xml:space="preserve">CYRILLIC_SM_TSE</t>
        </is>
      </c>
      <c r="FC24" t="inlineStr">
        <is>
          <t xml:space="preserve">CYRILLIC_TSE</t>
        </is>
      </c>
      <c r="FF24" t="inlineStr">
        <is>
          <t xml:space="preserve">ARABIC_SAD</t>
        </is>
      </c>
      <c r="FG24" t="inlineStr">
        <is>
          <t xml:space="preserve">ARABIC_DAD</t>
        </is>
      </c>
      <c r="FH24" t="inlineStr">
        <is>
          <t xml:space="preserve">ARABIC_SAD</t>
        </is>
      </c>
      <c r="FV24" t="inlineStr">
        <is>
          <t xml:space="preserve">z</t>
        </is>
      </c>
      <c r="FW24" t="inlineStr">
        <is>
          <t xml:space="preserve">Z</t>
        </is>
      </c>
      <c r="GD24" t="inlineStr">
        <is>
          <t xml:space="preserve">THAI_0E44</t>
        </is>
      </c>
      <c r="GE24" t="inlineStr">
        <is>
          <t xml:space="preserve">QUOTE</t>
        </is>
      </c>
      <c r="GF24" t="inlineStr">
        <is>
          <t xml:space="preserve">THAI_0E44</t>
        </is>
      </c>
      <c r="GH24" t="inlineStr">
        <is>
          <t xml:space="preserve">BENG_DC_09C8</t>
        </is>
      </c>
      <c r="GI24" t="inlineStr">
        <is>
          <t xml:space="preserve">BENGALI_0990</t>
        </is>
      </c>
      <c r="GJ24" t="inlineStr">
        <is>
          <t xml:space="preserve">BENG_DC_09C8</t>
        </is>
      </c>
      <c r="GL24" t="inlineStr">
        <is>
          <t xml:space="preserve">TELU_DC_0C48</t>
        </is>
      </c>
      <c r="GM24" t="inlineStr">
        <is>
          <t xml:space="preserve">TELUGU_0C10</t>
        </is>
      </c>
      <c r="GN24" t="inlineStr">
        <is>
          <t xml:space="preserve">TELU_DC_0C48</t>
        </is>
      </c>
      <c r="GP24" t="inlineStr">
        <is>
          <t xml:space="preserve">TAML_DC_0BC8</t>
        </is>
      </c>
      <c r="GQ24" t="inlineStr">
        <is>
          <t xml:space="preserve">TAMIL_0B90</t>
        </is>
      </c>
      <c r="GR24" t="inlineStr">
        <is>
          <t xml:space="preserve">TAML_DC_0BC8</t>
        </is>
      </c>
      <c r="GT24" t="inlineStr">
        <is>
          <t xml:space="preserve">ZHUYIN_310A</t>
        </is>
      </c>
      <c r="GV24" t="inlineStr">
        <is>
          <t xml:space="preserve">ZHUYIN_310A</t>
        </is>
      </c>
      <c r="GX24" t="inlineStr">
        <is>
          <t xml:space="preserve">GEORGIAN_10EC</t>
        </is>
      </c>
      <c r="GY24" t="inlineStr">
        <is>
          <t xml:space="preserve">GEORGIAN_10ED</t>
        </is>
      </c>
      <c r="GZ24" t="inlineStr">
        <is>
          <t xml:space="preserve">GEORGIAN_10EC</t>
        </is>
      </c>
      <c r="HB24" t="inlineStr">
        <is>
          <t xml:space="preserve">ARMENIAN_0583</t>
        </is>
      </c>
      <c r="HC24" t="inlineStr">
        <is>
          <t xml:space="preserve">ARMENIAN_0553</t>
        </is>
      </c>
      <c r="HJ24" t="inlineStr">
        <is>
          <t xml:space="preserve">UMLAUT_U_SMALL</t>
        </is>
      </c>
      <c r="HK24" t="inlineStr">
        <is>
          <t xml:space="preserve">UMLAUT_U</t>
        </is>
      </c>
      <c r="HV24" t="inlineStr">
        <is>
          <t xml:space="preserve">KANGXI_RADICAL_FIELD</t>
        </is>
      </c>
      <c r="HW24" t="inlineStr">
        <is>
          <t xml:space="preserve">w</t>
        </is>
      </c>
      <c r="HX24" t="inlineStr">
        <is>
          <t xml:space="preserve">KANGXI_RADICAL_FIELD</t>
        </is>
      </c>
      <c r="JJ24" t="inlineStr">
        <is>
          <t xml:space="preserve">ARABIC_SAD</t>
        </is>
      </c>
      <c r="JK24" t="inlineStr">
        <is>
          <t xml:space="preserve">U"\v" ARABIC_FATHATAN</t>
        </is>
      </c>
      <c r="JL24" t="inlineStr">
        <is>
          <t xml:space="preserve">ARABIC_SAD</t>
        </is>
      </c>
      <c r="JR24" t="inlineStr">
        <is>
          <t xml:space="preserve">ETHIOPIC_12C8</t>
        </is>
      </c>
      <c r="JT24" t="inlineStr">
        <is>
          <t xml:space="preserve">ETHIOPIC_12C8</t>
        </is>
      </c>
      <c r="KD24" t="inlineStr">
        <is>
          <t xml:space="preserve">ARABIC_SAD</t>
        </is>
      </c>
      <c r="KE24" t="inlineStr">
        <is>
          <t xml:space="preserve">U"\v" ARABIC_FATHATAN</t>
        </is>
      </c>
      <c r="KF24" t="inlineStr">
        <is>
          <t xml:space="preserve">ARABIC_SAD</t>
        </is>
      </c>
      <c r="KH24" t="inlineStr">
        <is>
          <t xml:space="preserve">ARABIC_SAD</t>
        </is>
      </c>
      <c r="KI24" t="inlineStr">
        <is>
          <t xml:space="preserve">U"\v" ARABIC_FATHATAN</t>
        </is>
      </c>
      <c r="KJ24" t="inlineStr">
        <is>
          <t xml:space="preserve">ARABIC_SAD</t>
        </is>
      </c>
      <c r="KL24" t="inlineStr">
        <is>
          <t xml:space="preserve">ARABIC_WAW</t>
        </is>
      </c>
      <c r="KN24" t="inlineStr">
        <is>
          <t xml:space="preserve">ARABIC_WAW</t>
        </is>
      </c>
      <c r="LJ24" t="inlineStr">
        <is>
          <t xml:space="preserve">z</t>
        </is>
      </c>
      <c r="LK24" t="inlineStr">
        <is>
          <t xml:space="preserve">Z</t>
        </is>
      </c>
      <c r="NZ24" t="inlineStr">
        <is>
          <t xml:space="preserve">z</t>
        </is>
      </c>
      <c r="OA24" t="inlineStr">
        <is>
          <t xml:space="preserve">Z</t>
        </is>
      </c>
      <c r="OO24" t="inlineStr">
        <is>
          <t xml:space="preserve">|</t>
        </is>
      </c>
      <c r="OW24" t="inlineStr">
        <is>
          <t xml:space="preserve">|</t>
        </is>
      </c>
      <c r="PB24" t="inlineStr">
        <is>
          <t xml:space="preserve">ARABIC_SAD</t>
        </is>
      </c>
      <c r="PC24" t="inlineStr">
        <is>
          <t xml:space="preserve">U"\v" ARABIC_FATHATAN</t>
        </is>
      </c>
      <c r="PD24" t="inlineStr">
        <is>
          <t xml:space="preserve">ARABIC_SAD</t>
        </is>
      </c>
      <c r="PF24" t="inlineStr">
        <is>
          <t xml:space="preserve">ARABIC_SAD</t>
        </is>
      </c>
      <c r="PG24" t="inlineStr">
        <is>
          <t xml:space="preserve">U"\v" ARABIC_FATHATAN</t>
        </is>
      </c>
      <c r="PH24" t="inlineStr">
        <is>
          <t xml:space="preserve">ARABIC_SAD</t>
        </is>
      </c>
      <c r="PJ24" t="inlineStr">
        <is>
          <t xml:space="preserve">ARABIC_SAD</t>
        </is>
      </c>
      <c r="PK24" t="inlineStr">
        <is>
          <t xml:space="preserve">U"\v" ARABIC_FATHATAN</t>
        </is>
      </c>
      <c r="PL24" t="inlineStr">
        <is>
          <t xml:space="preserve">ARABIC_SAD</t>
        </is>
      </c>
      <c r="PN24" t="inlineStr">
        <is>
          <t xml:space="preserve">ARABIC_SAD</t>
        </is>
      </c>
      <c r="PO24" t="inlineStr">
        <is>
          <t xml:space="preserve">U"\v" ARABIC_FATHATAN</t>
        </is>
      </c>
      <c r="PP24" t="inlineStr">
        <is>
          <t xml:space="preserve">ARABIC_SAD</t>
        </is>
      </c>
      <c r="PR24" t="inlineStr">
        <is>
          <t xml:space="preserve">ARABIC_SAD</t>
        </is>
      </c>
      <c r="PS24" t="inlineStr">
        <is>
          <t xml:space="preserve">U"\v" ARABIC_FATHATAN</t>
        </is>
      </c>
      <c r="PT24" t="inlineStr">
        <is>
          <t xml:space="preserve">ARABIC_SAD</t>
        </is>
      </c>
      <c r="PV24" t="inlineStr">
        <is>
          <t xml:space="preserve">ARABIC_SAD</t>
        </is>
      </c>
      <c r="PW24" t="inlineStr">
        <is>
          <t xml:space="preserve">U"\v" ARABIC_FATHATAN</t>
        </is>
      </c>
      <c r="PX24" t="inlineStr">
        <is>
          <t xml:space="preserve">ARABIC_SAD</t>
        </is>
      </c>
      <c r="PZ24" t="inlineStr">
        <is>
          <t xml:space="preserve">ARABIC_SAD</t>
        </is>
      </c>
      <c r="QA24" t="inlineStr">
        <is>
          <t xml:space="preserve">U"\v" ARABIC_FATHATAN</t>
        </is>
      </c>
      <c r="QB24" t="inlineStr">
        <is>
          <t xml:space="preserve">ARABIC_SAD</t>
        </is>
      </c>
      <c r="QD24" t="inlineStr">
        <is>
          <t xml:space="preserve">ARABIC_SAD</t>
        </is>
      </c>
      <c r="QE24" t="inlineStr">
        <is>
          <t xml:space="preserve">U"\v" ARABIC_FATHATAN</t>
        </is>
      </c>
      <c r="QF24" t="inlineStr">
        <is>
          <t xml:space="preserve">ARABIC_SAD</t>
        </is>
      </c>
      <c r="QH24" t="inlineStr">
        <is>
          <t xml:space="preserve">ARABIC_SAD</t>
        </is>
      </c>
      <c r="QI24" t="inlineStr">
        <is>
          <t xml:space="preserve">U"\v" ARABIC_FATHATAN</t>
        </is>
      </c>
      <c r="QJ24" t="inlineStr">
        <is>
          <t xml:space="preserve">ARABIC_SAD</t>
        </is>
      </c>
      <c r="QL24" t="inlineStr">
        <is>
          <t xml:space="preserve">ARABIC_SAD</t>
        </is>
      </c>
      <c r="QM24" t="inlineStr">
        <is>
          <t xml:space="preserve">U"\v" ARABIC_FATHATAN</t>
        </is>
      </c>
      <c r="QN24" t="inlineStr">
        <is>
          <t xml:space="preserve">ARABIC_SAD</t>
        </is>
      </c>
      <c r="QP24" t="inlineStr">
        <is>
          <t xml:space="preserve">ARABIC_SAD</t>
        </is>
      </c>
      <c r="QQ24" t="inlineStr">
        <is>
          <t xml:space="preserve">U"\v" ARABIC_FATHATAN</t>
        </is>
      </c>
      <c r="QR24" t="inlineStr">
        <is>
          <t xml:space="preserve">ARABIC_SAD</t>
        </is>
      </c>
      <c r="QT24" t="inlineStr">
        <is>
          <t xml:space="preserve">ARABIC_SAD</t>
        </is>
      </c>
      <c r="QU24" t="inlineStr">
        <is>
          <t xml:space="preserve">U"\v" ARABIC_FATHATAN</t>
        </is>
      </c>
      <c r="QV24" t="inlineStr">
        <is>
          <t xml:space="preserve">ARABIC_SAD</t>
        </is>
      </c>
      <c r="QX24" t="inlineStr">
        <is>
          <t xml:space="preserve">ARABIC_SAD</t>
        </is>
      </c>
      <c r="QY24" t="inlineStr">
        <is>
          <t xml:space="preserve">U"\v" ARABIC_FATHATAN</t>
        </is>
      </c>
      <c r="QZ24" t="inlineStr">
        <is>
          <t xml:space="preserve">ARABIC_SAD</t>
        </is>
      </c>
      <c r="RB24" t="inlineStr">
        <is>
          <t xml:space="preserve">ARABIC_SAD</t>
        </is>
      </c>
      <c r="RC24" t="inlineStr">
        <is>
          <t xml:space="preserve">U"\v" ARABIC_FATHATAN</t>
        </is>
      </c>
      <c r="RD24" t="inlineStr">
        <is>
          <t xml:space="preserve">ARABIC_SAD</t>
        </is>
      </c>
      <c r="RF24" t="inlineStr">
        <is>
          <t xml:space="preserve">z</t>
        </is>
      </c>
      <c r="RG24" t="inlineStr">
        <is>
          <t xml:space="preserve">Z</t>
        </is>
      </c>
      <c r="RJ24" t="inlineStr">
        <is>
          <t xml:space="preserve">z</t>
        </is>
      </c>
      <c r="RK24" t="inlineStr">
        <is>
          <t xml:space="preserve">Z</t>
        </is>
      </c>
      <c r="RN24" t="inlineStr">
        <is>
          <t xml:space="preserve">z</t>
        </is>
      </c>
      <c r="RO24" t="inlineStr">
        <is>
          <t xml:space="preserve">Z</t>
        </is>
      </c>
      <c r="RR24" t="inlineStr">
        <is>
          <t xml:space="preserve">z</t>
        </is>
      </c>
      <c r="RS24" t="inlineStr">
        <is>
          <t xml:space="preserve">Z</t>
        </is>
      </c>
      <c r="RV24" t="inlineStr">
        <is>
          <t xml:space="preserve">z</t>
        </is>
      </c>
      <c r="RW24" t="inlineStr">
        <is>
          <t xml:space="preserve">Z</t>
        </is>
      </c>
      <c r="SX24" t="inlineStr">
        <is>
          <t xml:space="preserve">BENG_DC_09C8</t>
        </is>
      </c>
      <c r="SY24" t="inlineStr">
        <is>
          <t xml:space="preserve">BENGALI_0990</t>
        </is>
      </c>
      <c r="SZ24" t="inlineStr">
        <is>
          <t xml:space="preserve">BENG_DC_09C8</t>
        </is>
      </c>
      <c r="TV24" t="inlineStr">
        <is>
          <t xml:space="preserve">CYRILLIC_SM_TSE</t>
        </is>
      </c>
      <c r="TW24" t="inlineStr">
        <is>
          <t xml:space="preserve">CYRILLIC_TSE</t>
        </is>
      </c>
      <c r="TZ24" t="inlineStr">
        <is>
          <t xml:space="preserve">CYRILLIC_SM_TSE</t>
        </is>
      </c>
      <c r="UA24" t="inlineStr">
        <is>
          <t xml:space="preserve">CYRILLIC_TSE</t>
        </is>
      </c>
      <c r="UT24" t="inlineStr">
        <is>
          <t xml:space="preserve">z</t>
        </is>
      </c>
      <c r="UU24" t="inlineStr">
        <is>
          <t xml:space="preserve">Z</t>
        </is>
      </c>
      <c r="VE24" t="inlineStr">
        <is>
          <t xml:space="preserve">LATIN_00E5</t>
        </is>
      </c>
      <c r="VN24" t="inlineStr">
        <is>
          <t xml:space="preserve">w</t>
        </is>
      </c>
      <c r="VO24" t="inlineStr">
        <is>
          <t xml:space="preserve">W</t>
        </is>
      </c>
      <c r="VQ24" t="inlineStr">
        <is>
          <t xml:space="preserve">LATIN_0175</t>
        </is>
      </c>
      <c r="WD24" t="inlineStr">
        <is>
          <t xml:space="preserve">LATIN_0161</t>
        </is>
      </c>
      <c r="WE24" t="inlineStr">
        <is>
          <t xml:space="preserve">LATIN_0160</t>
        </is>
      </c>
      <c r="WG24" t="inlineStr">
        <is>
          <t xml:space="preserve">w</t>
        </is>
      </c>
      <c r="XB24" t="inlineStr">
        <is>
          <t xml:space="preserve">U"\f\f" ARABIC_SAD</t>
        </is>
      </c>
      <c r="XD24" t="inlineStr">
        <is>
          <t xml:space="preserve">ARABIC_0635</t>
        </is>
      </c>
      <c r="XF24" t="inlineStr">
        <is>
          <t xml:space="preserve">UCAS_1403</t>
        </is>
      </c>
      <c r="XG24" t="inlineStr">
        <is>
          <t xml:space="preserve">UCAS_1431</t>
        </is>
      </c>
      <c r="XH24" t="inlineStr">
        <is>
          <t xml:space="preserve">UCAS_1403</t>
        </is>
      </c>
      <c r="XJ24" t="inlineStr">
        <is>
          <t xml:space="preserve">w</t>
        </is>
      </c>
      <c r="XK24" t="inlineStr">
        <is>
          <t xml:space="preserve">W</t>
        </is>
      </c>
      <c r="XM24" t="inlineStr">
        <is>
          <t xml:space="preserve">UCAS_1417</t>
        </is>
      </c>
      <c r="XN24" t="inlineStr">
        <is>
          <t xml:space="preserve">CHEROKEE_13B3</t>
        </is>
      </c>
      <c r="XO24" t="inlineStr">
        <is>
          <t xml:space="preserve">CHEROKEE_13EB</t>
        </is>
      </c>
      <c r="XP24" t="inlineStr">
        <is>
          <t xml:space="preserve">CHEROKEE_13B3</t>
        </is>
      </c>
      <c r="XQ24" t="inlineStr">
        <is>
          <t xml:space="preserve">w</t>
        </is>
      </c>
    </row>
    <row r="25" s="116" customFormat="true" ht="15.95" hidden="false" customHeight="true" outlineLevel="0" collapsed="false">
      <c r="A25" s="93" t="s">
        <v>1225</v>
      </c>
      <c r="B25" s="94" t="s">
        <v>1226</v>
      </c>
      <c r="C25" s="94" t="s">
        <v>946</v>
      </c>
      <c r="D25" s="94"/>
      <c r="E25" s="94"/>
      <c r="F25" s="95"/>
      <c r="G25" s="95"/>
      <c r="H25" s="95"/>
      <c r="I25" s="95"/>
      <c r="J25" s="96"/>
      <c r="K25" s="96"/>
      <c r="L25" s="96"/>
      <c r="M25" s="96"/>
      <c r="N25" s="97"/>
      <c r="O25" s="97"/>
      <c r="P25" s="97"/>
      <c r="Q25" s="97"/>
      <c r="R25" s="98"/>
      <c r="S25" s="98"/>
      <c r="T25" s="98"/>
      <c r="U25" s="98"/>
      <c r="V25" s="99"/>
      <c r="W25" s="99"/>
      <c r="X25" s="99"/>
      <c r="Y25" s="99"/>
      <c r="Z25" s="100"/>
      <c r="AA25" s="100"/>
      <c r="AB25" s="100"/>
      <c r="AC25" s="100"/>
      <c r="AD25" s="101" t="s">
        <v>657</v>
      </c>
      <c r="AE25" s="101"/>
      <c r="AF25" s="101"/>
      <c r="AG25" s="101"/>
      <c r="AH25" t="inlineStr">
        <is>
          <t xml:space="preserve">x</t>
        </is>
      </c>
      <c r="AI25" t="inlineStr">
        <is>
          <t xml:space="preserve">X</t>
        </is>
      </c>
      <c r="AK25" t="inlineStr">
        <is>
          <t xml:space="preserve">HIRAGANA_SA</t>
        </is>
      </c>
      <c r="AL25" s="103" t="s">
        <v>514</v>
      </c>
      <c r="AM25" t="inlineStr">
        <is>
          <t xml:space="preserve">U"\v" ARABIC_SUKUN</t>
        </is>
      </c>
      <c r="AN25" s="103" t="s">
        <v>514</v>
      </c>
      <c r="AO25" s="103"/>
      <c r="AP25" s="104" t="s">
        <v>298</v>
      </c>
      <c r="AQ25" s="118" t="s">
        <v>248</v>
      </c>
      <c r="AR25" s="104"/>
      <c r="AS25" s="104"/>
      <c r="AT25" s="105" t="s">
        <v>389</v>
      </c>
      <c r="AU25" s="119" t="s">
        <v>345</v>
      </c>
      <c r="AV25" s="105"/>
      <c r="AW25" t="inlineStr">
        <is>
          <t xml:space="preserve">CYRILLIC_SM_TSHE</t>
        </is>
      </c>
      <c r="AX25" s="106" t="s">
        <v>389</v>
      </c>
      <c r="AY25" s="120" t="s">
        <v>345</v>
      </c>
      <c r="AZ25" s="106"/>
      <c r="BA25" s="106"/>
      <c r="BB25" s="107" t="s">
        <v>389</v>
      </c>
      <c r="BC25" s="121" t="s">
        <v>345</v>
      </c>
      <c r="BD25" s="107"/>
      <c r="BE25" s="107"/>
      <c r="BF25" s="108" t="s">
        <v>389</v>
      </c>
      <c r="BG25" s="122" t="s">
        <v>345</v>
      </c>
      <c r="BH25" s="108"/>
      <c r="BI25" s="108"/>
      <c r="BJ25" s="109" t="s">
        <v>369</v>
      </c>
      <c r="BK25" s="123" t="s">
        <v>325</v>
      </c>
      <c r="BL25" s="109"/>
      <c r="BM25" s="109"/>
      <c r="BN25" s="95"/>
      <c r="BO25" s="95"/>
      <c r="BP25" s="95"/>
      <c r="BQ25" t="inlineStr">
        <is>
          <t xml:space="preserve">LATIN_017A</t>
        </is>
      </c>
      <c r="BR25" s="110"/>
      <c r="BS25" s="110"/>
      <c r="BT25" s="110"/>
      <c r="BU25" s="110"/>
      <c r="BZ25" s="111"/>
      <c r="CA25" s="111"/>
      <c r="CB25" s="111"/>
      <c r="CC25" s="125" t="s">
        <v>94</v>
      </c>
      <c r="CD25" s="95" t="s">
        <v>488</v>
      </c>
      <c r="CE25" s="95"/>
      <c r="CF25" s="95"/>
      <c r="CG25" s="95"/>
      <c r="CH25" s="112"/>
      <c r="CI25" s="112"/>
      <c r="CJ25" s="112"/>
      <c r="CK25" s="112"/>
      <c r="CL25" s="113"/>
      <c r="CM25" s="113"/>
      <c r="CN25" s="113"/>
      <c r="CO25" s="113"/>
      <c r="CP25" s="84"/>
      <c r="CQ25" s="84"/>
      <c r="CR25" s="84"/>
      <c r="CS25" s="84"/>
      <c r="CT25" s="110"/>
      <c r="CU25" s="110"/>
      <c r="CV25" s="110"/>
      <c r="CW25" s="110"/>
      <c r="CX25" s="114"/>
      <c r="CY25" s="114"/>
      <c r="CZ25" s="114"/>
      <c r="DA25" s="114" t="s">
        <v>1228</v>
      </c>
      <c r="DB25" s="115"/>
      <c r="DC25" s="115"/>
      <c r="DD25" s="115"/>
      <c r="DE25" s="115" t="s">
        <v>1228</v>
      </c>
      <c r="ED25" t="inlineStr">
        <is>
          <t xml:space="preserve">CYRILLIC_SM_DZHE</t>
        </is>
      </c>
      <c r="EE25" t="inlineStr">
        <is>
          <t xml:space="preserve">CYRILLIC_DZHE</t>
        </is>
      </c>
      <c r="EH25" t="inlineStr">
        <is>
          <t xml:space="preserve">CYRILLIC_SM_DZHE</t>
        </is>
      </c>
      <c r="EI25" t="inlineStr">
        <is>
          <t xml:space="preserve">CYRILLIC_DZHE</t>
        </is>
      </c>
      <c r="EL25" t="inlineStr">
        <is>
          <t xml:space="preserve">ARABIC_TAH</t>
        </is>
      </c>
      <c r="EN25" t="inlineStr">
        <is>
          <t xml:space="preserve">ARABIC_TAH</t>
        </is>
      </c>
      <c r="EP25" t="inlineStr">
        <is>
          <t xml:space="preserve">DEVA_DC_0902</t>
        </is>
      </c>
      <c r="EQ25" t="inlineStr">
        <is>
          <t xml:space="preserve">DEVA_DC_0901</t>
        </is>
      </c>
      <c r="ER25" t="inlineStr">
        <is>
          <t xml:space="preserve">DEVA_DC_0902</t>
        </is>
      </c>
      <c r="ES25" t="inlineStr">
        <is>
          <t xml:space="preserve">DEVANAGARI_093C</t>
        </is>
      </c>
      <c r="ET25" t="inlineStr">
        <is>
          <t xml:space="preserve">DEVA_DC_0902</t>
        </is>
      </c>
      <c r="EU25" t="inlineStr">
        <is>
          <t xml:space="preserve">DEVA_DC_0901</t>
        </is>
      </c>
      <c r="EV25" t="inlineStr">
        <is>
          <t xml:space="preserve">DEVA_DC_0902</t>
        </is>
      </c>
      <c r="EW25" t="inlineStr">
        <is>
          <t xml:space="preserve">DEVANAGARI_093C</t>
        </is>
      </c>
      <c r="EX25" t="inlineStr">
        <is>
          <t xml:space="preserve">DEVA_DC_0902</t>
        </is>
      </c>
      <c r="EY25" t="inlineStr">
        <is>
          <t xml:space="preserve">DEVA_DC_0901</t>
        </is>
      </c>
      <c r="EZ25" t="inlineStr">
        <is>
          <t xml:space="preserve">DEVA_DC_0902</t>
        </is>
      </c>
      <c r="FB25" t="inlineStr">
        <is>
          <t xml:space="preserve">CYRILLIC_SM_CHE</t>
        </is>
      </c>
      <c r="FC25" t="inlineStr">
        <is>
          <t xml:space="preserve">CYRILLIC_CHE</t>
        </is>
      </c>
      <c r="FF25" t="inlineStr">
        <is>
          <t xml:space="preserve">ARABIC_FEH</t>
        </is>
      </c>
      <c r="FH25" t="inlineStr">
        <is>
          <t xml:space="preserve">ARABIC_FEH</t>
        </is>
      </c>
      <c r="GD25" t="inlineStr">
        <is>
          <t xml:space="preserve">THAI_0E1B</t>
        </is>
      </c>
      <c r="GE25" t="inlineStr">
        <is>
          <t xml:space="preserve">)</t>
        </is>
      </c>
      <c r="GF25" t="inlineStr">
        <is>
          <t xml:space="preserve">THAI_0E1B</t>
        </is>
      </c>
      <c r="GH25" t="inlineStr">
        <is>
          <t xml:space="preserve">BENG_DC_0982</t>
        </is>
      </c>
      <c r="GI25" t="inlineStr">
        <is>
          <t xml:space="preserve">BENG_DC_0981</t>
        </is>
      </c>
      <c r="GJ25" t="inlineStr">
        <is>
          <t xml:space="preserve">BENG_DC_0982</t>
        </is>
      </c>
      <c r="GL25" t="inlineStr">
        <is>
          <t xml:space="preserve">TELU_DC_0C02</t>
        </is>
      </c>
      <c r="GM25" t="inlineStr">
        <is>
          <t xml:space="preserve">TELU_DC_0C01</t>
        </is>
      </c>
      <c r="GN25" t="inlineStr">
        <is>
          <t xml:space="preserve">TELU_DC_0C02</t>
        </is>
      </c>
      <c r="GP25" t="inlineStr">
        <is>
          <t xml:space="preserve">TAML_DC_0B82</t>
        </is>
      </c>
      <c r="GR25" t="inlineStr">
        <is>
          <t xml:space="preserve">TAML_DC_0B82</t>
        </is>
      </c>
      <c r="GT25" t="inlineStr">
        <is>
          <t xml:space="preserve">ZHUYIN_310C</t>
        </is>
      </c>
      <c r="GV25" t="inlineStr">
        <is>
          <t xml:space="preserve">ZHUYIN_310C</t>
        </is>
      </c>
      <c r="GX25" t="inlineStr">
        <is>
          <t xml:space="preserve">GEORGIAN_10EE</t>
        </is>
      </c>
      <c r="GZ25" t="inlineStr">
        <is>
          <t xml:space="preserve">GEORGIAN_10EE</t>
        </is>
      </c>
      <c r="HA25" t="inlineStr">
        <is>
          <t xml:space="preserve">U"\f\f" GEORGIAN_10F4</t>
        </is>
      </c>
      <c r="HB25" t="inlineStr">
        <is>
          <t xml:space="preserve">ARMENIAN_0564</t>
        </is>
      </c>
      <c r="HC25" t="inlineStr">
        <is>
          <t xml:space="preserve">ARMENIAN_0534</t>
        </is>
      </c>
      <c r="HV25" t="inlineStr">
        <is>
          <t xml:space="preserve">CJK_96E3</t>
        </is>
      </c>
      <c r="HW25" t="inlineStr">
        <is>
          <t xml:space="preserve">x</t>
        </is>
      </c>
      <c r="HX25" t="inlineStr">
        <is>
          <t xml:space="preserve">CJK_96E3</t>
        </is>
      </c>
      <c r="JJ25" t="inlineStr">
        <is>
          <t xml:space="preserve">ARABIC_HAMZA</t>
        </is>
      </c>
      <c r="JK25" t="inlineStr">
        <is>
          <t xml:space="preserve">U"\v" ARABIC_SUKUN</t>
        </is>
      </c>
      <c r="JL25" t="inlineStr">
        <is>
          <t xml:space="preserve">ARABIC_HAMZA</t>
        </is>
      </c>
      <c r="JR25" t="inlineStr">
        <is>
          <t xml:space="preserve">ETHIOPIC_12A0</t>
        </is>
      </c>
      <c r="JS25" t="inlineStr">
        <is>
          <t xml:space="preserve">ETHIOPIC_12D0</t>
        </is>
      </c>
      <c r="JT25" t="inlineStr">
        <is>
          <t xml:space="preserve">ETHIOPIC_12A0</t>
        </is>
      </c>
      <c r="JV25" t="inlineStr">
        <is>
          <t xml:space="preserve">LATIN_1ECD</t>
        </is>
      </c>
      <c r="JW25" t="inlineStr">
        <is>
          <t xml:space="preserve">LATIN_1ECC</t>
        </is>
      </c>
      <c r="JY25" t="inlineStr">
        <is>
          <t xml:space="preserve">x</t>
        </is>
      </c>
      <c r="KD25" t="inlineStr">
        <is>
          <t xml:space="preserve">ARABIC_HAMZA</t>
        </is>
      </c>
      <c r="KE25" t="inlineStr">
        <is>
          <t xml:space="preserve">U"\v" ARABIC_SUKUN</t>
        </is>
      </c>
      <c r="KF25" t="inlineStr">
        <is>
          <t xml:space="preserve">ARABIC_HAMZA</t>
        </is>
      </c>
      <c r="KH25" t="inlineStr">
        <is>
          <t xml:space="preserve">ARABIC_HAMZA</t>
        </is>
      </c>
      <c r="KI25" t="inlineStr">
        <is>
          <t xml:space="preserve">U"\v" ARABIC_SUKUN</t>
        </is>
      </c>
      <c r="KJ25" t="inlineStr">
        <is>
          <t xml:space="preserve">ARABIC_HAMZA</t>
        </is>
      </c>
      <c r="KL25" t="inlineStr">
        <is>
          <t xml:space="preserve">ARABIC_KHAH</t>
        </is>
      </c>
      <c r="KM25" t="inlineStr">
        <is>
          <t xml:space="preserve">ARABIC_SAD</t>
        </is>
      </c>
      <c r="KN25" t="inlineStr">
        <is>
          <t xml:space="preserve">ARABIC_KHAH</t>
        </is>
      </c>
      <c r="PB25" t="inlineStr">
        <is>
          <t xml:space="preserve">ARABIC_HAMZA</t>
        </is>
      </c>
      <c r="PC25" t="inlineStr">
        <is>
          <t xml:space="preserve">U"\v" ARABIC_SUKUN</t>
        </is>
      </c>
      <c r="PD25" t="inlineStr">
        <is>
          <t xml:space="preserve">ARABIC_HAMZA</t>
        </is>
      </c>
      <c r="PF25" t="inlineStr">
        <is>
          <t xml:space="preserve">ARABIC_HAMZA</t>
        </is>
      </c>
      <c r="PG25" t="inlineStr">
        <is>
          <t xml:space="preserve">U"\v" ARABIC_SUKUN</t>
        </is>
      </c>
      <c r="PH25" t="inlineStr">
        <is>
          <t xml:space="preserve">ARABIC_HAMZA</t>
        </is>
      </c>
      <c r="PJ25" t="inlineStr">
        <is>
          <t xml:space="preserve">ARABIC_HAMZA</t>
        </is>
      </c>
      <c r="PK25" t="inlineStr">
        <is>
          <t xml:space="preserve">U"\v" ARABIC_SUKUN</t>
        </is>
      </c>
      <c r="PL25" t="inlineStr">
        <is>
          <t xml:space="preserve">ARABIC_HAMZA</t>
        </is>
      </c>
      <c r="PN25" t="inlineStr">
        <is>
          <t xml:space="preserve">ARABIC_HAMZA</t>
        </is>
      </c>
      <c r="PO25" t="inlineStr">
        <is>
          <t xml:space="preserve">U"\v" ARABIC_SUKUN</t>
        </is>
      </c>
      <c r="PP25" t="inlineStr">
        <is>
          <t xml:space="preserve">ARABIC_HAMZA</t>
        </is>
      </c>
      <c r="PR25" t="inlineStr">
        <is>
          <t xml:space="preserve">ARABIC_HAMZA</t>
        </is>
      </c>
      <c r="PS25" t="inlineStr">
        <is>
          <t xml:space="preserve">U"\v" ARABIC_SUKUN</t>
        </is>
      </c>
      <c r="PT25" t="inlineStr">
        <is>
          <t xml:space="preserve">ARABIC_HAMZA</t>
        </is>
      </c>
      <c r="PV25" t="inlineStr">
        <is>
          <t xml:space="preserve">ARABIC_HAMZA</t>
        </is>
      </c>
      <c r="PW25" t="inlineStr">
        <is>
          <t xml:space="preserve">U"\v" ARABIC_SUKUN</t>
        </is>
      </c>
      <c r="PX25" t="inlineStr">
        <is>
          <t xml:space="preserve">ARABIC_HAMZA</t>
        </is>
      </c>
      <c r="PZ25" t="inlineStr">
        <is>
          <t xml:space="preserve">ARABIC_HAMZA</t>
        </is>
      </c>
      <c r="QA25" t="inlineStr">
        <is>
          <t xml:space="preserve">U"\v" ARABIC_SUKUN</t>
        </is>
      </c>
      <c r="QB25" t="inlineStr">
        <is>
          <t xml:space="preserve">ARABIC_HAMZA</t>
        </is>
      </c>
      <c r="QD25" t="inlineStr">
        <is>
          <t xml:space="preserve">ARABIC_HAMZA</t>
        </is>
      </c>
      <c r="QE25" t="inlineStr">
        <is>
          <t xml:space="preserve">U"\v" ARABIC_SUKUN</t>
        </is>
      </c>
      <c r="QF25" t="inlineStr">
        <is>
          <t xml:space="preserve">ARABIC_HAMZA</t>
        </is>
      </c>
      <c r="QH25" t="inlineStr">
        <is>
          <t xml:space="preserve">ARABIC_HAMZA</t>
        </is>
      </c>
      <c r="QI25" t="inlineStr">
        <is>
          <t xml:space="preserve">U"\v" ARABIC_SUKUN</t>
        </is>
      </c>
      <c r="QJ25" t="inlineStr">
        <is>
          <t xml:space="preserve">ARABIC_HAMZA</t>
        </is>
      </c>
      <c r="QL25" t="inlineStr">
        <is>
          <t xml:space="preserve">ARABIC_HAMZA</t>
        </is>
      </c>
      <c r="QM25" t="inlineStr">
        <is>
          <t xml:space="preserve">U"\v" ARABIC_SUKUN</t>
        </is>
      </c>
      <c r="QN25" t="inlineStr">
        <is>
          <t xml:space="preserve">ARABIC_HAMZA</t>
        </is>
      </c>
      <c r="QP25" t="inlineStr">
        <is>
          <t xml:space="preserve">ARABIC_HAMZA</t>
        </is>
      </c>
      <c r="QQ25" t="inlineStr">
        <is>
          <t xml:space="preserve">U"\v" ARABIC_SUKUN</t>
        </is>
      </c>
      <c r="QR25" t="inlineStr">
        <is>
          <t xml:space="preserve">ARABIC_HAMZA</t>
        </is>
      </c>
      <c r="QT25" t="inlineStr">
        <is>
          <t xml:space="preserve">ARABIC_HAMZA</t>
        </is>
      </c>
      <c r="QU25" t="inlineStr">
        <is>
          <t xml:space="preserve">U"\v" ARABIC_SUKUN</t>
        </is>
      </c>
      <c r="QV25" t="inlineStr">
        <is>
          <t xml:space="preserve">ARABIC_HAMZA</t>
        </is>
      </c>
      <c r="QX25" t="inlineStr">
        <is>
          <t xml:space="preserve">ARABIC_HAMZA</t>
        </is>
      </c>
      <c r="QY25" t="inlineStr">
        <is>
          <t xml:space="preserve">U"\v" ARABIC_SUKUN</t>
        </is>
      </c>
      <c r="QZ25" t="inlineStr">
        <is>
          <t xml:space="preserve">ARABIC_HAMZA</t>
        </is>
      </c>
      <c r="RB25" t="inlineStr">
        <is>
          <t xml:space="preserve">ARABIC_HAMZA</t>
        </is>
      </c>
      <c r="RC25" t="inlineStr">
        <is>
          <t xml:space="preserve">U"\v" ARABIC_SUKUN</t>
        </is>
      </c>
      <c r="RD25" t="inlineStr">
        <is>
          <t xml:space="preserve">ARABIC_HAMZA</t>
        </is>
      </c>
      <c r="SX25" t="inlineStr">
        <is>
          <t xml:space="preserve">BENG_DC_0982</t>
        </is>
      </c>
      <c r="SY25" t="inlineStr">
        <is>
          <t xml:space="preserve">BENG_DC_0981</t>
        </is>
      </c>
      <c r="SZ25" t="inlineStr">
        <is>
          <t xml:space="preserve">BENG_DC_0982</t>
        </is>
      </c>
      <c r="TA25" t="inlineStr">
        <is>
          <t xml:space="preserve">BENGALI_0993</t>
        </is>
      </c>
      <c r="TV25" t="inlineStr">
        <is>
          <t xml:space="preserve">CYRILLIC_SM_CHE</t>
        </is>
      </c>
      <c r="TW25" t="inlineStr">
        <is>
          <t xml:space="preserve">CYRILLIC_CHE</t>
        </is>
      </c>
      <c r="TZ25" t="inlineStr">
        <is>
          <t xml:space="preserve">CYRILLIC_SM_CHE</t>
        </is>
      </c>
      <c r="UA25" t="inlineStr">
        <is>
          <t xml:space="preserve">CYRILLIC_CHE</t>
        </is>
      </c>
      <c r="VE25" t="inlineStr">
        <is>
          <t xml:space="preserve">LATIN_00E1</t>
        </is>
      </c>
      <c r="WD25" t="inlineStr">
        <is>
          <t xml:space="preserve">LATIN_010D</t>
        </is>
      </c>
      <c r="WE25" t="inlineStr">
        <is>
          <t xml:space="preserve">LATIN_010C</t>
        </is>
      </c>
      <c r="WG25" t="inlineStr">
        <is>
          <t xml:space="preserve">x</t>
        </is>
      </c>
      <c r="XB25" t="inlineStr">
        <is>
          <t xml:space="preserve">U"\f\f\f" ARABIC_06D0</t>
        </is>
      </c>
      <c r="XC25" t="inlineStr">
        <is>
          <t xml:space="preserve">ARABIC_TAH</t>
        </is>
      </c>
      <c r="XD25" t="inlineStr">
        <is>
          <t xml:space="preserve">ARABIC_06D0</t>
        </is>
      </c>
      <c r="XE25" t="inlineStr">
        <is>
          <t xml:space="preserve">;</t>
        </is>
      </c>
      <c r="XF25" t="inlineStr">
        <is>
          <t xml:space="preserve">UCAS_140A</t>
        </is>
      </c>
      <c r="XG25" t="inlineStr">
        <is>
          <t xml:space="preserve">UCAS_1438</t>
        </is>
      </c>
      <c r="XH25" t="inlineStr">
        <is>
          <t xml:space="preserve">UCAS_140A</t>
        </is>
      </c>
      <c r="XN25" t="inlineStr">
        <is>
          <t xml:space="preserve">CHEROKEE_13F4</t>
        </is>
      </c>
      <c r="XO25" t="inlineStr">
        <is>
          <t xml:space="preserve">CHEROKEE_13ED</t>
        </is>
      </c>
      <c r="XP25" t="inlineStr">
        <is>
          <t xml:space="preserve">CHEROKEE_13F4</t>
        </is>
      </c>
      <c r="XQ25" t="inlineStr">
        <is>
          <t xml:space="preserve">x</t>
        </is>
      </c>
    </row>
    <row r="26" s="116" customFormat="true" ht="15.95" hidden="false" customHeight="true" outlineLevel="0" collapsed="false">
      <c r="A26" s="93" t="s">
        <v>1229</v>
      </c>
      <c r="B26" s="94" t="s">
        <v>1230</v>
      </c>
      <c r="C26" s="94" t="s">
        <v>1231</v>
      </c>
      <c r="D26" s="94"/>
      <c r="E26" s="94"/>
      <c r="F26" s="95" t="s">
        <v>1219</v>
      </c>
      <c r="G26" s="95" t="s">
        <v>1220</v>
      </c>
      <c r="H26" s="95"/>
      <c r="I26" s="95"/>
      <c r="J26" s="96"/>
      <c r="K26" s="96"/>
      <c r="L26" s="96"/>
      <c r="M26" s="96"/>
      <c r="N26" s="97"/>
      <c r="O26" s="97"/>
      <c r="P26" s="97"/>
      <c r="Q26" s="97"/>
      <c r="R26" s="98"/>
      <c r="S26" s="98"/>
      <c r="T26" s="98"/>
      <c r="U26" s="98"/>
      <c r="V26" s="99"/>
      <c r="W26" s="99"/>
      <c r="X26" s="99"/>
      <c r="Y26" s="99"/>
      <c r="Z26" s="100"/>
      <c r="AA26" s="100"/>
      <c r="AB26" s="100"/>
      <c r="AC26" s="100"/>
      <c r="AD26" s="101" t="s">
        <v>669</v>
      </c>
      <c r="AE26" s="101"/>
      <c r="AF26" s="101"/>
      <c r="AG26" s="101"/>
      <c r="AH26" t="inlineStr">
        <is>
          <t xml:space="preserve">y</t>
        </is>
      </c>
      <c r="AI26" t="inlineStr">
        <is>
          <t xml:space="preserve">Y</t>
        </is>
      </c>
      <c r="AK26" t="inlineStr">
        <is>
          <t xml:space="preserve">HIRAGANA_N</t>
        </is>
      </c>
      <c r="AL26" s="103" t="s">
        <v>570</v>
      </c>
      <c r="AM26" s="117" t="s">
        <v>522</v>
      </c>
      <c r="AN26" s="103" t="s">
        <v>570</v>
      </c>
      <c r="AO26" s="103"/>
      <c r="AP26" s="104" t="s">
        <v>294</v>
      </c>
      <c r="AQ26" s="118" t="s">
        <v>244</v>
      </c>
      <c r="AR26" s="104"/>
      <c r="AS26" s="118" t="s">
        <v>53</v>
      </c>
      <c r="AT26" s="105" t="s">
        <v>376</v>
      </c>
      <c r="AU26" s="119" t="s">
        <v>332</v>
      </c>
      <c r="AV26" s="105"/>
      <c r="AW26" t="inlineStr">
        <is>
          <t xml:space="preserve">CYRILLIC_SM_NJE</t>
        </is>
      </c>
      <c r="AX26" s="106" t="s">
        <v>376</v>
      </c>
      <c r="AY26" s="120" t="s">
        <v>332</v>
      </c>
      <c r="AZ26" s="106"/>
      <c r="BA26" s="106"/>
      <c r="BB26" s="107" t="s">
        <v>376</v>
      </c>
      <c r="BC26" s="121" t="s">
        <v>332</v>
      </c>
      <c r="BD26" s="107"/>
      <c r="BE26" s="107"/>
      <c r="BF26" s="108" t="s">
        <v>376</v>
      </c>
      <c r="BG26" s="122" t="s">
        <v>332</v>
      </c>
      <c r="BH26" s="108"/>
      <c r="BI26" s="108"/>
      <c r="BJ26" s="109" t="s">
        <v>391</v>
      </c>
      <c r="BK26" s="123" t="s">
        <v>347</v>
      </c>
      <c r="BL26" s="109"/>
      <c r="BM26" s="109"/>
      <c r="BN26" s="95" t="s">
        <v>1219</v>
      </c>
      <c r="BO26" s="95" t="s">
        <v>1220</v>
      </c>
      <c r="BP26" s="95"/>
      <c r="BQ26" s="95"/>
      <c r="BR26" s="110"/>
      <c r="BS26" s="110"/>
      <c r="BT26" s="110"/>
      <c r="BU26" s="110"/>
      <c r="BZ26" s="111"/>
      <c r="CA26" s="111"/>
      <c r="CB26" s="111"/>
      <c r="CC26" t="inlineStr">
        <is>
          <t xml:space="preserve">U"\f\f\f" LATIN_00FF</t>
        </is>
      </c>
      <c r="CD26" s="95" t="s">
        <v>479</v>
      </c>
      <c r="CE26" s="95"/>
      <c r="CF26" s="95"/>
      <c r="CG26" t="inlineStr">
        <is>
          <t xml:space="preserve">HEBREW_LOWER_DOT</t>
        </is>
      </c>
      <c r="CH26" s="112"/>
      <c r="CI26" s="112"/>
      <c r="CJ26" s="112"/>
      <c r="CK26" s="112"/>
      <c r="CL26" s="113"/>
      <c r="CM26" s="113"/>
      <c r="CN26" s="113"/>
      <c r="CO26" s="113"/>
      <c r="CP26" s="84"/>
      <c r="CQ26" s="84"/>
      <c r="CR26" s="84"/>
      <c r="CS26" s="84"/>
      <c r="CT26" s="110"/>
      <c r="CU26" s="110"/>
      <c r="CV26" s="110"/>
      <c r="CW26" s="110"/>
      <c r="CX26" s="114" t="s">
        <v>1219</v>
      </c>
      <c r="CY26" s="114" t="s">
        <v>1220</v>
      </c>
      <c r="CZ26" s="114"/>
      <c r="DA26" s="114"/>
      <c r="DB26" s="115" t="s">
        <v>1219</v>
      </c>
      <c r="DC26" s="115" t="s">
        <v>1220</v>
      </c>
      <c r="DD26" s="115"/>
      <c r="DE26" s="115"/>
      <c r="DF26" t="inlineStr">
        <is>
          <t xml:space="preserve">z</t>
        </is>
      </c>
      <c r="DG26" t="inlineStr">
        <is>
          <t xml:space="preserve">Z</t>
        </is>
      </c>
      <c r="DJ26" t="inlineStr">
        <is>
          <t xml:space="preserve">z</t>
        </is>
      </c>
      <c r="DK26" t="inlineStr">
        <is>
          <t xml:space="preserve">Z</t>
        </is>
      </c>
      <c r="ED26" t="inlineStr">
        <is>
          <t xml:space="preserve">CYRILLIC_SM_ZE</t>
        </is>
      </c>
      <c r="EE26" t="inlineStr">
        <is>
          <t xml:space="preserve">CYRILLIC_ZE</t>
        </is>
      </c>
      <c r="EH26" t="inlineStr">
        <is>
          <t xml:space="preserve">CYRILLIC_SM_DZE</t>
        </is>
      </c>
      <c r="EI26" t="inlineStr">
        <is>
          <t xml:space="preserve">CYRILLIC_DZE</t>
        </is>
      </c>
      <c r="EL26" t="inlineStr">
        <is>
          <t xml:space="preserve">ARABIC_GHAIN</t>
        </is>
      </c>
      <c r="EN26" t="inlineStr">
        <is>
          <t xml:space="preserve">ARABIC_GHAIN</t>
        </is>
      </c>
      <c r="EP26" t="inlineStr">
        <is>
          <t xml:space="preserve">DEVANAGARI_092C</t>
        </is>
      </c>
      <c r="EQ26" t="inlineStr">
        <is>
          <t xml:space="preserve">DEVANAGARI_092D</t>
        </is>
      </c>
      <c r="ER26" t="inlineStr">
        <is>
          <t xml:space="preserve">DEVANAGARI_092C</t>
        </is>
      </c>
      <c r="ET26" t="inlineStr">
        <is>
          <t xml:space="preserve">DEVANAGARI_092C</t>
        </is>
      </c>
      <c r="EU26" t="inlineStr">
        <is>
          <t xml:space="preserve">DEVANAGARI_092D</t>
        </is>
      </c>
      <c r="EV26" t="inlineStr">
        <is>
          <t xml:space="preserve">DEVANAGARI_092C</t>
        </is>
      </c>
      <c r="EX26" t="inlineStr">
        <is>
          <t xml:space="preserve">DEVANAGARI_092C</t>
        </is>
      </c>
      <c r="EY26" t="inlineStr">
        <is>
          <t xml:space="preserve">DEVANAGARI_092D</t>
        </is>
      </c>
      <c r="EZ26" t="inlineStr">
        <is>
          <t xml:space="preserve">DEVANAGARI_092C</t>
        </is>
      </c>
      <c r="FB26" t="inlineStr">
        <is>
          <t xml:space="preserve">CYRILLIC_SM_EN</t>
        </is>
      </c>
      <c r="FC26" t="inlineStr">
        <is>
          <t xml:space="preserve">CYRILLIC_EN</t>
        </is>
      </c>
      <c r="FF26" t="inlineStr">
        <is>
          <t xml:space="preserve">ARABIC_PEH</t>
        </is>
      </c>
      <c r="FG26" t="inlineStr">
        <is>
          <t xml:space="preserve">ARABIC_SHADDA</t>
        </is>
      </c>
      <c r="FH26" t="inlineStr">
        <is>
          <t xml:space="preserve">ARABIC_PEH</t>
        </is>
      </c>
      <c r="FR26" t="inlineStr">
        <is>
          <t xml:space="preserve">z</t>
        </is>
      </c>
      <c r="FS26" t="inlineStr">
        <is>
          <t xml:space="preserve">Z</t>
        </is>
      </c>
      <c r="GD26" t="inlineStr">
        <is>
          <t xml:space="preserve">THAI_DC_0E31</t>
        </is>
      </c>
      <c r="GE26" t="inlineStr">
        <is>
          <t xml:space="preserve">THAI_DC_0E4D</t>
        </is>
      </c>
      <c r="GF26" t="inlineStr">
        <is>
          <t xml:space="preserve">THAI_DC_0E31</t>
        </is>
      </c>
      <c r="GH26" t="inlineStr">
        <is>
          <t xml:space="preserve">BENGALI_09AC</t>
        </is>
      </c>
      <c r="GI26" t="inlineStr">
        <is>
          <t xml:space="preserve">BENGALI_09AD</t>
        </is>
      </c>
      <c r="GJ26" t="inlineStr">
        <is>
          <t xml:space="preserve">BENGALI_09AC</t>
        </is>
      </c>
      <c r="GL26" t="inlineStr">
        <is>
          <t xml:space="preserve">TELUGU_0C2C</t>
        </is>
      </c>
      <c r="GM26" t="inlineStr">
        <is>
          <t xml:space="preserve">TELUGU_0C2D</t>
        </is>
      </c>
      <c r="GN26" t="inlineStr">
        <is>
          <t xml:space="preserve">TELUGU_0C2C</t>
        </is>
      </c>
      <c r="GT26" t="inlineStr">
        <is>
          <t xml:space="preserve">ZHUYIN_3117</t>
        </is>
      </c>
      <c r="GV26" t="inlineStr">
        <is>
          <t xml:space="preserve">ZHUYIN_3117</t>
        </is>
      </c>
      <c r="GX26" t="inlineStr">
        <is>
          <t xml:space="preserve">GEORGIAN_10E7</t>
        </is>
      </c>
      <c r="GZ26" t="inlineStr">
        <is>
          <t xml:space="preserve">GEORGIAN_10E7</t>
        </is>
      </c>
      <c r="HB26" t="inlineStr">
        <is>
          <t xml:space="preserve">ARMENIAN_0578</t>
        </is>
      </c>
      <c r="HC26" t="inlineStr">
        <is>
          <t xml:space="preserve">ARMENIAN_0548</t>
        </is>
      </c>
      <c r="HV26" t="inlineStr">
        <is>
          <t xml:space="preserve">KANGXI_RADICAL_DIVINATION</t>
        </is>
      </c>
      <c r="HW26" t="inlineStr">
        <is>
          <t xml:space="preserve">y</t>
        </is>
      </c>
      <c r="HX26" t="inlineStr">
        <is>
          <t xml:space="preserve">KANGXI_RADICAL_DIVINATION</t>
        </is>
      </c>
      <c r="JE26" t="inlineStr">
        <is>
          <t xml:space="preserve">LATIN_00FB</t>
        </is>
      </c>
      <c r="JI26" t="inlineStr">
        <is>
          <t xml:space="preserve">LATIN_00FB</t>
        </is>
      </c>
      <c r="JJ26" t="inlineStr">
        <is>
          <t xml:space="preserve">ARABIC_GHAIN</t>
        </is>
      </c>
      <c r="JK26" t="inlineStr">
        <is>
          <t xml:space="preserve">ARABIC_ALEF_HAMZA_B</t>
        </is>
      </c>
      <c r="JL26" t="inlineStr">
        <is>
          <t xml:space="preserve">ARABIC_GHAIN</t>
        </is>
      </c>
      <c r="JR26" t="inlineStr">
        <is>
          <t xml:space="preserve">ETHIOPIC_12E8</t>
        </is>
      </c>
      <c r="JT26" t="inlineStr">
        <is>
          <t xml:space="preserve">ETHIOPIC_12E8</t>
        </is>
      </c>
      <c r="KD26" t="inlineStr">
        <is>
          <t xml:space="preserve">ARABIC_GHAIN</t>
        </is>
      </c>
      <c r="KE26" t="inlineStr">
        <is>
          <t xml:space="preserve">ARABIC_ALEF_HAMZA_B</t>
        </is>
      </c>
      <c r="KF26" t="inlineStr">
        <is>
          <t xml:space="preserve">ARABIC_GHAIN</t>
        </is>
      </c>
      <c r="KH26" t="inlineStr">
        <is>
          <t xml:space="preserve">ARABIC_GHAIN</t>
        </is>
      </c>
      <c r="KI26" t="inlineStr">
        <is>
          <t xml:space="preserve">ARABIC_ALEF_HAMZA_B</t>
        </is>
      </c>
      <c r="KJ26" t="inlineStr">
        <is>
          <t xml:space="preserve">ARABIC_GHAIN</t>
        </is>
      </c>
      <c r="KL26" t="inlineStr">
        <is>
          <t xml:space="preserve">ARABIC_FARSI_YEH</t>
        </is>
      </c>
      <c r="KM26" t="inlineStr">
        <is>
          <t xml:space="preserve">ARABIC_YEH_V</t>
        </is>
      </c>
      <c r="KN26" t="inlineStr">
        <is>
          <t xml:space="preserve">ARABIC_FARSI_YEH</t>
        </is>
      </c>
      <c r="NV26" t="inlineStr">
        <is>
          <t xml:space="preserve">z</t>
        </is>
      </c>
      <c r="NW26" t="inlineStr">
        <is>
          <t xml:space="preserve">Z</t>
        </is>
      </c>
      <c r="OL26" t="inlineStr">
        <is>
          <t xml:space="preserve">z</t>
        </is>
      </c>
      <c r="OM26" t="inlineStr">
        <is>
          <t xml:space="preserve">Z</t>
        </is>
      </c>
      <c r="OP26" t="inlineStr">
        <is>
          <t xml:space="preserve">z</t>
        </is>
      </c>
      <c r="OQ26" t="inlineStr">
        <is>
          <t xml:space="preserve">Z</t>
        </is>
      </c>
      <c r="OT26" t="inlineStr">
        <is>
          <t xml:space="preserve">z</t>
        </is>
      </c>
      <c r="OU26" t="inlineStr">
        <is>
          <t xml:space="preserve">Z</t>
        </is>
      </c>
      <c r="PB26" t="inlineStr">
        <is>
          <t xml:space="preserve">ARABIC_GHAIN</t>
        </is>
      </c>
      <c r="PC26" t="inlineStr">
        <is>
          <t xml:space="preserve">ARABIC_ALEF_HAMZA_B</t>
        </is>
      </c>
      <c r="PD26" t="inlineStr">
        <is>
          <t xml:space="preserve">ARABIC_GHAIN</t>
        </is>
      </c>
      <c r="PF26" t="inlineStr">
        <is>
          <t xml:space="preserve">ARABIC_GHAIN</t>
        </is>
      </c>
      <c r="PG26" t="inlineStr">
        <is>
          <t xml:space="preserve">ARABIC_ALEF_HAMZA_B</t>
        </is>
      </c>
      <c r="PH26" t="inlineStr">
        <is>
          <t xml:space="preserve">ARABIC_GHAIN</t>
        </is>
      </c>
      <c r="PJ26" t="inlineStr">
        <is>
          <t xml:space="preserve">ARABIC_GHAIN</t>
        </is>
      </c>
      <c r="PK26" t="inlineStr">
        <is>
          <t xml:space="preserve">ARABIC_ALEF_HAMZA_B</t>
        </is>
      </c>
      <c r="PL26" t="inlineStr">
        <is>
          <t xml:space="preserve">ARABIC_GHAIN</t>
        </is>
      </c>
      <c r="PN26" t="inlineStr">
        <is>
          <t xml:space="preserve">ARABIC_GHAIN</t>
        </is>
      </c>
      <c r="PO26" t="inlineStr">
        <is>
          <t xml:space="preserve">ARABIC_ALEF_HAMZA_B</t>
        </is>
      </c>
      <c r="PP26" t="inlineStr">
        <is>
          <t xml:space="preserve">ARABIC_GHAIN</t>
        </is>
      </c>
      <c r="PR26" t="inlineStr">
        <is>
          <t xml:space="preserve">ARABIC_GHAIN</t>
        </is>
      </c>
      <c r="PS26" t="inlineStr">
        <is>
          <t xml:space="preserve">ARABIC_ALEF_HAMZA_B</t>
        </is>
      </c>
      <c r="PT26" t="inlineStr">
        <is>
          <t xml:space="preserve">ARABIC_GHAIN</t>
        </is>
      </c>
      <c r="PV26" t="inlineStr">
        <is>
          <t xml:space="preserve">ARABIC_GHAIN</t>
        </is>
      </c>
      <c r="PW26" t="inlineStr">
        <is>
          <t xml:space="preserve">ARABIC_ALEF_HAMZA_B</t>
        </is>
      </c>
      <c r="PX26" t="inlineStr">
        <is>
          <t xml:space="preserve">ARABIC_GHAIN</t>
        </is>
      </c>
      <c r="PZ26" t="inlineStr">
        <is>
          <t xml:space="preserve">ARABIC_GHAIN</t>
        </is>
      </c>
      <c r="QA26" t="inlineStr">
        <is>
          <t xml:space="preserve">ARABIC_ALEF_HAMZA_B</t>
        </is>
      </c>
      <c r="QB26" t="inlineStr">
        <is>
          <t xml:space="preserve">ARABIC_GHAIN</t>
        </is>
      </c>
      <c r="QD26" t="inlineStr">
        <is>
          <t xml:space="preserve">ARABIC_GHAIN</t>
        </is>
      </c>
      <c r="QE26" t="inlineStr">
        <is>
          <t xml:space="preserve">ARABIC_ALEF_HAMZA_B</t>
        </is>
      </c>
      <c r="QF26" t="inlineStr">
        <is>
          <t xml:space="preserve">ARABIC_GHAIN</t>
        </is>
      </c>
      <c r="QH26" t="inlineStr">
        <is>
          <t xml:space="preserve">ARABIC_GHAIN</t>
        </is>
      </c>
      <c r="QI26" t="inlineStr">
        <is>
          <t xml:space="preserve">ARABIC_ALEF_HAMZA_B</t>
        </is>
      </c>
      <c r="QJ26" t="inlineStr">
        <is>
          <t xml:space="preserve">ARABIC_GHAIN</t>
        </is>
      </c>
      <c r="QL26" t="inlineStr">
        <is>
          <t xml:space="preserve">ARABIC_GHAIN</t>
        </is>
      </c>
      <c r="QM26" t="inlineStr">
        <is>
          <t xml:space="preserve">ARABIC_ALEF_HAMZA_B</t>
        </is>
      </c>
      <c r="QN26" t="inlineStr">
        <is>
          <t xml:space="preserve">ARABIC_GHAIN</t>
        </is>
      </c>
      <c r="QP26" t="inlineStr">
        <is>
          <t xml:space="preserve">ARABIC_GHAIN</t>
        </is>
      </c>
      <c r="QQ26" t="inlineStr">
        <is>
          <t xml:space="preserve">ARABIC_ALEF_HAMZA_B</t>
        </is>
      </c>
      <c r="QR26" t="inlineStr">
        <is>
          <t xml:space="preserve">ARABIC_GHAIN</t>
        </is>
      </c>
      <c r="QT26" t="inlineStr">
        <is>
          <t xml:space="preserve">ARABIC_GHAIN</t>
        </is>
      </c>
      <c r="QU26" t="inlineStr">
        <is>
          <t xml:space="preserve">ARABIC_ALEF_HAMZA_B</t>
        </is>
      </c>
      <c r="QV26" t="inlineStr">
        <is>
          <t xml:space="preserve">ARABIC_GHAIN</t>
        </is>
      </c>
      <c r="QX26" t="inlineStr">
        <is>
          <t xml:space="preserve">ARABIC_GHAIN</t>
        </is>
      </c>
      <c r="QY26" t="inlineStr">
        <is>
          <t xml:space="preserve">ARABIC_ALEF_HAMZA_B</t>
        </is>
      </c>
      <c r="QZ26" t="inlineStr">
        <is>
          <t xml:space="preserve">ARABIC_GHAIN</t>
        </is>
      </c>
      <c r="RB26" t="inlineStr">
        <is>
          <t xml:space="preserve">ARABIC_GHAIN</t>
        </is>
      </c>
      <c r="RC26" t="inlineStr">
        <is>
          <t xml:space="preserve">ARABIC_ALEF_HAMZA_B</t>
        </is>
      </c>
      <c r="RD26" t="inlineStr">
        <is>
          <t xml:space="preserve">ARABIC_GHAIN</t>
        </is>
      </c>
      <c r="SX26" t="inlineStr">
        <is>
          <t xml:space="preserve">BENGALI_09AC</t>
        </is>
      </c>
      <c r="SY26" t="inlineStr">
        <is>
          <t xml:space="preserve">BENGALI_09AD</t>
        </is>
      </c>
      <c r="SZ26" t="inlineStr">
        <is>
          <t xml:space="preserve">BENGALI_09AC</t>
        </is>
      </c>
      <c r="TV26" t="inlineStr">
        <is>
          <t xml:space="preserve">CYRILLIC_SM_EN</t>
        </is>
      </c>
      <c r="TW26" t="inlineStr">
        <is>
          <t xml:space="preserve">CYRILLIC_EN</t>
        </is>
      </c>
      <c r="TZ26" t="inlineStr">
        <is>
          <t xml:space="preserve">CYRILLIC_SM_EN</t>
        </is>
      </c>
      <c r="UA26" t="inlineStr">
        <is>
          <t xml:space="preserve">CYRILLIC_EN</t>
        </is>
      </c>
      <c r="VE26" t="inlineStr">
        <is>
          <t xml:space="preserve">U"\f\f\f\f" LATIN_00FF</t>
        </is>
      </c>
      <c r="VJ26" t="inlineStr">
        <is>
          <t xml:space="preserve">z</t>
        </is>
      </c>
      <c r="VK26" t="inlineStr">
        <is>
          <t xml:space="preserve">Z</t>
        </is>
      </c>
      <c r="VN26" t="inlineStr">
        <is>
          <t xml:space="preserve">y</t>
        </is>
      </c>
      <c r="VO26" t="inlineStr">
        <is>
          <t xml:space="preserve">Y</t>
        </is>
      </c>
      <c r="VQ26" t="inlineStr">
        <is>
          <t xml:space="preserve">LATIN_0177</t>
        </is>
      </c>
      <c r="VZ26" t="inlineStr">
        <is>
          <t xml:space="preserve">z</t>
        </is>
      </c>
      <c r="WA26" t="inlineStr">
        <is>
          <t xml:space="preserve">Z</t>
        </is>
      </c>
      <c r="WD26" t="inlineStr">
        <is>
          <t xml:space="preserve">LATIN_0167</t>
        </is>
      </c>
      <c r="WE26" t="inlineStr">
        <is>
          <t xml:space="preserve">LATIN_0166</t>
        </is>
      </c>
      <c r="WG26" t="inlineStr">
        <is>
          <t xml:space="preserve">y</t>
        </is>
      </c>
      <c r="WH26" t="inlineStr">
        <is>
          <t xml:space="preserve">y</t>
        </is>
      </c>
      <c r="WI26" t="inlineStr">
        <is>
          <t xml:space="preserve">Y</t>
        </is>
      </c>
      <c r="WK26" t="inlineStr">
        <is>
          <t xml:space="preserve">LATIN_1EF9</t>
        </is>
      </c>
      <c r="XB26" t="inlineStr">
        <is>
          <t xml:space="preserve">ARABIC_063A</t>
        </is>
      </c>
      <c r="XD26" t="inlineStr">
        <is>
          <t xml:space="preserve">ARABIC_063A</t>
        </is>
      </c>
      <c r="XF26" t="inlineStr">
        <is>
          <t xml:space="preserve">UCAS_14EF</t>
        </is>
      </c>
      <c r="XG26" t="inlineStr">
        <is>
          <t xml:space="preserve">UCAS_1673</t>
        </is>
      </c>
      <c r="XH26" t="inlineStr">
        <is>
          <t xml:space="preserve">UCAS_14EF</t>
        </is>
      </c>
      <c r="XJ26" t="inlineStr">
        <is>
          <t xml:space="preserve">y</t>
        </is>
      </c>
      <c r="XK26" t="inlineStr">
        <is>
          <t xml:space="preserve">Y</t>
        </is>
      </c>
      <c r="XM26" t="inlineStr">
        <is>
          <t xml:space="preserve">UCAS_152D</t>
        </is>
      </c>
      <c r="XN26" t="inlineStr">
        <is>
          <t xml:space="preserve">CHEROKEE_13EF</t>
        </is>
      </c>
      <c r="XO26" t="inlineStr">
        <is>
          <t xml:space="preserve">CHEROKEE_13F2</t>
        </is>
      </c>
      <c r="XP26" t="inlineStr">
        <is>
          <t xml:space="preserve">CHEROKEE_13EF</t>
        </is>
      </c>
      <c r="XQ26" t="inlineStr">
        <is>
          <t xml:space="preserve">y</t>
        </is>
      </c>
    </row>
    <row r="27" s="116" customFormat="true" ht="15.95" hidden="false" customHeight="true" outlineLevel="0" collapsed="false">
      <c r="A27" s="93" t="s">
        <v>1233</v>
      </c>
      <c r="B27" s="94" t="s">
        <v>1219</v>
      </c>
      <c r="C27" s="94" t="s">
        <v>1220</v>
      </c>
      <c r="D27" s="94"/>
      <c r="E27" s="94"/>
      <c r="F27" s="95" t="s">
        <v>1230</v>
      </c>
      <c r="G27" s="95" t="s">
        <v>1231</v>
      </c>
      <c r="H27" s="95"/>
      <c r="I27" s="95"/>
      <c r="J27" s="96" t="s">
        <v>1217</v>
      </c>
      <c r="K27" s="96" t="s">
        <v>1218</v>
      </c>
      <c r="L27" s="96"/>
      <c r="M27" s="96"/>
      <c r="N27" s="97"/>
      <c r="O27" s="97"/>
      <c r="P27" s="97"/>
      <c r="Q27" s="97"/>
      <c r="R27" s="98"/>
      <c r="S27" s="98"/>
      <c r="T27" s="98"/>
      <c r="U27" s="98"/>
      <c r="V27" s="99"/>
      <c r="W27" s="99"/>
      <c r="X27" s="99"/>
      <c r="Y27" s="99"/>
      <c r="Z27" s="100"/>
      <c r="AA27" s="100"/>
      <c r="AB27" s="100"/>
      <c r="AC27" s="100"/>
      <c r="AD27" s="101" t="s">
        <v>655</v>
      </c>
      <c r="AE27" s="101"/>
      <c r="AF27" s="101"/>
      <c r="AG27" s="101"/>
      <c r="AH27" t="inlineStr">
        <is>
          <t xml:space="preserve">z</t>
        </is>
      </c>
      <c r="AI27" t="inlineStr">
        <is>
          <t xml:space="preserve">Z</t>
        </is>
      </c>
      <c r="AK27" t="inlineStr">
        <is>
          <t xml:space="preserve">HIRAGANA_TU</t>
        </is>
      </c>
      <c r="AL27" s="103" t="s">
        <v>524</v>
      </c>
      <c r="AM27" s="103" t="s">
        <v>1234</v>
      </c>
      <c r="AN27" s="103" t="s">
        <v>524</v>
      </c>
      <c r="AO27" s="103"/>
      <c r="AP27" s="104" t="s">
        <v>264</v>
      </c>
      <c r="AQ27" s="104"/>
      <c r="AR27" s="104"/>
      <c r="AS27" s="104"/>
      <c r="AT27" s="105" t="s">
        <v>402</v>
      </c>
      <c r="AU27" s="105" t="s">
        <v>358</v>
      </c>
      <c r="AV27" s="105"/>
      <c r="AW27" s="105"/>
      <c r="AX27" s="106" t="s">
        <v>402</v>
      </c>
      <c r="AY27" s="106" t="s">
        <v>358</v>
      </c>
      <c r="AZ27" s="106"/>
      <c r="BA27" s="106"/>
      <c r="BB27" s="107" t="s">
        <v>402</v>
      </c>
      <c r="BC27" s="107" t="s">
        <v>358</v>
      </c>
      <c r="BD27" s="107"/>
      <c r="BE27" s="107"/>
      <c r="BF27" s="108" t="s">
        <v>402</v>
      </c>
      <c r="BG27" s="108" t="s">
        <v>358</v>
      </c>
      <c r="BH27" s="108"/>
      <c r="BI27" s="108"/>
      <c r="BJ27" s="109" t="s">
        <v>400</v>
      </c>
      <c r="BK27" s="109" t="s">
        <v>356</v>
      </c>
      <c r="BL27" s="109"/>
      <c r="BM27" s="109"/>
      <c r="BN27" s="95" t="s">
        <v>1230</v>
      </c>
      <c r="BO27" s="95" t="s">
        <v>1231</v>
      </c>
      <c r="BP27" s="95"/>
      <c r="BQ27" t="inlineStr">
        <is>
          <t xml:space="preserve">LATIN_017C</t>
        </is>
      </c>
      <c r="BR27" s="110"/>
      <c r="BS27" s="110"/>
      <c r="BT27" s="110"/>
      <c r="BU27" s="110"/>
      <c r="BZ27" s="111"/>
      <c r="CA27" s="111"/>
      <c r="CB27" s="111"/>
      <c r="CC27" s="125" t="s">
        <v>66</v>
      </c>
      <c r="CD27" s="95" t="s">
        <v>477</v>
      </c>
      <c r="CE27" s="95"/>
      <c r="CF27" s="95"/>
      <c r="CG27" s="95"/>
      <c r="CH27" s="112"/>
      <c r="CI27" s="112"/>
      <c r="CJ27" s="112"/>
      <c r="CK27" s="112"/>
      <c r="CL27" s="113"/>
      <c r="CM27" s="113"/>
      <c r="CN27" s="113"/>
      <c r="CO27" s="113"/>
      <c r="CP27" s="84"/>
      <c r="CQ27" s="84"/>
      <c r="CR27" s="84"/>
      <c r="CS27" s="84"/>
      <c r="CT27" s="110"/>
      <c r="CU27" s="110"/>
      <c r="CV27" s="110"/>
      <c r="CW27" s="110"/>
      <c r="CX27" s="114" t="s">
        <v>1230</v>
      </c>
      <c r="CY27" s="114" t="s">
        <v>1231</v>
      </c>
      <c r="CZ27" s="114"/>
      <c r="DA27" s="114" t="s">
        <v>1223</v>
      </c>
      <c r="DB27" s="115" t="s">
        <v>1230</v>
      </c>
      <c r="DC27" s="115" t="s">
        <v>1231</v>
      </c>
      <c r="DD27" s="115"/>
      <c r="DE27" s="115"/>
      <c r="DF27" t="inlineStr">
        <is>
          <t xml:space="preserve">y</t>
        </is>
      </c>
      <c r="DG27" t="inlineStr">
        <is>
          <t xml:space="preserve">Y</t>
        </is>
      </c>
      <c r="DJ27" t="inlineStr">
        <is>
          <t xml:space="preserve">y</t>
        </is>
      </c>
      <c r="DK27" t="inlineStr">
        <is>
          <t xml:space="preserve">Y</t>
        </is>
      </c>
      <c r="DU27" t="inlineStr">
        <is>
          <t xml:space="preserve">LATIN_017E</t>
        </is>
      </c>
      <c r="DY27" t="inlineStr">
        <is>
          <t xml:space="preserve">LATIN_017E</t>
        </is>
      </c>
      <c r="ED27" t="inlineStr">
        <is>
          <t xml:space="preserve">CYRILLIC_SM_DZE</t>
        </is>
      </c>
      <c r="EE27" t="inlineStr">
        <is>
          <t xml:space="preserve">CYRILLIC_DZE</t>
        </is>
      </c>
      <c r="EH27" t="inlineStr">
        <is>
          <t xml:space="preserve">CYRILLIC_SM_ZE</t>
        </is>
      </c>
      <c r="EI27" t="inlineStr">
        <is>
          <t xml:space="preserve">CYRILLIC_ZE</t>
        </is>
      </c>
      <c r="EL27" t="inlineStr">
        <is>
          <t xml:space="preserve">ARABIC_ZAH</t>
        </is>
      </c>
      <c r="EN27" t="inlineStr">
        <is>
          <t xml:space="preserve">ARABIC_ZAH</t>
        </is>
      </c>
      <c r="EP27" t="inlineStr">
        <is>
          <t xml:space="preserve">DEVA_DC_0946</t>
        </is>
      </c>
      <c r="EQ27" t="inlineStr">
        <is>
          <t xml:space="preserve">DEVANAGARI_090E</t>
        </is>
      </c>
      <c r="ER27" t="inlineStr">
        <is>
          <t xml:space="preserve">DEVA_DC_0946</t>
        </is>
      </c>
      <c r="ET27" t="inlineStr">
        <is>
          <t xml:space="preserve">DEVA_DC_0946</t>
        </is>
      </c>
      <c r="EU27" t="inlineStr">
        <is>
          <t xml:space="preserve">DEVANAGARI_090E</t>
        </is>
      </c>
      <c r="EV27" t="inlineStr">
        <is>
          <t xml:space="preserve">DEVA_DC_0946</t>
        </is>
      </c>
      <c r="EX27" t="inlineStr">
        <is>
          <t xml:space="preserve">DEVA_DC_0946</t>
        </is>
      </c>
      <c r="EY27" t="inlineStr">
        <is>
          <t xml:space="preserve">DEVANAGARI_090E</t>
        </is>
      </c>
      <c r="EZ27" t="inlineStr">
        <is>
          <t xml:space="preserve">DEVA_DC_0946</t>
        </is>
      </c>
      <c r="FB27" t="inlineStr">
        <is>
          <t xml:space="preserve">CYRILLIC_SM_YA</t>
        </is>
      </c>
      <c r="FC27" t="inlineStr">
        <is>
          <t xml:space="preserve">CYRILLIC_YA</t>
        </is>
      </c>
      <c r="FF27" t="inlineStr">
        <is>
          <t xml:space="preserve">ARABIC_QAF</t>
        </is>
      </c>
      <c r="FH27" t="inlineStr">
        <is>
          <t xml:space="preserve">ARABIC_QAF</t>
        </is>
      </c>
      <c r="FR27" t="inlineStr">
        <is>
          <t xml:space="preserve">y</t>
        </is>
      </c>
      <c r="FS27" t="inlineStr">
        <is>
          <t xml:space="preserve">Y</t>
        </is>
      </c>
      <c r="FV27" t="inlineStr">
        <is>
          <t xml:space="preserve">w</t>
        </is>
      </c>
      <c r="FW27" t="inlineStr">
        <is>
          <t xml:space="preserve">W</t>
        </is>
      </c>
      <c r="GD27" t="inlineStr">
        <is>
          <t xml:space="preserve">THAI_0E1C</t>
        </is>
      </c>
      <c r="GE27" t="inlineStr">
        <is>
          <t xml:space="preserve">(</t>
        </is>
      </c>
      <c r="GF27" t="inlineStr">
        <is>
          <t xml:space="preserve">THAI_0E1C</t>
        </is>
      </c>
      <c r="GL27" t="inlineStr">
        <is>
          <t xml:space="preserve">TELU_DC_0C46</t>
        </is>
      </c>
      <c r="GM27" t="inlineStr">
        <is>
          <t xml:space="preserve">TELUGU_0C0E</t>
        </is>
      </c>
      <c r="GN27" t="inlineStr">
        <is>
          <t xml:space="preserve">TELU_DC_0C46</t>
        </is>
      </c>
      <c r="GP27" t="inlineStr">
        <is>
          <t xml:space="preserve">TAML_DC_0BC6</t>
        </is>
      </c>
      <c r="GQ27" t="inlineStr">
        <is>
          <t xml:space="preserve">TAMIL_0B8E</t>
        </is>
      </c>
      <c r="GR27" t="inlineStr">
        <is>
          <t xml:space="preserve">TAML_DC_0BC6</t>
        </is>
      </c>
      <c r="GT27" t="inlineStr">
        <is>
          <t xml:space="preserve">ZHUYIN_3108</t>
        </is>
      </c>
      <c r="GV27" t="inlineStr">
        <is>
          <t xml:space="preserve">ZHUYIN_3108</t>
        </is>
      </c>
      <c r="GX27" t="inlineStr">
        <is>
          <t xml:space="preserve">GEORGIAN_10D6</t>
        </is>
      </c>
      <c r="GY27" t="inlineStr">
        <is>
          <t xml:space="preserve">GEORGIAN_10EB</t>
        </is>
      </c>
      <c r="GZ27" t="inlineStr">
        <is>
          <t xml:space="preserve">GEORGIAN_10D6</t>
        </is>
      </c>
      <c r="HB27" t="inlineStr">
        <is>
          <t xml:space="preserve">ARMENIAN_056A</t>
        </is>
      </c>
      <c r="HC27" t="inlineStr">
        <is>
          <t xml:space="preserve">ARMENIAN_053A</t>
        </is>
      </c>
      <c r="HV27" t="inlineStr">
        <is>
          <t xml:space="preserve">CJK_91CD</t>
        </is>
      </c>
      <c r="HW27" t="inlineStr">
        <is>
          <t xml:space="preserve">z</t>
        </is>
      </c>
      <c r="HX27" t="inlineStr">
        <is>
          <t xml:space="preserve">CJK_91CD</t>
        </is>
      </c>
      <c r="JJ27" t="inlineStr">
        <is>
          <t xml:space="preserve">ARABIC_YEH_HAMZA_A</t>
        </is>
      </c>
      <c r="JK27" t="inlineStr">
        <is>
          <t xml:space="preserve">~</t>
        </is>
      </c>
      <c r="JL27" t="inlineStr">
        <is>
          <t xml:space="preserve">ARABIC_YEH_HAMZA_A</t>
        </is>
      </c>
      <c r="JR27" t="inlineStr">
        <is>
          <t xml:space="preserve">ETHIOPIC_12D8</t>
        </is>
      </c>
      <c r="JS27" t="inlineStr">
        <is>
          <t xml:space="preserve">ETHIOPIC_12E0</t>
        </is>
      </c>
      <c r="JT27" t="inlineStr">
        <is>
          <t xml:space="preserve">ETHIOPIC_12D8</t>
        </is>
      </c>
      <c r="KD27" t="inlineStr">
        <is>
          <t xml:space="preserve">ARABIC_YEH_HAMZA_A</t>
        </is>
      </c>
      <c r="KE27" t="inlineStr">
        <is>
          <t xml:space="preserve">~</t>
        </is>
      </c>
      <c r="KF27" t="inlineStr">
        <is>
          <t xml:space="preserve">ARABIC_YEH_HAMZA_A</t>
        </is>
      </c>
      <c r="KH27" t="inlineStr">
        <is>
          <t xml:space="preserve">ARABIC_YEH_HAMZA_A</t>
        </is>
      </c>
      <c r="KI27" t="inlineStr">
        <is>
          <t xml:space="preserve">~</t>
        </is>
      </c>
      <c r="KJ27" t="inlineStr">
        <is>
          <t xml:space="preserve">ARABIC_YEH_HAMZA_A</t>
        </is>
      </c>
      <c r="KL27" t="inlineStr">
        <is>
          <t xml:space="preserve">ARABIC_ZAIN</t>
        </is>
      </c>
      <c r="KM27" t="inlineStr">
        <is>
          <t xml:space="preserve">ARABIC_DAD</t>
        </is>
      </c>
      <c r="KN27" t="inlineStr">
        <is>
          <t xml:space="preserve">ARABIC_ZAIN</t>
        </is>
      </c>
      <c r="LJ27" t="inlineStr">
        <is>
          <t xml:space="preserve">w</t>
        </is>
      </c>
      <c r="LK27" t="inlineStr">
        <is>
          <t xml:space="preserve">W</t>
        </is>
      </c>
      <c r="NV27" t="inlineStr">
        <is>
          <t xml:space="preserve">y</t>
        </is>
      </c>
      <c r="NW27" t="inlineStr">
        <is>
          <t xml:space="preserve">Y</t>
        </is>
      </c>
      <c r="NZ27" t="inlineStr">
        <is>
          <t xml:space="preserve">w</t>
        </is>
      </c>
      <c r="OA27" t="inlineStr">
        <is>
          <t xml:space="preserve">W</t>
        </is>
      </c>
      <c r="OL27" t="inlineStr">
        <is>
          <t xml:space="preserve">y</t>
        </is>
      </c>
      <c r="OM27" t="inlineStr">
        <is>
          <t xml:space="preserve">Y</t>
        </is>
      </c>
      <c r="OP27" t="inlineStr">
        <is>
          <t xml:space="preserve">y</t>
        </is>
      </c>
      <c r="OQ27" t="inlineStr">
        <is>
          <t xml:space="preserve">Y</t>
        </is>
      </c>
      <c r="OT27" t="inlineStr">
        <is>
          <t xml:space="preserve">y</t>
        </is>
      </c>
      <c r="OU27" t="inlineStr">
        <is>
          <t xml:space="preserve">Y</t>
        </is>
      </c>
      <c r="PB27" t="inlineStr">
        <is>
          <t xml:space="preserve">ARABIC_YEH_HAMZA_A</t>
        </is>
      </c>
      <c r="PC27" t="inlineStr">
        <is>
          <t xml:space="preserve">~</t>
        </is>
      </c>
      <c r="PD27" t="inlineStr">
        <is>
          <t xml:space="preserve">ARABIC_YEH_HAMZA_A</t>
        </is>
      </c>
      <c r="PF27" t="inlineStr">
        <is>
          <t xml:space="preserve">ARABIC_YEH_HAMZA_A</t>
        </is>
      </c>
      <c r="PG27" t="inlineStr">
        <is>
          <t xml:space="preserve">~</t>
        </is>
      </c>
      <c r="PH27" t="inlineStr">
        <is>
          <t xml:space="preserve">ARABIC_YEH_HAMZA_A</t>
        </is>
      </c>
      <c r="PJ27" t="inlineStr">
        <is>
          <t xml:space="preserve">ARABIC_YEH_HAMZA_A</t>
        </is>
      </c>
      <c r="PK27" t="inlineStr">
        <is>
          <t xml:space="preserve">~</t>
        </is>
      </c>
      <c r="PL27" t="inlineStr">
        <is>
          <t xml:space="preserve">ARABIC_YEH_HAMZA_A</t>
        </is>
      </c>
      <c r="PN27" t="inlineStr">
        <is>
          <t xml:space="preserve">ARABIC_YEH_HAMZA_A</t>
        </is>
      </c>
      <c r="PO27" t="inlineStr">
        <is>
          <t xml:space="preserve">~</t>
        </is>
      </c>
      <c r="PP27" t="inlineStr">
        <is>
          <t xml:space="preserve">ARABIC_YEH_HAMZA_A</t>
        </is>
      </c>
      <c r="PR27" t="inlineStr">
        <is>
          <t xml:space="preserve">ARABIC_YEH_HAMZA_A</t>
        </is>
      </c>
      <c r="PS27" t="inlineStr">
        <is>
          <t xml:space="preserve">~</t>
        </is>
      </c>
      <c r="PT27" t="inlineStr">
        <is>
          <t xml:space="preserve">ARABIC_YEH_HAMZA_A</t>
        </is>
      </c>
      <c r="PV27" t="inlineStr">
        <is>
          <t xml:space="preserve">ARABIC_YEH_HAMZA_A</t>
        </is>
      </c>
      <c r="PW27" t="inlineStr">
        <is>
          <t xml:space="preserve">~</t>
        </is>
      </c>
      <c r="PX27" t="inlineStr">
        <is>
          <t xml:space="preserve">ARABIC_YEH_HAMZA_A</t>
        </is>
      </c>
      <c r="PZ27" t="inlineStr">
        <is>
          <t xml:space="preserve">ARABIC_YEH_HAMZA_A</t>
        </is>
      </c>
      <c r="QA27" t="inlineStr">
        <is>
          <t xml:space="preserve">~</t>
        </is>
      </c>
      <c r="QB27" t="inlineStr">
        <is>
          <t xml:space="preserve">ARABIC_YEH_HAMZA_A</t>
        </is>
      </c>
      <c r="QD27" t="inlineStr">
        <is>
          <t xml:space="preserve">ARABIC_YEH_HAMZA_A</t>
        </is>
      </c>
      <c r="QE27" t="inlineStr">
        <is>
          <t xml:space="preserve">~</t>
        </is>
      </c>
      <c r="QF27" t="inlineStr">
        <is>
          <t xml:space="preserve">ARABIC_YEH_HAMZA_A</t>
        </is>
      </c>
      <c r="QH27" t="inlineStr">
        <is>
          <t xml:space="preserve">ARABIC_YEH_HAMZA_A</t>
        </is>
      </c>
      <c r="QI27" t="inlineStr">
        <is>
          <t xml:space="preserve">~</t>
        </is>
      </c>
      <c r="QJ27" t="inlineStr">
        <is>
          <t xml:space="preserve">ARABIC_YEH_HAMZA_A</t>
        </is>
      </c>
      <c r="QL27" t="inlineStr">
        <is>
          <t xml:space="preserve">ARABIC_YEH_HAMZA_A</t>
        </is>
      </c>
      <c r="QM27" t="inlineStr">
        <is>
          <t xml:space="preserve">~</t>
        </is>
      </c>
      <c r="QN27" t="inlineStr">
        <is>
          <t xml:space="preserve">ARABIC_YEH_HAMZA_A</t>
        </is>
      </c>
      <c r="QP27" t="inlineStr">
        <is>
          <t xml:space="preserve">ARABIC_YEH_HAMZA_A</t>
        </is>
      </c>
      <c r="QQ27" t="inlineStr">
        <is>
          <t xml:space="preserve">~</t>
        </is>
      </c>
      <c r="QR27" t="inlineStr">
        <is>
          <t xml:space="preserve">ARABIC_YEH_HAMZA_A</t>
        </is>
      </c>
      <c r="QT27" t="inlineStr">
        <is>
          <t xml:space="preserve">ARABIC_YEH_HAMZA_A</t>
        </is>
      </c>
      <c r="QU27" t="inlineStr">
        <is>
          <t xml:space="preserve">~</t>
        </is>
      </c>
      <c r="QV27" t="inlineStr">
        <is>
          <t xml:space="preserve">ARABIC_YEH_HAMZA_A</t>
        </is>
      </c>
      <c r="QX27" t="inlineStr">
        <is>
          <t xml:space="preserve">ARABIC_YEH_HAMZA_A</t>
        </is>
      </c>
      <c r="QY27" t="inlineStr">
        <is>
          <t xml:space="preserve">~</t>
        </is>
      </c>
      <c r="QZ27" t="inlineStr">
        <is>
          <t xml:space="preserve">ARABIC_YEH_HAMZA_A</t>
        </is>
      </c>
      <c r="RB27" t="inlineStr">
        <is>
          <t xml:space="preserve">ARABIC_YEH_HAMZA_A</t>
        </is>
      </c>
      <c r="RC27" t="inlineStr">
        <is>
          <t xml:space="preserve">~</t>
        </is>
      </c>
      <c r="RD27" t="inlineStr">
        <is>
          <t xml:space="preserve">ARABIC_YEH_HAMZA_A</t>
        </is>
      </c>
      <c r="RF27" t="inlineStr">
        <is>
          <t xml:space="preserve">w</t>
        </is>
      </c>
      <c r="RG27" t="inlineStr">
        <is>
          <t xml:space="preserve">W</t>
        </is>
      </c>
      <c r="RJ27" t="inlineStr">
        <is>
          <t xml:space="preserve">w</t>
        </is>
      </c>
      <c r="RK27" t="inlineStr">
        <is>
          <t xml:space="preserve">W</t>
        </is>
      </c>
      <c r="RN27" t="inlineStr">
        <is>
          <t xml:space="preserve">w</t>
        </is>
      </c>
      <c r="RO27" t="inlineStr">
        <is>
          <t xml:space="preserve">W</t>
        </is>
      </c>
      <c r="RR27" t="inlineStr">
        <is>
          <t xml:space="preserve">w</t>
        </is>
      </c>
      <c r="RS27" t="inlineStr">
        <is>
          <t xml:space="preserve">W</t>
        </is>
      </c>
      <c r="RV27" t="inlineStr">
        <is>
          <t xml:space="preserve">w</t>
        </is>
      </c>
      <c r="RW27" t="inlineStr">
        <is>
          <t xml:space="preserve">W</t>
        </is>
      </c>
      <c r="TV27" t="inlineStr">
        <is>
          <t xml:space="preserve">CYRILLIC_SM_YA</t>
        </is>
      </c>
      <c r="TW27" t="inlineStr">
        <is>
          <t xml:space="preserve">CYRILLIC_YA</t>
        </is>
      </c>
      <c r="TZ27" t="inlineStr">
        <is>
          <t xml:space="preserve">CYRILLIC_SM_YA</t>
        </is>
      </c>
      <c r="UA27" t="inlineStr">
        <is>
          <t xml:space="preserve">CYRILLIC_YA</t>
        </is>
      </c>
      <c r="UT27" t="inlineStr">
        <is>
          <t xml:space="preserve">w</t>
        </is>
      </c>
      <c r="UU27" t="inlineStr">
        <is>
          <t xml:space="preserve">W</t>
        </is>
      </c>
      <c r="VE27" t="inlineStr">
        <is>
          <t xml:space="preserve">A_WITH_GRAVE_SMALL</t>
        </is>
      </c>
      <c r="VJ27" t="inlineStr">
        <is>
          <t xml:space="preserve">y</t>
        </is>
      </c>
      <c r="VK27" t="inlineStr">
        <is>
          <t xml:space="preserve">Y</t>
        </is>
      </c>
      <c r="VZ27" t="inlineStr">
        <is>
          <t xml:space="preserve">y</t>
        </is>
      </c>
      <c r="WA27" t="inlineStr">
        <is>
          <t xml:space="preserve">Y</t>
        </is>
      </c>
      <c r="XB27" t="inlineStr">
        <is>
          <t xml:space="preserve">U"\f\f\f\x06\x06" ARABIC_06CD</t>
        </is>
      </c>
      <c r="XC27" t="inlineStr">
        <is>
          <t xml:space="preserve">ARABIC_ZAH</t>
        </is>
      </c>
      <c r="XD27" t="inlineStr">
        <is>
          <t xml:space="preserve">ARABIC_06CD</t>
        </is>
      </c>
      <c r="XE27" t="inlineStr">
        <is>
          <t xml:space="preserve">?</t>
        </is>
      </c>
      <c r="XF27" t="inlineStr">
        <is>
          <t xml:space="preserve">UCAS_1593</t>
        </is>
      </c>
      <c r="XG27" t="inlineStr">
        <is>
          <t xml:space="preserve">U"\x06\x06\x06" UCAS_1490</t>
        </is>
      </c>
      <c r="XH27" t="inlineStr">
        <is>
          <t xml:space="preserve">UCAS_1593</t>
        </is>
      </c>
      <c r="XN27" t="inlineStr">
        <is>
          <t xml:space="preserve">CHEROKEE_13AC</t>
        </is>
      </c>
      <c r="XO27" t="inlineStr">
        <is>
          <t xml:space="preserve">CHEROKEE_13C3</t>
        </is>
      </c>
      <c r="XP27" t="inlineStr">
        <is>
          <t xml:space="preserve">CHEROKEE_13AC</t>
        </is>
      </c>
      <c r="XQ27" t="inlineStr">
        <is>
          <t xml:space="preserve">z</t>
        </is>
      </c>
    </row>
    <row r="28" s="116" customFormat="true" ht="15" hidden="false" customHeight="false" outlineLevel="0" collapsed="false">
      <c r="A28" s="93" t="s">
        <v>1235</v>
      </c>
      <c r="B28" s="94" t="n">
        <v>1</v>
      </c>
      <c r="C28" s="94" t="s">
        <v>1236</v>
      </c>
      <c r="D28" s="94" t="n">
        <v>1</v>
      </c>
      <c r="E28" s="94"/>
      <c r="F28" s="95" t="n">
        <v>1</v>
      </c>
      <c r="G28" s="95" t="s">
        <v>1236</v>
      </c>
      <c r="H28" s="95"/>
      <c r="I28" s="95"/>
      <c r="J28" s="96" t="s">
        <v>1141</v>
      </c>
      <c r="K28" s="96" t="n">
        <v>1</v>
      </c>
      <c r="L28" s="96"/>
      <c r="M28" s="96"/>
      <c r="N28" s="97" t="n">
        <v>1</v>
      </c>
      <c r="O28" s="97" t="s">
        <v>1236</v>
      </c>
      <c r="P28" s="97" t="n">
        <v>1</v>
      </c>
      <c r="Q28" s="97" t="s">
        <v>1224</v>
      </c>
      <c r="R28" s="98" t="n">
        <v>1</v>
      </c>
      <c r="S28" s="98" t="s">
        <v>1236</v>
      </c>
      <c r="T28" s="98" t="n">
        <v>1</v>
      </c>
      <c r="U28" s="98"/>
      <c r="V28" s="99" t="n">
        <v>1</v>
      </c>
      <c r="W28" s="99" t="s">
        <v>1236</v>
      </c>
      <c r="X28" s="99" t="n">
        <v>1</v>
      </c>
      <c r="Y28" s="99"/>
      <c r="Z28" s="100" t="n">
        <v>1</v>
      </c>
      <c r="AA28" s="100" t="s">
        <v>1236</v>
      </c>
      <c r="AB28" s="100" t="n">
        <v>1</v>
      </c>
      <c r="AC28" s="100" t="s">
        <v>1223</v>
      </c>
      <c r="AD28" s="101" t="n">
        <v>1</v>
      </c>
      <c r="AE28" s="101" t="s">
        <v>1236</v>
      </c>
      <c r="AF28" s="101" t="n">
        <v>1</v>
      </c>
      <c r="AG28" s="101"/>
      <c r="AH28" t="inlineStr">
        <is>
          <t xml:space="preserve">1</t>
        </is>
      </c>
      <c r="AI28" t="inlineStr">
        <is>
          <t xml:space="preserve">!</t>
        </is>
      </c>
      <c r="AJ28" t="inlineStr">
        <is>
          <t xml:space="preserve">1</t>
        </is>
      </c>
      <c r="AK28" t="inlineStr">
        <is>
          <t xml:space="preserve">HIRAGANA_NU</t>
        </is>
      </c>
      <c r="AL28" s="103" t="n">
        <v>1</v>
      </c>
      <c r="AM28" s="103" t="s">
        <v>1236</v>
      </c>
      <c r="AN28" s="103" t="n">
        <v>1</v>
      </c>
      <c r="AO28" s="103" t="s">
        <v>626</v>
      </c>
      <c r="AP28" s="104" t="n">
        <v>1</v>
      </c>
      <c r="AQ28" s="104" t="s">
        <v>1236</v>
      </c>
      <c r="AR28" s="104" t="n">
        <v>1</v>
      </c>
      <c r="AS28" s="104"/>
      <c r="AT28" s="105" t="n">
        <v>1</v>
      </c>
      <c r="AU28" s="105" t="s">
        <v>1236</v>
      </c>
      <c r="AV28" s="105" t="n">
        <v>1</v>
      </c>
      <c r="AW28" s="105"/>
      <c r="AX28" s="106" t="n">
        <v>1</v>
      </c>
      <c r="AY28" s="106" t="s">
        <v>1236</v>
      </c>
      <c r="AZ28" s="106" t="n">
        <v>1</v>
      </c>
      <c r="BA28" s="106"/>
      <c r="BB28" s="107" t="n">
        <v>1</v>
      </c>
      <c r="BC28" s="107" t="s">
        <v>1236</v>
      </c>
      <c r="BD28" s="107" t="n">
        <v>1</v>
      </c>
      <c r="BE28" s="107"/>
      <c r="BF28" s="108" t="s">
        <v>8</v>
      </c>
      <c r="BG28" s="108" t="s">
        <v>1236</v>
      </c>
      <c r="BH28" s="108" t="s">
        <v>8</v>
      </c>
      <c r="BI28" s="108"/>
      <c r="BJ28" s="109" t="n">
        <v>1</v>
      </c>
      <c r="BK28" s="109" t="s">
        <v>1236</v>
      </c>
      <c r="BL28" s="109" t="n">
        <v>1</v>
      </c>
      <c r="BM28" s="109"/>
      <c r="BN28" s="95" t="n">
        <v>1</v>
      </c>
      <c r="BO28" s="95" t="s">
        <v>1236</v>
      </c>
      <c r="BP28" s="95"/>
      <c r="BQ28" s="95" t="s">
        <v>198</v>
      </c>
      <c r="BR28" s="110" t="n">
        <v>1</v>
      </c>
      <c r="BS28" s="110" t="s">
        <v>1236</v>
      </c>
      <c r="BT28" s="110"/>
      <c r="BU28" s="110" t="s">
        <v>198</v>
      </c>
      <c r="BZ28" s="111" t="n">
        <v>1</v>
      </c>
      <c r="CA28" s="111" t="s">
        <v>1236</v>
      </c>
      <c r="CB28" s="111" t="n">
        <v>1</v>
      </c>
      <c r="CC28" s="125" t="s">
        <v>90</v>
      </c>
      <c r="CD28" s="95" t="n">
        <v>1</v>
      </c>
      <c r="CE28" s="95" t="s">
        <v>1236</v>
      </c>
      <c r="CF28" s="95"/>
      <c r="CG28" s="128" t="s">
        <v>450</v>
      </c>
      <c r="CH28" s="112" t="n">
        <v>1</v>
      </c>
      <c r="CI28" s="112" t="s">
        <v>1236</v>
      </c>
      <c r="CJ28" s="112" t="n">
        <v>1</v>
      </c>
      <c r="CK28" s="112"/>
      <c r="CL28" s="113" t="n">
        <v>1</v>
      </c>
      <c r="CM28" s="113" t="s">
        <v>1236</v>
      </c>
      <c r="CN28" s="113" t="n">
        <v>1</v>
      </c>
      <c r="CO28" s="113"/>
      <c r="CP28" s="84" t="n">
        <v>1</v>
      </c>
      <c r="CQ28" s="84" t="s">
        <v>1236</v>
      </c>
      <c r="CR28" s="84" t="n">
        <v>1</v>
      </c>
      <c r="CS28" s="84"/>
      <c r="CT28" s="110" t="n">
        <v>1</v>
      </c>
      <c r="CU28" s="110" t="s">
        <v>1236</v>
      </c>
      <c r="CV28" s="110" t="n">
        <v>1</v>
      </c>
      <c r="CW28" s="110"/>
      <c r="CX28" s="114" t="n">
        <v>1</v>
      </c>
      <c r="CY28" s="114" t="s">
        <v>1236</v>
      </c>
      <c r="CZ28" s="114" t="n">
        <v>1</v>
      </c>
      <c r="DA28" s="114" t="s">
        <v>198</v>
      </c>
      <c r="DB28" s="115" t="s">
        <v>1237</v>
      </c>
      <c r="DC28" s="115" t="n">
        <v>1</v>
      </c>
      <c r="DD28" s="115" t="n">
        <v>1</v>
      </c>
      <c r="DE28" s="115" t="s">
        <v>198</v>
      </c>
      <c r="DF28">
        <v>1</v>
      </c>
      <c r="DG28" t="inlineStr">
        <is>
          <t xml:space="preserve">!</t>
        </is>
      </c>
      <c r="DH28">
        <v>1</v>
      </c>
      <c r="DI28" t="inlineStr">
        <is>
          <t xml:space="preserve">MOD_TILDE</t>
        </is>
      </c>
      <c r="DJ28" t="inlineStr">
        <is>
          <t xml:space="preserve">+</t>
        </is>
      </c>
      <c r="DK28">
        <v>1</v>
      </c>
      <c r="DL28">
        <v>1</v>
      </c>
      <c r="DM28" t="inlineStr">
        <is>
          <t xml:space="preserve">MOD_TILDE</t>
        </is>
      </c>
      <c r="DN28" t="inlineStr">
        <is>
          <t xml:space="preserve">U"\f\f" LATIN_0105</t>
        </is>
      </c>
      <c r="DO28" t="inlineStr">
        <is>
          <t xml:space="preserve">LATIN_0104</t>
        </is>
      </c>
      <c r="DQ28">
        <v>1</v>
      </c>
      <c r="DU28" t="inlineStr">
        <is>
          <t xml:space="preserve">SUPER_SCRIPT_1</t>
        </is>
      </c>
      <c r="DV28">
        <v>1</v>
      </c>
      <c r="DW28" t="inlineStr">
        <is>
          <t xml:space="preserve">!</t>
        </is>
      </c>
      <c r="DX28">
        <v>1</v>
      </c>
      <c r="ED28">
        <v>1</v>
      </c>
      <c r="EE28" t="inlineStr">
        <is>
          <t xml:space="preserve">!</t>
        </is>
      </c>
      <c r="EF28">
        <v>1</v>
      </c>
      <c r="EH28">
        <v>1</v>
      </c>
      <c r="EI28" t="inlineStr">
        <is>
          <t xml:space="preserve">!</t>
        </is>
      </c>
      <c r="EJ28">
        <v>1</v>
      </c>
      <c r="EO28" t="inlineStr">
        <is>
          <t xml:space="preserve">ARABIC_EXT_INDIC_1</t>
        </is>
      </c>
      <c r="EP28" t="inlineStr">
        <is>
          <t xml:space="preserve">DEVANAGARI_0967</t>
        </is>
      </c>
      <c r="EQ28" t="inlineStr">
        <is>
          <t xml:space="preserve">DEVANAGARI_090D</t>
        </is>
      </c>
      <c r="ER28" t="inlineStr">
        <is>
          <t xml:space="preserve">DEVANAGARI_0967</t>
        </is>
      </c>
      <c r="ET28" t="inlineStr">
        <is>
          <t xml:space="preserve">DEVANAGARI_0967</t>
        </is>
      </c>
      <c r="EU28" t="inlineStr">
        <is>
          <t xml:space="preserve">DEVANAGARI_090D</t>
        </is>
      </c>
      <c r="EV28" t="inlineStr">
        <is>
          <t xml:space="preserve">DEVANAGARI_0967</t>
        </is>
      </c>
      <c r="EX28" t="inlineStr">
        <is>
          <t xml:space="preserve">DEVANAGARI_0967</t>
        </is>
      </c>
      <c r="EY28" t="inlineStr">
        <is>
          <t xml:space="preserve">DEVANAGARI_090D</t>
        </is>
      </c>
      <c r="EZ28" t="inlineStr">
        <is>
          <t xml:space="preserve">DEVANAGARI_0967</t>
        </is>
      </c>
      <c r="FB28">
        <v>1</v>
      </c>
      <c r="FC28" t="inlineStr">
        <is>
          <t xml:space="preserve">NUMERO_SIGN</t>
        </is>
      </c>
      <c r="FD28">
        <v>1</v>
      </c>
      <c r="FF28">
        <v>1</v>
      </c>
      <c r="FG28" t="inlineStr">
        <is>
          <t xml:space="preserve">!</t>
        </is>
      </c>
      <c r="FH28">
        <v>1</v>
      </c>
      <c r="FI28" t="inlineStr">
        <is>
          <t xml:space="preserve">ARABIC_EXT_INDIC_1</t>
        </is>
      </c>
      <c r="FN28">
        <v>1</v>
      </c>
      <c r="FO28" t="inlineStr">
        <is>
          <t xml:space="preserve">!</t>
        </is>
      </c>
      <c r="FP28">
        <v>1</v>
      </c>
      <c r="FQ28" t="inlineStr">
        <is>
          <t xml:space="preserve">|</t>
        </is>
      </c>
      <c r="FR28">
        <v>1</v>
      </c>
      <c r="FS28" t="inlineStr">
        <is>
          <t xml:space="preserve">+</t>
        </is>
      </c>
      <c r="FT28">
        <v>1</v>
      </c>
      <c r="FU28" t="inlineStr">
        <is>
          <t xml:space="preserve">|</t>
        </is>
      </c>
      <c r="FV28" t="inlineStr">
        <is>
          <t xml:space="preserve">&amp;</t>
        </is>
      </c>
      <c r="FW28">
        <v>1</v>
      </c>
      <c r="FX28" t="inlineStr">
        <is>
          <t xml:space="preserve">&amp;</t>
        </is>
      </c>
      <c r="FY28" t="inlineStr">
        <is>
          <t xml:space="preserve">|</t>
        </is>
      </c>
      <c r="FZ28">
        <v>1</v>
      </c>
      <c r="GA28" t="inlineStr">
        <is>
          <t xml:space="preserve">!</t>
        </is>
      </c>
      <c r="GB28">
        <v>1</v>
      </c>
      <c r="GC28" t="inlineStr">
        <is>
          <t xml:space="preserve">U"\f\f\f" PLUS_MINUS</t>
        </is>
      </c>
      <c r="GD28" t="inlineStr">
        <is>
          <t xml:space="preserve">THAI_0E45</t>
        </is>
      </c>
      <c r="GE28" t="inlineStr">
        <is>
          <t xml:space="preserve">+</t>
        </is>
      </c>
      <c r="GF28" t="inlineStr">
        <is>
          <t xml:space="preserve">THAI_0E45</t>
        </is>
      </c>
      <c r="GG28">
        <v>1</v>
      </c>
      <c r="GH28" t="inlineStr">
        <is>
          <t xml:space="preserve">BENGALI_09E7</t>
        </is>
      </c>
      <c r="GJ28" t="inlineStr">
        <is>
          <t xml:space="preserve">BENGALI_09E7</t>
        </is>
      </c>
      <c r="GL28" t="inlineStr">
        <is>
          <t xml:space="preserve">TELUGU_0C67</t>
        </is>
      </c>
      <c r="GN28" t="inlineStr">
        <is>
          <t xml:space="preserve">TELUGU_0C67</t>
        </is>
      </c>
      <c r="GP28" t="inlineStr">
        <is>
          <t xml:space="preserve">TAMIL_0BE7</t>
        </is>
      </c>
      <c r="GR28" t="inlineStr">
        <is>
          <t xml:space="preserve">TAMIL_0BE7</t>
        </is>
      </c>
      <c r="GT28" t="inlineStr">
        <is>
          <t xml:space="preserve">ZHUYIN_3105</t>
        </is>
      </c>
      <c r="GV28" t="inlineStr">
        <is>
          <t xml:space="preserve">ZHUYIN_3105</t>
        </is>
      </c>
      <c r="GW28">
        <v>1</v>
      </c>
      <c r="HB28" t="inlineStr">
        <is>
          <t xml:space="preserve">ARMENIAN_0586</t>
        </is>
      </c>
      <c r="HC28" t="inlineStr">
        <is>
          <t xml:space="preserve">ARMENIAN_0556</t>
        </is>
      </c>
      <c r="HE28">
        <v>1</v>
      </c>
      <c r="HR28" t="inlineStr">
        <is>
          <t xml:space="preserve">LATIN_0103</t>
        </is>
      </c>
      <c r="HS28" t="inlineStr">
        <is>
          <t xml:space="preserve">LATIN_0102</t>
        </is>
      </c>
      <c r="HU28">
        <v>1</v>
      </c>
      <c r="HV28">
        <v>1</v>
      </c>
      <c r="HW28" t="inlineStr">
        <is>
          <t xml:space="preserve">!</t>
        </is>
      </c>
      <c r="HX28">
        <v>1</v>
      </c>
      <c r="JJ28">
        <v>1</v>
      </c>
      <c r="JK28" t="inlineStr">
        <is>
          <t xml:space="preserve">!</t>
        </is>
      </c>
      <c r="JL28">
        <v>1</v>
      </c>
      <c r="JM28" t="inlineStr">
        <is>
          <t xml:space="preserve">ARABIC_INDIC_1</t>
        </is>
      </c>
      <c r="JR28">
        <v>1</v>
      </c>
      <c r="JS28" t="inlineStr">
        <is>
          <t xml:space="preserve">!</t>
        </is>
      </c>
      <c r="JT28">
        <v>1</v>
      </c>
      <c r="JU28" t="inlineStr">
        <is>
          <t xml:space="preserve">ETHIOPIC_1369</t>
        </is>
      </c>
      <c r="KD28">
        <v>1</v>
      </c>
      <c r="KE28" t="inlineStr">
        <is>
          <t xml:space="preserve">!</t>
        </is>
      </c>
      <c r="KF28">
        <v>1</v>
      </c>
      <c r="KG28" t="inlineStr">
        <is>
          <t xml:space="preserve">ARABIC_INDIC_1</t>
        </is>
      </c>
      <c r="KH28">
        <v>1</v>
      </c>
      <c r="KI28" t="inlineStr">
        <is>
          <t xml:space="preserve">!</t>
        </is>
      </c>
      <c r="KJ28">
        <v>1</v>
      </c>
      <c r="KK28" t="inlineStr">
        <is>
          <t xml:space="preserve">ARABIC_INDIC_1</t>
        </is>
      </c>
      <c r="KL28">
        <v>1</v>
      </c>
      <c r="KM28" t="inlineStr">
        <is>
          <t xml:space="preserve">!</t>
        </is>
      </c>
      <c r="KN28">
        <v>1</v>
      </c>
      <c r="KO28" t="inlineStr">
        <is>
          <t xml:space="preserve">ARABIC_INDIC_1</t>
        </is>
      </c>
      <c r="LA28" t="inlineStr">
        <is>
          <t xml:space="preserve">U"\f\f\f" PLUS_MINUS</t>
        </is>
      </c>
      <c r="LB28">
        <v>1</v>
      </c>
      <c r="LC28" t="inlineStr">
        <is>
          <t xml:space="preserve">!</t>
        </is>
      </c>
      <c r="LD28">
        <v>1</v>
      </c>
      <c r="LE28" t="inlineStr">
        <is>
          <t xml:space="preserve">|</t>
        </is>
      </c>
      <c r="LJ28" t="inlineStr">
        <is>
          <t xml:space="preserve">&amp;</t>
        </is>
      </c>
      <c r="LK28">
        <v>1</v>
      </c>
      <c r="LN28">
        <v>1</v>
      </c>
      <c r="LO28" t="inlineStr">
        <is>
          <t xml:space="preserve">!</t>
        </is>
      </c>
      <c r="LP28">
        <v>1</v>
      </c>
      <c r="LQ28" t="inlineStr">
        <is>
          <t xml:space="preserve">|</t>
        </is>
      </c>
      <c r="LR28">
        <v>1</v>
      </c>
      <c r="LS28" t="inlineStr">
        <is>
          <t xml:space="preserve">!</t>
        </is>
      </c>
      <c r="LT28">
        <v>1</v>
      </c>
      <c r="LU28" t="inlineStr">
        <is>
          <t xml:space="preserve">|</t>
        </is>
      </c>
      <c r="LV28">
        <v>1</v>
      </c>
      <c r="LW28" t="inlineStr">
        <is>
          <t xml:space="preserve">!</t>
        </is>
      </c>
      <c r="LX28">
        <v>1</v>
      </c>
      <c r="LY28" t="inlineStr">
        <is>
          <t xml:space="preserve">|</t>
        </is>
      </c>
      <c r="LZ28">
        <v>1</v>
      </c>
      <c r="MA28" t="inlineStr">
        <is>
          <t xml:space="preserve">!</t>
        </is>
      </c>
      <c r="MB28">
        <v>1</v>
      </c>
      <c r="MC28" t="inlineStr">
        <is>
          <t xml:space="preserve">|</t>
        </is>
      </c>
      <c r="MD28">
        <v>1</v>
      </c>
      <c r="ME28" t="inlineStr">
        <is>
          <t xml:space="preserve">!</t>
        </is>
      </c>
      <c r="MF28">
        <v>1</v>
      </c>
      <c r="MG28" t="inlineStr">
        <is>
          <t xml:space="preserve">|</t>
        </is>
      </c>
      <c r="MH28">
        <v>1</v>
      </c>
      <c r="MI28" t="inlineStr">
        <is>
          <t xml:space="preserve">!</t>
        </is>
      </c>
      <c r="MJ28">
        <v>1</v>
      </c>
      <c r="MK28" t="inlineStr">
        <is>
          <t xml:space="preserve">|</t>
        </is>
      </c>
      <c r="ML28">
        <v>1</v>
      </c>
      <c r="MM28" t="inlineStr">
        <is>
          <t xml:space="preserve">!</t>
        </is>
      </c>
      <c r="MN28">
        <v>1</v>
      </c>
      <c r="MO28" t="inlineStr">
        <is>
          <t xml:space="preserve">|</t>
        </is>
      </c>
      <c r="MP28">
        <v>1</v>
      </c>
      <c r="MQ28" t="inlineStr">
        <is>
          <t xml:space="preserve">!</t>
        </is>
      </c>
      <c r="MR28">
        <v>1</v>
      </c>
      <c r="MS28" t="inlineStr">
        <is>
          <t xml:space="preserve">|</t>
        </is>
      </c>
      <c r="MT28">
        <v>1</v>
      </c>
      <c r="MU28" t="inlineStr">
        <is>
          <t xml:space="preserve">!</t>
        </is>
      </c>
      <c r="MV28">
        <v>1</v>
      </c>
      <c r="MW28" t="inlineStr">
        <is>
          <t xml:space="preserve">|</t>
        </is>
      </c>
      <c r="MX28">
        <v>1</v>
      </c>
      <c r="MY28" t="inlineStr">
        <is>
          <t xml:space="preserve">!</t>
        </is>
      </c>
      <c r="MZ28">
        <v>1</v>
      </c>
      <c r="NA28" t="inlineStr">
        <is>
          <t xml:space="preserve">|</t>
        </is>
      </c>
      <c r="NB28">
        <v>1</v>
      </c>
      <c r="NC28" t="inlineStr">
        <is>
          <t xml:space="preserve">!</t>
        </is>
      </c>
      <c r="ND28">
        <v>1</v>
      </c>
      <c r="NE28" t="inlineStr">
        <is>
          <t xml:space="preserve">|</t>
        </is>
      </c>
      <c r="NF28">
        <v>1</v>
      </c>
      <c r="NG28" t="inlineStr">
        <is>
          <t xml:space="preserve">!</t>
        </is>
      </c>
      <c r="NH28">
        <v>1</v>
      </c>
      <c r="NI28" t="inlineStr">
        <is>
          <t xml:space="preserve">|</t>
        </is>
      </c>
      <c r="NJ28">
        <v>1</v>
      </c>
      <c r="NK28" t="inlineStr">
        <is>
          <t xml:space="preserve">!</t>
        </is>
      </c>
      <c r="NL28">
        <v>1</v>
      </c>
      <c r="NM28" t="inlineStr">
        <is>
          <t xml:space="preserve">|</t>
        </is>
      </c>
      <c r="NN28">
        <v>1</v>
      </c>
      <c r="NO28" t="inlineStr">
        <is>
          <t xml:space="preserve">!</t>
        </is>
      </c>
      <c r="NP28">
        <v>1</v>
      </c>
      <c r="NQ28" t="inlineStr">
        <is>
          <t xml:space="preserve">|</t>
        </is>
      </c>
      <c r="NR28">
        <v>1</v>
      </c>
      <c r="NS28" t="inlineStr">
        <is>
          <t xml:space="preserve">!</t>
        </is>
      </c>
      <c r="NT28">
        <v>1</v>
      </c>
      <c r="NU28" t="inlineStr">
        <is>
          <t xml:space="preserve">|</t>
        </is>
      </c>
      <c r="NV28">
        <v>1</v>
      </c>
      <c r="NW28" t="inlineStr">
        <is>
          <t xml:space="preserve">!</t>
        </is>
      </c>
      <c r="NZ28" t="inlineStr">
        <is>
          <t xml:space="preserve">&amp;</t>
        </is>
      </c>
      <c r="OA28">
        <v>1</v>
      </c>
      <c r="OB28" t="inlineStr">
        <is>
          <t xml:space="preserve">&amp;</t>
        </is>
      </c>
      <c r="OC28" t="inlineStr">
        <is>
          <t xml:space="preserve">|</t>
        </is>
      </c>
      <c r="OD28">
        <v>1</v>
      </c>
      <c r="OE28" t="inlineStr">
        <is>
          <t xml:space="preserve">!</t>
        </is>
      </c>
      <c r="OF28">
        <v>1</v>
      </c>
      <c r="OG28" t="inlineStr">
        <is>
          <t xml:space="preserve">|</t>
        </is>
      </c>
      <c r="OL28">
        <v>1</v>
      </c>
      <c r="OM28" t="inlineStr">
        <is>
          <t xml:space="preserve">!</t>
        </is>
      </c>
      <c r="ON28">
        <v>1</v>
      </c>
      <c r="OO28" t="inlineStr">
        <is>
          <t xml:space="preserve">MOD_TILDE</t>
        </is>
      </c>
      <c r="OP28">
        <v>1</v>
      </c>
      <c r="OQ28" t="inlineStr">
        <is>
          <t xml:space="preserve">+</t>
        </is>
      </c>
      <c r="OR28">
        <v>1</v>
      </c>
      <c r="OS28" t="inlineStr">
        <is>
          <t xml:space="preserve">|</t>
        </is>
      </c>
      <c r="OT28">
        <v>1</v>
      </c>
      <c r="OU28" t="inlineStr">
        <is>
          <t xml:space="preserve">!</t>
        </is>
      </c>
      <c r="OV28">
        <v>1</v>
      </c>
      <c r="OW28" t="inlineStr">
        <is>
          <t xml:space="preserve">MOD_TILDE</t>
        </is>
      </c>
      <c r="OX28">
        <v>1</v>
      </c>
      <c r="OY28" t="inlineStr">
        <is>
          <t xml:space="preserve">!</t>
        </is>
      </c>
      <c r="OZ28">
        <v>1</v>
      </c>
      <c r="PB28">
        <v>1</v>
      </c>
      <c r="PC28" t="inlineStr">
        <is>
          <t xml:space="preserve">!</t>
        </is>
      </c>
      <c r="PD28">
        <v>1</v>
      </c>
      <c r="PE28" t="inlineStr">
        <is>
          <t xml:space="preserve">ARABIC_INDIC_1</t>
        </is>
      </c>
      <c r="PF28">
        <v>1</v>
      </c>
      <c r="PG28" t="inlineStr">
        <is>
          <t xml:space="preserve">!</t>
        </is>
      </c>
      <c r="PH28">
        <v>1</v>
      </c>
      <c r="PI28" t="inlineStr">
        <is>
          <t xml:space="preserve">ARABIC_INDIC_1</t>
        </is>
      </c>
      <c r="PJ28">
        <v>1</v>
      </c>
      <c r="PK28" t="inlineStr">
        <is>
          <t xml:space="preserve">!</t>
        </is>
      </c>
      <c r="PL28">
        <v>1</v>
      </c>
      <c r="PM28" t="inlineStr">
        <is>
          <t xml:space="preserve">ARABIC_INDIC_1</t>
        </is>
      </c>
      <c r="PN28">
        <v>1</v>
      </c>
      <c r="PO28" t="inlineStr">
        <is>
          <t xml:space="preserve">!</t>
        </is>
      </c>
      <c r="PP28">
        <v>1</v>
      </c>
      <c r="PQ28" t="inlineStr">
        <is>
          <t xml:space="preserve">ARABIC_INDIC_1</t>
        </is>
      </c>
      <c r="PR28">
        <v>1</v>
      </c>
      <c r="PS28" t="inlineStr">
        <is>
          <t xml:space="preserve">!</t>
        </is>
      </c>
      <c r="PT28">
        <v>1</v>
      </c>
      <c r="PU28" t="inlineStr">
        <is>
          <t xml:space="preserve">ARABIC_INDIC_1</t>
        </is>
      </c>
      <c r="PV28">
        <v>1</v>
      </c>
      <c r="PW28" t="inlineStr">
        <is>
          <t xml:space="preserve">!</t>
        </is>
      </c>
      <c r="PX28">
        <v>1</v>
      </c>
      <c r="PY28" t="inlineStr">
        <is>
          <t xml:space="preserve">ARABIC_INDIC_1</t>
        </is>
      </c>
      <c r="PZ28">
        <v>1</v>
      </c>
      <c r="QA28" t="inlineStr">
        <is>
          <t xml:space="preserve">!</t>
        </is>
      </c>
      <c r="QB28">
        <v>1</v>
      </c>
      <c r="QC28" t="inlineStr">
        <is>
          <t xml:space="preserve">ARABIC_INDIC_1</t>
        </is>
      </c>
      <c r="QD28">
        <v>1</v>
      </c>
      <c r="QE28" t="inlineStr">
        <is>
          <t xml:space="preserve">!</t>
        </is>
      </c>
      <c r="QF28">
        <v>1</v>
      </c>
      <c r="QG28" t="inlineStr">
        <is>
          <t xml:space="preserve">ARABIC_INDIC_1</t>
        </is>
      </c>
      <c r="QH28">
        <v>1</v>
      </c>
      <c r="QI28" t="inlineStr">
        <is>
          <t xml:space="preserve">!</t>
        </is>
      </c>
      <c r="QJ28">
        <v>1</v>
      </c>
      <c r="QK28" t="inlineStr">
        <is>
          <t xml:space="preserve">ARABIC_INDIC_1</t>
        </is>
      </c>
      <c r="QL28">
        <v>1</v>
      </c>
      <c r="QM28" t="inlineStr">
        <is>
          <t xml:space="preserve">!</t>
        </is>
      </c>
      <c r="QN28">
        <v>1</v>
      </c>
      <c r="QO28" t="inlineStr">
        <is>
          <t xml:space="preserve">ARABIC_INDIC_1</t>
        </is>
      </c>
      <c r="QP28">
        <v>1</v>
      </c>
      <c r="QQ28" t="inlineStr">
        <is>
          <t xml:space="preserve">!</t>
        </is>
      </c>
      <c r="QR28">
        <v>1</v>
      </c>
      <c r="QS28" t="inlineStr">
        <is>
          <t xml:space="preserve">ARABIC_INDIC_1</t>
        </is>
      </c>
      <c r="QT28">
        <v>1</v>
      </c>
      <c r="QU28" t="inlineStr">
        <is>
          <t xml:space="preserve">!</t>
        </is>
      </c>
      <c r="QV28">
        <v>1</v>
      </c>
      <c r="QW28" t="inlineStr">
        <is>
          <t xml:space="preserve">ARABIC_INDIC_1</t>
        </is>
      </c>
      <c r="QX28">
        <v>1</v>
      </c>
      <c r="QY28" t="inlineStr">
        <is>
          <t xml:space="preserve">!</t>
        </is>
      </c>
      <c r="QZ28">
        <v>1</v>
      </c>
      <c r="RA28" t="inlineStr">
        <is>
          <t xml:space="preserve">ARABIC_INDIC_1</t>
        </is>
      </c>
      <c r="RB28">
        <v>1</v>
      </c>
      <c r="RC28" t="inlineStr">
        <is>
          <t xml:space="preserve">!</t>
        </is>
      </c>
      <c r="RD28">
        <v>1</v>
      </c>
      <c r="RE28" t="inlineStr">
        <is>
          <t xml:space="preserve">ARABIC_INDIC_1</t>
        </is>
      </c>
      <c r="RF28" t="inlineStr">
        <is>
          <t xml:space="preserve">&amp;</t>
        </is>
      </c>
      <c r="RG28">
        <v>1</v>
      </c>
      <c r="RJ28" t="inlineStr">
        <is>
          <t xml:space="preserve">&amp;</t>
        </is>
      </c>
      <c r="RK28">
        <v>1</v>
      </c>
      <c r="RN28" t="inlineStr">
        <is>
          <t xml:space="preserve">&amp;</t>
        </is>
      </c>
      <c r="RO28">
        <v>1</v>
      </c>
      <c r="RR28" t="inlineStr">
        <is>
          <t xml:space="preserve">&amp;</t>
        </is>
      </c>
      <c r="RS28">
        <v>1</v>
      </c>
      <c r="RV28" t="inlineStr">
        <is>
          <t xml:space="preserve">&amp;</t>
        </is>
      </c>
      <c r="RW28">
        <v>1</v>
      </c>
      <c r="SP28">
        <v>1</v>
      </c>
      <c r="SQ28" t="inlineStr">
        <is>
          <t xml:space="preserve">!</t>
        </is>
      </c>
      <c r="SR28">
        <v>1</v>
      </c>
      <c r="ST28">
        <v>1</v>
      </c>
      <c r="SU28" t="inlineStr">
        <is>
          <t xml:space="preserve">!</t>
        </is>
      </c>
      <c r="SV28">
        <v>1</v>
      </c>
      <c r="SX28" t="inlineStr">
        <is>
          <t xml:space="preserve">BENGALI_09E7</t>
        </is>
      </c>
      <c r="SZ28" t="inlineStr">
        <is>
          <t xml:space="preserve">BENGALI_09E7</t>
        </is>
      </c>
      <c r="TA28" t="inlineStr">
        <is>
          <t xml:space="preserve">1</t>
        </is>
      </c>
      <c r="TV28">
        <v>1</v>
      </c>
      <c r="TW28" t="inlineStr">
        <is>
          <t xml:space="preserve">!</t>
        </is>
      </c>
      <c r="TX28">
        <v>1</v>
      </c>
      <c r="TZ28">
        <v>1</v>
      </c>
      <c r="UA28" t="inlineStr">
        <is>
          <t xml:space="preserve">!</t>
        </is>
      </c>
      <c r="UB28">
        <v>1</v>
      </c>
      <c r="UT28" t="inlineStr">
        <is>
          <t xml:space="preserve">&amp;</t>
        </is>
      </c>
      <c r="UU28">
        <v>1</v>
      </c>
      <c r="VB28">
        <v>1</v>
      </c>
      <c r="VC28" t="inlineStr">
        <is>
          <t xml:space="preserve">!</t>
        </is>
      </c>
      <c r="VD28">
        <v>1</v>
      </c>
      <c r="VE28" t="inlineStr">
        <is>
          <t xml:space="preserve">|</t>
        </is>
      </c>
      <c r="VF28">
        <v>1</v>
      </c>
      <c r="VG28" t="inlineStr">
        <is>
          <t xml:space="preserve">!</t>
        </is>
      </c>
      <c r="VH28">
        <v>1</v>
      </c>
      <c r="VI28" t="inlineStr">
        <is>
          <t xml:space="preserve">|</t>
        </is>
      </c>
      <c r="VJ28">
        <v>1</v>
      </c>
      <c r="VK28" t="inlineStr">
        <is>
          <t xml:space="preserve">+</t>
        </is>
      </c>
      <c r="VL28">
        <v>1</v>
      </c>
      <c r="VM28" t="inlineStr">
        <is>
          <t xml:space="preserve">|</t>
        </is>
      </c>
      <c r="VZ28">
        <v>1</v>
      </c>
      <c r="WA28" t="inlineStr">
        <is>
          <t xml:space="preserve">+</t>
        </is>
      </c>
      <c r="WB28">
        <v>1</v>
      </c>
      <c r="WC28" t="inlineStr">
        <is>
          <t xml:space="preserve">|</t>
        </is>
      </c>
      <c r="WH28">
        <v>1</v>
      </c>
      <c r="WI28" t="inlineStr">
        <is>
          <t xml:space="preserve">!</t>
        </is>
      </c>
      <c r="WJ28">
        <v>1</v>
      </c>
      <c r="WK28" t="inlineStr">
        <is>
          <t xml:space="preserve">|</t>
        </is>
      </c>
      <c r="WL28">
        <v>1</v>
      </c>
      <c r="WM28" t="inlineStr">
        <is>
          <t xml:space="preserve">!</t>
        </is>
      </c>
      <c r="WN28">
        <v>1</v>
      </c>
      <c r="WO28" t="inlineStr">
        <is>
          <t xml:space="preserve">|</t>
        </is>
      </c>
      <c r="WP28">
        <v>1</v>
      </c>
      <c r="WQ28" t="inlineStr">
        <is>
          <t xml:space="preserve">!</t>
        </is>
      </c>
      <c r="WR28">
        <v>1</v>
      </c>
      <c r="WS28" t="inlineStr">
        <is>
          <t xml:space="preserve">|</t>
        </is>
      </c>
      <c r="WX28">
        <v>1</v>
      </c>
      <c r="WY28" t="inlineStr">
        <is>
          <t xml:space="preserve">!</t>
        </is>
      </c>
      <c r="WZ28">
        <v>1</v>
      </c>
      <c r="XA28" t="inlineStr">
        <is>
          <t xml:space="preserve">|</t>
        </is>
      </c>
      <c r="XB28" t="inlineStr">
        <is>
          <t xml:space="preserve">ARABIC_06F1</t>
        </is>
      </c>
      <c r="XC28" t="inlineStr">
        <is>
          <t xml:space="preserve">!</t>
        </is>
      </c>
      <c r="XD28" t="inlineStr">
        <is>
          <t xml:space="preserve">ARABIC_06F1</t>
        </is>
      </c>
      <c r="XE28" t="inlineStr">
        <is>
          <t xml:space="preserve">`</t>
        </is>
      </c>
      <c r="XF28" t="inlineStr">
        <is>
          <t xml:space="preserve">UCAS_1595</t>
        </is>
      </c>
      <c r="XG28">
        <v>1</v>
      </c>
      <c r="XH28" t="inlineStr">
        <is>
          <t xml:space="preserve">UCAS_1595</t>
        </is>
      </c>
      <c r="XO28" t="inlineStr">
        <is>
          <t xml:space="preserve">CHEROKEE_13B1</t>
        </is>
      </c>
    </row>
    <row r="29" s="116" customFormat="true" ht="15" hidden="false" customHeight="false" outlineLevel="0" collapsed="false">
      <c r="A29" s="93" t="s">
        <v>1238</v>
      </c>
      <c r="B29" s="94" t="n">
        <v>2</v>
      </c>
      <c r="C29" s="94" t="s">
        <v>1195</v>
      </c>
      <c r="D29" s="94" t="n">
        <v>2</v>
      </c>
      <c r="E29" s="94"/>
      <c r="F29" s="95" t="n">
        <v>2</v>
      </c>
      <c r="G29" s="95" t="s">
        <v>8</v>
      </c>
      <c r="H29" s="95"/>
      <c r="I29" s="95" t="s">
        <v>76</v>
      </c>
      <c r="J29" t="inlineStr">
        <is>
          <t xml:space="preserve">U"\f\f" E_WITH_ACUTE_SMALL</t>
        </is>
      </c>
      <c r="K29" s="96" t="n">
        <v>2</v>
      </c>
      <c r="L29" s="96"/>
      <c r="M29" s="96" t="s">
        <v>1234</v>
      </c>
      <c r="N29" s="97" t="n">
        <v>2</v>
      </c>
      <c r="O29" s="97" t="s">
        <v>8</v>
      </c>
      <c r="P29" s="97" t="n">
        <v>2</v>
      </c>
      <c r="Q29" s="97" t="s">
        <v>1195</v>
      </c>
      <c r="R29" s="98" t="n">
        <v>2</v>
      </c>
      <c r="S29" s="98" t="s">
        <v>8</v>
      </c>
      <c r="T29" s="98" t="n">
        <v>2</v>
      </c>
      <c r="U29" s="98" t="s">
        <v>1195</v>
      </c>
      <c r="V29" s="99" t="n">
        <v>2</v>
      </c>
      <c r="W29" s="99" t="s">
        <v>8</v>
      </c>
      <c r="X29" s="99" t="n">
        <v>2</v>
      </c>
      <c r="Y29" s="99"/>
      <c r="Z29" s="100" t="n">
        <v>2</v>
      </c>
      <c r="AA29" s="100" t="s">
        <v>1222</v>
      </c>
      <c r="AB29" s="100" t="n">
        <v>2</v>
      </c>
      <c r="AC29" t="inlineStr">
        <is>
          <t xml:space="preserve">U"\f\f\f" POUND_SIGN</t>
        </is>
      </c>
      <c r="AD29" s="101" t="n">
        <v>2</v>
      </c>
      <c r="AE29" s="101" t="s">
        <v>1195</v>
      </c>
      <c r="AF29" s="101" t="n">
        <v>2</v>
      </c>
      <c r="AG29" s="101"/>
      <c r="AH29" t="inlineStr">
        <is>
          <t xml:space="preserve">2</t>
        </is>
      </c>
      <c r="AI29" t="inlineStr">
        <is>
          <t xml:space="preserve">QUOTE</t>
        </is>
      </c>
      <c r="AJ29" t="inlineStr">
        <is>
          <t xml:space="preserve">2</t>
        </is>
      </c>
      <c r="AK29" t="inlineStr">
        <is>
          <t xml:space="preserve">HIRAGANA_HU</t>
        </is>
      </c>
      <c r="AL29" s="103" t="n">
        <v>2</v>
      </c>
      <c r="AM29" s="103" t="s">
        <v>1195</v>
      </c>
      <c r="AN29" s="103" t="n">
        <v>2</v>
      </c>
      <c r="AO29" s="103" t="s">
        <v>627</v>
      </c>
      <c r="AP29" s="104" t="n">
        <v>2</v>
      </c>
      <c r="AQ29" s="104" t="s">
        <v>1195</v>
      </c>
      <c r="AR29" s="104" t="n">
        <v>2</v>
      </c>
      <c r="AS29" t="inlineStr">
        <is>
          <t xml:space="preserve">U" " SUPER_SCRIPT_2</t>
        </is>
      </c>
      <c r="AT29" s="105" t="n">
        <v>2</v>
      </c>
      <c r="AU29" s="105" t="s">
        <v>8</v>
      </c>
      <c r="AV29" s="105" t="n">
        <v>2</v>
      </c>
      <c r="AW29" s="105" t="s">
        <v>66</v>
      </c>
      <c r="AX29" s="106" t="n">
        <v>2</v>
      </c>
      <c r="AY29" s="106" t="s">
        <v>8</v>
      </c>
      <c r="AZ29" s="106" t="n">
        <v>2</v>
      </c>
      <c r="BA29" s="106"/>
      <c r="BB29" s="107" t="n">
        <v>2</v>
      </c>
      <c r="BC29" s="107" t="s">
        <v>8</v>
      </c>
      <c r="BD29" s="107" t="n">
        <v>2</v>
      </c>
      <c r="BE29" s="107"/>
      <c r="BF29" t="inlineStr">
        <is>
          <t xml:space="preserve">U"\f\f" CYRILLIC_SM_SCHWA</t>
        </is>
      </c>
      <c r="BG29" t="inlineStr">
        <is>
          <t xml:space="preserve">CYRILLIC_SCHWA</t>
        </is>
      </c>
      <c r="BH29" s="108"/>
      <c r="BI29" s="108"/>
      <c r="BJ29" s="109" t="n">
        <v>2</v>
      </c>
      <c r="BK29" s="109" t="s">
        <v>1180</v>
      </c>
      <c r="BL29" s="109" t="n">
        <v>2</v>
      </c>
      <c r="BM29" s="109"/>
      <c r="BN29" s="95" t="n">
        <v>2</v>
      </c>
      <c r="BO29" s="95" t="s">
        <v>8</v>
      </c>
      <c r="BP29" s="95"/>
      <c r="BQ29" s="95" t="s">
        <v>186</v>
      </c>
      <c r="BR29" s="110" t="n">
        <v>2</v>
      </c>
      <c r="BS29" s="110" t="s">
        <v>1195</v>
      </c>
      <c r="BT29" s="110"/>
      <c r="BU29" t="inlineStr">
        <is>
          <t xml:space="preserve">U" " MOD_CARON</t>
        </is>
      </c>
      <c r="BZ29" s="111" t="n">
        <v>2</v>
      </c>
      <c r="CA29" s="111" t="s">
        <v>8</v>
      </c>
      <c r="CB29" s="111" t="n">
        <v>2</v>
      </c>
      <c r="CC29" s="111" t="s">
        <v>76</v>
      </c>
      <c r="CD29" s="95" t="n">
        <v>2</v>
      </c>
      <c r="CE29" s="95" t="s">
        <v>1195</v>
      </c>
      <c r="CF29" s="95"/>
      <c r="CG29" s="128" t="s">
        <v>449</v>
      </c>
      <c r="CH29" s="112" t="n">
        <v>2</v>
      </c>
      <c r="CI29" s="112" t="s">
        <v>8</v>
      </c>
      <c r="CJ29" s="112" t="n">
        <v>2</v>
      </c>
      <c r="CK29" t="inlineStr">
        <is>
          <t xml:space="preserve">U"\b\b@"</t>
        </is>
      </c>
      <c r="CL29" s="113" t="n">
        <v>2</v>
      </c>
      <c r="CM29" s="113" t="s">
        <v>8</v>
      </c>
      <c r="CN29" s="113" t="n">
        <v>2</v>
      </c>
      <c r="CO29" t="inlineStr">
        <is>
          <t xml:space="preserve">U"\b\b@"</t>
        </is>
      </c>
      <c r="CP29" s="84" t="n">
        <v>2</v>
      </c>
      <c r="CQ29" s="84" t="s">
        <v>8</v>
      </c>
      <c r="CR29" s="84" t="n">
        <v>2</v>
      </c>
      <c r="CS29" t="inlineStr">
        <is>
          <t xml:space="preserve">U"\b\b@"</t>
        </is>
      </c>
      <c r="CT29" s="110" t="n">
        <v>2</v>
      </c>
      <c r="CU29" s="110" t="s">
        <v>8</v>
      </c>
      <c r="CV29" s="110" t="n">
        <v>2</v>
      </c>
      <c r="CW29" t="inlineStr">
        <is>
          <t xml:space="preserve">U"\b\b@"</t>
        </is>
      </c>
      <c r="CX29" s="114" t="n">
        <v>2</v>
      </c>
      <c r="CY29" s="114" t="s">
        <v>1195</v>
      </c>
      <c r="CZ29" s="114" t="n">
        <v>2</v>
      </c>
      <c r="DA29" t="inlineStr">
        <is>
          <t xml:space="preserve">U" " MOD_CARON</t>
        </is>
      </c>
      <c r="DB29" t="inlineStr">
        <is>
          <t xml:space="preserve">U"\f\f\f\f" LATIN_0115</t>
        </is>
      </c>
      <c r="DC29" s="115" t="n">
        <v>2</v>
      </c>
      <c r="DD29" s="115" t="n">
        <v>2</v>
      </c>
      <c r="DE29" t="inlineStr">
        <is>
          <t xml:space="preserve">U" " MOD_CARON</t>
        </is>
      </c>
      <c r="DF29">
        <v>2</v>
      </c>
      <c r="DG29" t="inlineStr">
        <is>
          <t xml:space="preserve">QUOTE</t>
        </is>
      </c>
      <c r="DH29">
        <v>2</v>
      </c>
      <c r="DI29" t="inlineStr">
        <is>
          <t xml:space="preserve">MOD_CARON</t>
        </is>
      </c>
      <c r="DJ29" t="inlineStr">
        <is>
          <t xml:space="preserve">LATIN_013E</t>
        </is>
      </c>
      <c r="DK29">
        <v>2</v>
      </c>
      <c r="DL29">
        <v>2</v>
      </c>
      <c r="DM29" t="inlineStr">
        <is>
          <t xml:space="preserve">MOD_CARON</t>
        </is>
      </c>
      <c r="DN29" t="inlineStr">
        <is>
          <t xml:space="preserve">U"\f\f" LATIN_010D</t>
        </is>
      </c>
      <c r="DO29" t="inlineStr">
        <is>
          <t xml:space="preserve">LATIN_010C</t>
        </is>
      </c>
      <c r="DQ29">
        <v>2</v>
      </c>
      <c r="DU29" t="inlineStr">
        <is>
          <t xml:space="preserve">SUPER_SCRIPT_2</t>
        </is>
      </c>
      <c r="DV29">
        <v>2</v>
      </c>
      <c r="DW29" t="inlineStr">
        <is>
          <t xml:space="preserve">QUOTE</t>
        </is>
      </c>
      <c r="DX29">
        <v>2</v>
      </c>
      <c r="DY29" t="inlineStr">
        <is>
          <t xml:space="preserve">@</t>
        </is>
      </c>
      <c r="EC29" t="inlineStr">
        <is>
          <t xml:space="preserve">SUPER_SCRIPT_2</t>
        </is>
      </c>
      <c r="ED29">
        <v>2</v>
      </c>
      <c r="EE29" t="inlineStr">
        <is>
          <t xml:space="preserve">QUOTE</t>
        </is>
      </c>
      <c r="EF29">
        <v>2</v>
      </c>
      <c r="EH29">
        <v>2</v>
      </c>
      <c r="EI29" t="inlineStr">
        <is>
          <t xml:space="preserve">QUOTE</t>
        </is>
      </c>
      <c r="EJ29">
        <v>2</v>
      </c>
      <c r="EO29" t="inlineStr">
        <is>
          <t xml:space="preserve">ARABIC_EXT_INDIC_2</t>
        </is>
      </c>
      <c r="EP29" t="inlineStr">
        <is>
          <t xml:space="preserve">DEVANAGARI_0968</t>
        </is>
      </c>
      <c r="EQ29" t="inlineStr">
        <is>
          <t xml:space="preserve">DEVA_DC_0945</t>
        </is>
      </c>
      <c r="ER29" t="inlineStr">
        <is>
          <t xml:space="preserve">DEVANAGARI_0968</t>
        </is>
      </c>
      <c r="ET29" t="inlineStr">
        <is>
          <t xml:space="preserve">DEVANAGARI_0968</t>
        </is>
      </c>
      <c r="EU29" t="inlineStr">
        <is>
          <t xml:space="preserve">DEVA_DC_0945</t>
        </is>
      </c>
      <c r="EV29" t="inlineStr">
        <is>
          <t xml:space="preserve">DEVANAGARI_0968</t>
        </is>
      </c>
      <c r="EX29" t="inlineStr">
        <is>
          <t xml:space="preserve">DEVANAGARI_0968</t>
        </is>
      </c>
      <c r="EY29" t="inlineStr">
        <is>
          <t xml:space="preserve">DEVA_DC_0945</t>
        </is>
      </c>
      <c r="EZ29" t="inlineStr">
        <is>
          <t xml:space="preserve">DEVANAGARI_0968</t>
        </is>
      </c>
      <c r="FB29">
        <v>2</v>
      </c>
      <c r="FC29" t="inlineStr">
        <is>
          <t xml:space="preserve">-</t>
        </is>
      </c>
      <c r="FD29">
        <v>2</v>
      </c>
      <c r="FF29">
        <v>2</v>
      </c>
      <c r="FG29" t="inlineStr">
        <is>
          <t xml:space="preserve">@</t>
        </is>
      </c>
      <c r="FH29">
        <v>2</v>
      </c>
      <c r="FI29" t="inlineStr">
        <is>
          <t xml:space="preserve">ARABIC_EXT_INDIC_2</t>
        </is>
      </c>
      <c r="FJ29">
        <v>2</v>
      </c>
      <c r="FK29" t="inlineStr">
        <is>
          <t xml:space="preserve">QUOTE</t>
        </is>
      </c>
      <c r="FL29">
        <v>2</v>
      </c>
      <c r="FR29">
        <v>2</v>
      </c>
      <c r="FS29" t="inlineStr">
        <is>
          <t xml:space="preserve">QUOTE</t>
        </is>
      </c>
      <c r="FT29">
        <v>2</v>
      </c>
      <c r="FU29" t="inlineStr">
        <is>
          <t xml:space="preserve">@</t>
        </is>
      </c>
      <c r="FV29" t="inlineStr">
        <is>
          <t xml:space="preserve">E_WITH_ACUTE_SMALL</t>
        </is>
      </c>
      <c r="FW29">
        <v>2</v>
      </c>
      <c r="FX29" t="inlineStr">
        <is>
          <t xml:space="preserve">E_WITH_ACUTE_SMALL</t>
        </is>
      </c>
      <c r="FY29" t="inlineStr">
        <is>
          <t xml:space="preserve">@</t>
        </is>
      </c>
      <c r="FZ29">
        <v>2</v>
      </c>
      <c r="GA29" t="inlineStr">
        <is>
          <t xml:space="preserve">QUOTE</t>
        </is>
      </c>
      <c r="GB29">
        <v>2</v>
      </c>
      <c r="GC29" t="inlineStr">
        <is>
          <t xml:space="preserve">@</t>
        </is>
      </c>
      <c r="GD29" t="inlineStr">
        <is>
          <t xml:space="preserve">/</t>
        </is>
      </c>
      <c r="GE29" t="inlineStr">
        <is>
          <t xml:space="preserve">THAI_0E51</t>
        </is>
      </c>
      <c r="GF29" t="inlineStr">
        <is>
          <t xml:space="preserve">/</t>
        </is>
      </c>
      <c r="GG29">
        <v>2</v>
      </c>
      <c r="GH29" t="inlineStr">
        <is>
          <t xml:space="preserve">BENGALI_09E8</t>
        </is>
      </c>
      <c r="GJ29" t="inlineStr">
        <is>
          <t xml:space="preserve">BENGALI_09E8</t>
        </is>
      </c>
      <c r="GL29" t="inlineStr">
        <is>
          <t xml:space="preserve">TELUGU_0C68</t>
        </is>
      </c>
      <c r="GN29" t="inlineStr">
        <is>
          <t xml:space="preserve">TELUGU_0C68</t>
        </is>
      </c>
      <c r="GP29" t="inlineStr">
        <is>
          <t xml:space="preserve">TAMIL_0BE8</t>
        </is>
      </c>
      <c r="GR29" t="inlineStr">
        <is>
          <t xml:space="preserve">TAMIL_0BE8</t>
        </is>
      </c>
      <c r="GT29" t="inlineStr">
        <is>
          <t xml:space="preserve">ZHUYIN_3109</t>
        </is>
      </c>
      <c r="GV29" t="inlineStr">
        <is>
          <t xml:space="preserve">ZHUYIN_3109</t>
        </is>
      </c>
      <c r="GW29">
        <v>2</v>
      </c>
      <c r="HB29" t="inlineStr">
        <is>
          <t xml:space="preserve">ARMENIAN_0571</t>
        </is>
      </c>
      <c r="HC29" t="inlineStr">
        <is>
          <t xml:space="preserve">ARMENIAN_0541</t>
        </is>
      </c>
      <c r="HE29">
        <v>2</v>
      </c>
      <c r="HJ29">
        <v>2</v>
      </c>
      <c r="HK29" t="inlineStr">
        <is>
          <t xml:space="preserve">QUOTE</t>
        </is>
      </c>
      <c r="HL29">
        <v>2</v>
      </c>
      <c r="HM29" t="inlineStr">
        <is>
          <t xml:space="preserve">@</t>
        </is>
      </c>
      <c r="HN29">
        <v>2</v>
      </c>
      <c r="HO29" t="inlineStr">
        <is>
          <t xml:space="preserve">QUOTE</t>
        </is>
      </c>
      <c r="HP29">
        <v>2</v>
      </c>
      <c r="HR29" t="inlineStr">
        <is>
          <t xml:space="preserve">LATIN_00E2</t>
        </is>
      </c>
      <c r="HS29" t="inlineStr">
        <is>
          <t xml:space="preserve">LATIN_00C2</t>
        </is>
      </c>
      <c r="HU29">
        <v>2</v>
      </c>
      <c r="HV29">
        <v>2</v>
      </c>
      <c r="HW29" t="inlineStr">
        <is>
          <t xml:space="preserve">MIDDLE_DOT</t>
        </is>
      </c>
      <c r="HX29">
        <v>2</v>
      </c>
      <c r="JE29" t="inlineStr">
        <is>
          <t xml:space="preserve">YEN_SIGN</t>
        </is>
      </c>
      <c r="JI29" t="inlineStr">
        <is>
          <t xml:space="preserve">YEN_SIGN</t>
        </is>
      </c>
      <c r="JJ29">
        <v>2</v>
      </c>
      <c r="JK29" t="inlineStr">
        <is>
          <t xml:space="preserve">@</t>
        </is>
      </c>
      <c r="JL29">
        <v>2</v>
      </c>
      <c r="JM29" t="inlineStr">
        <is>
          <t xml:space="preserve">ARABIC_INDIC_2</t>
        </is>
      </c>
      <c r="JR29">
        <v>2</v>
      </c>
      <c r="JS29" t="inlineStr">
        <is>
          <t xml:space="preserve">@</t>
        </is>
      </c>
      <c r="JT29">
        <v>2</v>
      </c>
      <c r="JU29" t="inlineStr">
        <is>
          <t xml:space="preserve">ETHIOPIC_136A</t>
        </is>
      </c>
      <c r="KD29">
        <v>2</v>
      </c>
      <c r="KE29" t="inlineStr">
        <is>
          <t xml:space="preserve">@</t>
        </is>
      </c>
      <c r="KF29">
        <v>2</v>
      </c>
      <c r="KG29" t="inlineStr">
        <is>
          <t xml:space="preserve">ARABIC_INDIC_2</t>
        </is>
      </c>
      <c r="KH29">
        <v>2</v>
      </c>
      <c r="KI29" t="inlineStr">
        <is>
          <t xml:space="preserve">@</t>
        </is>
      </c>
      <c r="KJ29">
        <v>2</v>
      </c>
      <c r="KK29" t="inlineStr">
        <is>
          <t xml:space="preserve">ARABIC_INDIC_2</t>
        </is>
      </c>
      <c r="KL29">
        <v>2</v>
      </c>
      <c r="KM29" t="inlineStr">
        <is>
          <t xml:space="preserve">@</t>
        </is>
      </c>
      <c r="KN29">
        <v>2</v>
      </c>
      <c r="KO29" t="inlineStr">
        <is>
          <t xml:space="preserve">ARABIC_INDIC_2</t>
        </is>
      </c>
      <c r="LJ29" t="inlineStr">
        <is>
          <t xml:space="preserve">U"\f\f" E_WITH_ACUTE_SMALL</t>
        </is>
      </c>
      <c r="LK29">
        <v>2</v>
      </c>
      <c r="LM29" t="inlineStr">
        <is>
          <t xml:space="preserve">~</t>
        </is>
      </c>
      <c r="NV29">
        <v>2</v>
      </c>
      <c r="NW29" t="inlineStr">
        <is>
          <t xml:space="preserve">QUOTE</t>
        </is>
      </c>
      <c r="NY29" t="inlineStr">
        <is>
          <t xml:space="preserve">SUPER_SCRIPT_2</t>
        </is>
      </c>
      <c r="NZ29" t="inlineStr">
        <is>
          <t xml:space="preserve">U"\f\f\f" E_WITH_ACUTE_SMALL</t>
        </is>
      </c>
      <c r="OA29">
        <v>2</v>
      </c>
      <c r="OB29" t="inlineStr">
        <is>
          <t xml:space="preserve">E_WITH_ACUTE_SMALL</t>
        </is>
      </c>
      <c r="OC29" t="inlineStr">
        <is>
          <t xml:space="preserve">@</t>
        </is>
      </c>
      <c r="OD29">
        <v>2</v>
      </c>
      <c r="OE29" t="inlineStr">
        <is>
          <t xml:space="preserve">QUOTE</t>
        </is>
      </c>
      <c r="OF29">
        <v>2</v>
      </c>
      <c r="OG29" t="inlineStr">
        <is>
          <t xml:space="preserve">@</t>
        </is>
      </c>
      <c r="OH29">
        <v>2</v>
      </c>
      <c r="OI29" t="inlineStr">
        <is>
          <t xml:space="preserve">QUOTE</t>
        </is>
      </c>
      <c r="OJ29">
        <v>2</v>
      </c>
      <c r="OL29">
        <v>2</v>
      </c>
      <c r="OM29" t="inlineStr">
        <is>
          <t xml:space="preserve">QUOTE</t>
        </is>
      </c>
      <c r="ON29">
        <v>2</v>
      </c>
      <c r="OO29" t="inlineStr">
        <is>
          <t xml:space="preserve">MOD_CARON</t>
        </is>
      </c>
      <c r="OP29">
        <v>2</v>
      </c>
      <c r="OQ29" t="inlineStr">
        <is>
          <t xml:space="preserve">QUOTE</t>
        </is>
      </c>
      <c r="OR29">
        <v>2</v>
      </c>
      <c r="OS29" t="inlineStr">
        <is>
          <t xml:space="preserve">@</t>
        </is>
      </c>
      <c r="OT29">
        <v>2</v>
      </c>
      <c r="OU29" t="inlineStr">
        <is>
          <t xml:space="preserve">QUOTE</t>
        </is>
      </c>
      <c r="OV29">
        <v>2</v>
      </c>
      <c r="OW29" t="inlineStr">
        <is>
          <t xml:space="preserve">MOD_CARON</t>
        </is>
      </c>
      <c r="OX29">
        <v>2</v>
      </c>
      <c r="OY29" t="inlineStr">
        <is>
          <t xml:space="preserve">QUOTE</t>
        </is>
      </c>
      <c r="OZ29">
        <v>2</v>
      </c>
      <c r="PA29" t="inlineStr">
        <is>
          <t xml:space="preserve">U"\b\b@"</t>
        </is>
      </c>
      <c r="PB29">
        <v>2</v>
      </c>
      <c r="PC29" t="inlineStr">
        <is>
          <t xml:space="preserve">@</t>
        </is>
      </c>
      <c r="PD29">
        <v>2</v>
      </c>
      <c r="PE29" t="inlineStr">
        <is>
          <t xml:space="preserve">ARABIC_INDIC_2</t>
        </is>
      </c>
      <c r="PF29">
        <v>2</v>
      </c>
      <c r="PG29" t="inlineStr">
        <is>
          <t xml:space="preserve">@</t>
        </is>
      </c>
      <c r="PH29">
        <v>2</v>
      </c>
      <c r="PI29" t="inlineStr">
        <is>
          <t xml:space="preserve">ARABIC_INDIC_2</t>
        </is>
      </c>
      <c r="PJ29">
        <v>2</v>
      </c>
      <c r="PK29" t="inlineStr">
        <is>
          <t xml:space="preserve">@</t>
        </is>
      </c>
      <c r="PL29">
        <v>2</v>
      </c>
      <c r="PM29" t="inlineStr">
        <is>
          <t xml:space="preserve">ARABIC_INDIC_2</t>
        </is>
      </c>
      <c r="PN29">
        <v>2</v>
      </c>
      <c r="PO29" t="inlineStr">
        <is>
          <t xml:space="preserve">@</t>
        </is>
      </c>
      <c r="PP29">
        <v>2</v>
      </c>
      <c r="PQ29" t="inlineStr">
        <is>
          <t xml:space="preserve">ARABIC_INDIC_2</t>
        </is>
      </c>
      <c r="PR29">
        <v>2</v>
      </c>
      <c r="PS29" t="inlineStr">
        <is>
          <t xml:space="preserve">@</t>
        </is>
      </c>
      <c r="PT29">
        <v>2</v>
      </c>
      <c r="PU29" t="inlineStr">
        <is>
          <t xml:space="preserve">ARABIC_INDIC_2</t>
        </is>
      </c>
      <c r="PV29">
        <v>2</v>
      </c>
      <c r="PW29" t="inlineStr">
        <is>
          <t xml:space="preserve">@</t>
        </is>
      </c>
      <c r="PX29">
        <v>2</v>
      </c>
      <c r="PY29" t="inlineStr">
        <is>
          <t xml:space="preserve">ARABIC_INDIC_2</t>
        </is>
      </c>
      <c r="PZ29">
        <v>2</v>
      </c>
      <c r="QA29" t="inlineStr">
        <is>
          <t xml:space="preserve">@</t>
        </is>
      </c>
      <c r="QB29">
        <v>2</v>
      </c>
      <c r="QC29" t="inlineStr">
        <is>
          <t xml:space="preserve">ARABIC_INDIC_2</t>
        </is>
      </c>
      <c r="QD29">
        <v>2</v>
      </c>
      <c r="QE29" t="inlineStr">
        <is>
          <t xml:space="preserve">@</t>
        </is>
      </c>
      <c r="QF29">
        <v>2</v>
      </c>
      <c r="QG29" t="inlineStr">
        <is>
          <t xml:space="preserve">ARABIC_INDIC_2</t>
        </is>
      </c>
      <c r="QH29">
        <v>2</v>
      </c>
      <c r="QI29" t="inlineStr">
        <is>
          <t xml:space="preserve">@</t>
        </is>
      </c>
      <c r="QJ29">
        <v>2</v>
      </c>
      <c r="QK29" t="inlineStr">
        <is>
          <t xml:space="preserve">ARABIC_INDIC_2</t>
        </is>
      </c>
      <c r="QL29">
        <v>2</v>
      </c>
      <c r="QM29" t="inlineStr">
        <is>
          <t xml:space="preserve">@</t>
        </is>
      </c>
      <c r="QN29">
        <v>2</v>
      </c>
      <c r="QO29" t="inlineStr">
        <is>
          <t xml:space="preserve">ARABIC_INDIC_2</t>
        </is>
      </c>
      <c r="QP29">
        <v>2</v>
      </c>
      <c r="QQ29" t="inlineStr">
        <is>
          <t xml:space="preserve">@</t>
        </is>
      </c>
      <c r="QR29">
        <v>2</v>
      </c>
      <c r="QS29" t="inlineStr">
        <is>
          <t xml:space="preserve">ARABIC_INDIC_2</t>
        </is>
      </c>
      <c r="QT29">
        <v>2</v>
      </c>
      <c r="QU29" t="inlineStr">
        <is>
          <t xml:space="preserve">@</t>
        </is>
      </c>
      <c r="QV29">
        <v>2</v>
      </c>
      <c r="QW29" t="inlineStr">
        <is>
          <t xml:space="preserve">ARABIC_INDIC_2</t>
        </is>
      </c>
      <c r="QX29">
        <v>2</v>
      </c>
      <c r="QY29" t="inlineStr">
        <is>
          <t xml:space="preserve">@</t>
        </is>
      </c>
      <c r="QZ29">
        <v>2</v>
      </c>
      <c r="RA29" t="inlineStr">
        <is>
          <t xml:space="preserve">ARABIC_INDIC_2</t>
        </is>
      </c>
      <c r="RB29">
        <v>2</v>
      </c>
      <c r="RC29" t="inlineStr">
        <is>
          <t xml:space="preserve">@</t>
        </is>
      </c>
      <c r="RD29">
        <v>2</v>
      </c>
      <c r="RE29" t="inlineStr">
        <is>
          <t xml:space="preserve">ARABIC_INDIC_2</t>
        </is>
      </c>
      <c r="RF29" t="inlineStr">
        <is>
          <t xml:space="preserve">U"\f\f" E_WITH_ACUTE_SMALL</t>
        </is>
      </c>
      <c r="RG29">
        <v>2</v>
      </c>
      <c r="RI29" t="inlineStr">
        <is>
          <t xml:space="preserve">~</t>
        </is>
      </c>
      <c r="RJ29" t="inlineStr">
        <is>
          <t xml:space="preserve">U"\f\f" E_WITH_ACUTE_SMALL</t>
        </is>
      </c>
      <c r="RK29">
        <v>2</v>
      </c>
      <c r="RM29" t="inlineStr">
        <is>
          <t xml:space="preserve">~</t>
        </is>
      </c>
      <c r="RN29" t="inlineStr">
        <is>
          <t xml:space="preserve">U"\f\f" E_WITH_ACUTE_SMALL</t>
        </is>
      </c>
      <c r="RO29">
        <v>2</v>
      </c>
      <c r="RQ29" t="inlineStr">
        <is>
          <t xml:space="preserve">~</t>
        </is>
      </c>
      <c r="RR29" t="inlineStr">
        <is>
          <t xml:space="preserve">U"\f\f" E_WITH_ACUTE_SMALL</t>
        </is>
      </c>
      <c r="RS29">
        <v>2</v>
      </c>
      <c r="RU29" t="inlineStr">
        <is>
          <t xml:space="preserve">~</t>
        </is>
      </c>
      <c r="RV29" t="inlineStr">
        <is>
          <t xml:space="preserve">U"\f\f" E_WITH_ACUTE_SMALL</t>
        </is>
      </c>
      <c r="RW29">
        <v>2</v>
      </c>
      <c r="RY29" t="inlineStr">
        <is>
          <t xml:space="preserve">~</t>
        </is>
      </c>
      <c r="SP29">
        <v>2</v>
      </c>
      <c r="SQ29" t="inlineStr">
        <is>
          <t xml:space="preserve">QUOTE</t>
        </is>
      </c>
      <c r="SR29">
        <v>2</v>
      </c>
      <c r="SS29" t="inlineStr">
        <is>
          <t xml:space="preserve">@</t>
        </is>
      </c>
      <c r="ST29">
        <v>2</v>
      </c>
      <c r="SU29" t="inlineStr">
        <is>
          <t xml:space="preserve">QUOTE</t>
        </is>
      </c>
      <c r="SV29">
        <v>2</v>
      </c>
      <c r="SW29" t="inlineStr">
        <is>
          <t xml:space="preserve">@</t>
        </is>
      </c>
      <c r="SX29" t="inlineStr">
        <is>
          <t xml:space="preserve">BENGALI_09E8</t>
        </is>
      </c>
      <c r="SZ29" t="inlineStr">
        <is>
          <t xml:space="preserve">BENGALI_09E8</t>
        </is>
      </c>
      <c r="TA29" t="inlineStr">
        <is>
          <t xml:space="preserve">2</t>
        </is>
      </c>
      <c r="TV29">
        <v>2</v>
      </c>
      <c r="TW29" t="inlineStr">
        <is>
          <t xml:space="preserve">QUOTE</t>
        </is>
      </c>
      <c r="TX29">
        <v>2</v>
      </c>
      <c r="TZ29">
        <v>2</v>
      </c>
      <c r="UA29" t="inlineStr">
        <is>
          <t xml:space="preserve">QUOTE</t>
        </is>
      </c>
      <c r="UB29">
        <v>2</v>
      </c>
      <c r="UT29" t="inlineStr">
        <is>
          <t xml:space="preserve">U"\f\f" E_WITH_ACUTE_SMALL</t>
        </is>
      </c>
      <c r="UU29">
        <v>2</v>
      </c>
      <c r="UW29" t="inlineStr">
        <is>
          <t xml:space="preserve">~</t>
        </is>
      </c>
      <c r="VB29">
        <v>2</v>
      </c>
      <c r="VC29" t="inlineStr">
        <is>
          <t xml:space="preserve">QUOTE</t>
        </is>
      </c>
      <c r="VD29">
        <v>2</v>
      </c>
      <c r="VE29" t="inlineStr">
        <is>
          <t xml:space="preserve">@</t>
        </is>
      </c>
      <c r="VF29">
        <v>2</v>
      </c>
      <c r="VG29" t="inlineStr">
        <is>
          <t xml:space="preserve">QUOTE</t>
        </is>
      </c>
      <c r="VH29">
        <v>2</v>
      </c>
      <c r="VI29" t="inlineStr">
        <is>
          <t xml:space="preserve">@</t>
        </is>
      </c>
      <c r="VJ29">
        <v>2</v>
      </c>
      <c r="VK29" t="inlineStr">
        <is>
          <t xml:space="preserve">QUOTE</t>
        </is>
      </c>
      <c r="VL29">
        <v>2</v>
      </c>
      <c r="VM29" t="inlineStr">
        <is>
          <t xml:space="preserve">@</t>
        </is>
      </c>
      <c r="VN29">
        <v>2</v>
      </c>
      <c r="VO29" t="inlineStr">
        <is>
          <t xml:space="preserve">QUOTE</t>
        </is>
      </c>
      <c r="VP29">
        <v>2</v>
      </c>
      <c r="VR29">
        <v>2</v>
      </c>
      <c r="VS29" t="inlineStr">
        <is>
          <t xml:space="preserve">QUOTE</t>
        </is>
      </c>
      <c r="VT29">
        <v>2</v>
      </c>
      <c r="VV29">
        <v>2</v>
      </c>
      <c r="VW29" t="inlineStr">
        <is>
          <t xml:space="preserve">QUOTE</t>
        </is>
      </c>
      <c r="VX29">
        <v>2</v>
      </c>
      <c r="VY29" t="inlineStr">
        <is>
          <t xml:space="preserve">SUPER_SCRIPT_2</t>
        </is>
      </c>
      <c r="VZ29">
        <v>2</v>
      </c>
      <c r="WA29" t="inlineStr">
        <is>
          <t xml:space="preserve">QUOTE</t>
        </is>
      </c>
      <c r="WB29">
        <v>2</v>
      </c>
      <c r="WC29" t="inlineStr">
        <is>
          <t xml:space="preserve">@</t>
        </is>
      </c>
      <c r="XB29" t="inlineStr">
        <is>
          <t xml:space="preserve">ARABIC_06F2</t>
        </is>
      </c>
      <c r="XC29" t="inlineStr">
        <is>
          <t xml:space="preserve">ARABIC_066C</t>
        </is>
      </c>
      <c r="XD29" t="inlineStr">
        <is>
          <t xml:space="preserve">ARABIC_06F2</t>
        </is>
      </c>
      <c r="XE29" t="inlineStr">
        <is>
          <t xml:space="preserve">@</t>
        </is>
      </c>
      <c r="XF29" t="inlineStr">
        <is>
          <t xml:space="preserve">UCAS_1449</t>
        </is>
      </c>
      <c r="XG29">
        <v>2</v>
      </c>
      <c r="XH29" t="inlineStr">
        <is>
          <t xml:space="preserve">UCAS_1449</t>
        </is>
      </c>
      <c r="XO29" t="inlineStr">
        <is>
          <t xml:space="preserve">CHEROKEE_13C7</t>
        </is>
      </c>
    </row>
    <row r="30" s="116" customFormat="true" ht="15" hidden="false" customHeight="false" outlineLevel="0" collapsed="false">
      <c r="A30" s="93" t="s">
        <v>1243</v>
      </c>
      <c r="B30" s="94" t="n">
        <v>3</v>
      </c>
      <c r="C30" s="94" t="s">
        <v>1228</v>
      </c>
      <c r="D30" s="94" t="n">
        <v>3</v>
      </c>
      <c r="E30" s="94"/>
      <c r="F30" s="95" t="n">
        <v>3</v>
      </c>
      <c r="G30" t="inlineStr">
        <is>
          <t xml:space="preserve">U"\f\f\f" SECTION</t>
        </is>
      </c>
      <c r="H30" s="95"/>
      <c r="I30" s="95" t="s">
        <v>78</v>
      </c>
      <c r="J30" s="96" t="s">
        <v>8</v>
      </c>
      <c r="K30" s="96" t="n">
        <v>3</v>
      </c>
      <c r="L30" s="96"/>
      <c r="M30" s="96" t="s">
        <v>1228</v>
      </c>
      <c r="N30" s="97" t="n">
        <v>3</v>
      </c>
      <c r="O30" s="97" t="s">
        <v>86</v>
      </c>
      <c r="P30" s="97" t="n">
        <v>3</v>
      </c>
      <c r="Q30" s="97" t="s">
        <v>1228</v>
      </c>
      <c r="R30" s="98" t="n">
        <v>3</v>
      </c>
      <c r="S30" s="98" t="s">
        <v>1228</v>
      </c>
      <c r="T30" s="98" t="n">
        <v>3</v>
      </c>
      <c r="U30" t="inlineStr">
        <is>
          <t xml:space="preserve">U"\f\f\f" POUND_SIGN</t>
        </is>
      </c>
      <c r="V30" s="99" t="n">
        <v>3</v>
      </c>
      <c r="W30" t="inlineStr">
        <is>
          <t xml:space="preserve">U"\f\f\f" POUND_SIGN</t>
        </is>
      </c>
      <c r="X30" s="99" t="n">
        <v>3</v>
      </c>
      <c r="Y30" s="99"/>
      <c r="Z30" s="100" t="n">
        <v>3</v>
      </c>
      <c r="AA30" s="100" t="s">
        <v>1245</v>
      </c>
      <c r="AB30" s="100" t="n">
        <v>3</v>
      </c>
      <c r="AC30" s="100" t="s">
        <v>1228</v>
      </c>
      <c r="AD30" s="101" t="n">
        <v>3</v>
      </c>
      <c r="AE30" s="101" t="s">
        <v>1228</v>
      </c>
      <c r="AF30" s="101" t="n">
        <v>3</v>
      </c>
      <c r="AG30" s="101"/>
      <c r="AH30" t="inlineStr">
        <is>
          <t xml:space="preserve">3</t>
        </is>
      </c>
      <c r="AI30" t="inlineStr">
        <is>
          <t xml:space="preserve">#</t>
        </is>
      </c>
      <c r="AJ30" t="inlineStr">
        <is>
          <t xml:space="preserve">3</t>
        </is>
      </c>
      <c r="AK30" t="inlineStr">
        <is>
          <t xml:space="preserve">HIRAGANA_A</t>
        </is>
      </c>
      <c r="AL30" s="103" t="n">
        <v>3</v>
      </c>
      <c r="AM30" s="103" t="s">
        <v>1228</v>
      </c>
      <c r="AN30" s="103" t="n">
        <v>3</v>
      </c>
      <c r="AO30" s="103" t="s">
        <v>628</v>
      </c>
      <c r="AP30" s="104" t="n">
        <v>3</v>
      </c>
      <c r="AQ30" s="104" t="s">
        <v>1228</v>
      </c>
      <c r="AR30" s="104" t="n">
        <v>3</v>
      </c>
      <c r="AS30" t="inlineStr">
        <is>
          <t xml:space="preserve">U" " SUPER_SCRIPT_3</t>
        </is>
      </c>
      <c r="AT30" s="105" t="n">
        <v>3</v>
      </c>
      <c r="AU30" s="105" t="s">
        <v>686</v>
      </c>
      <c r="AV30" s="105" t="n">
        <v>3</v>
      </c>
      <c r="AW30" s="105"/>
      <c r="AX30" s="106" t="n">
        <v>3</v>
      </c>
      <c r="AY30" s="106" t="s">
        <v>686</v>
      </c>
      <c r="AZ30" s="106" t="n">
        <v>3</v>
      </c>
      <c r="BA30" s="106"/>
      <c r="BB30" s="107" t="n">
        <v>3</v>
      </c>
      <c r="BC30" s="107" t="s">
        <v>686</v>
      </c>
      <c r="BD30" s="107" t="n">
        <v>3</v>
      </c>
      <c r="BE30" s="107"/>
      <c r="BF30" t="inlineStr">
        <is>
          <t xml:space="preserve">U"\f\f" CYRILLIC_SM_BY_YA_I</t>
        </is>
      </c>
      <c r="BG30" t="inlineStr">
        <is>
          <t xml:space="preserve">CYRILLIC_BY_YA_I</t>
        </is>
      </c>
      <c r="BH30" s="108"/>
      <c r="BI30" s="108"/>
      <c r="BJ30" s="109" t="n">
        <v>3</v>
      </c>
      <c r="BK30" s="109" t="s">
        <v>1237</v>
      </c>
      <c r="BL30" s="109" t="n">
        <v>3</v>
      </c>
      <c r="BM30" s="109"/>
      <c r="BN30" s="95" t="n">
        <v>3</v>
      </c>
      <c r="BO30" s="95" t="s">
        <v>1228</v>
      </c>
      <c r="BP30" s="95"/>
      <c r="BQ30" s="95" t="s">
        <v>1245</v>
      </c>
      <c r="BR30" s="110" t="n">
        <v>3</v>
      </c>
      <c r="BS30" s="110" t="s">
        <v>1228</v>
      </c>
      <c r="BT30" s="110"/>
      <c r="BU30" s="110" t="s">
        <v>1245</v>
      </c>
      <c r="BZ30" s="111" t="n">
        <v>3</v>
      </c>
      <c r="CA30" s="111" t="s">
        <v>1228</v>
      </c>
      <c r="CB30" s="111" t="n">
        <v>3</v>
      </c>
      <c r="CC30" s="111" t="s">
        <v>78</v>
      </c>
      <c r="CD30" s="95" t="n">
        <v>3</v>
      </c>
      <c r="CE30" s="95" t="s">
        <v>1228</v>
      </c>
      <c r="CF30" s="95"/>
      <c r="CG30" s="128" t="s">
        <v>453</v>
      </c>
      <c r="CH30" s="112" t="n">
        <v>3</v>
      </c>
      <c r="CI30" s="112" t="s">
        <v>1228</v>
      </c>
      <c r="CJ30" s="112" t="n">
        <v>3</v>
      </c>
      <c r="CK30" t="inlineStr">
        <is>
          <t xml:space="preserve">U"\f\f\f" POUND_SIGN</t>
        </is>
      </c>
      <c r="CL30" s="113" t="n">
        <v>3</v>
      </c>
      <c r="CM30" s="113" t="s">
        <v>1228</v>
      </c>
      <c r="CN30" s="113" t="n">
        <v>3</v>
      </c>
      <c r="CO30" t="inlineStr">
        <is>
          <t xml:space="preserve">U"\f\f\f" POUND_SIGN</t>
        </is>
      </c>
      <c r="CP30" s="84" t="n">
        <v>3</v>
      </c>
      <c r="CQ30" s="84" t="s">
        <v>1228</v>
      </c>
      <c r="CR30" s="84" t="n">
        <v>3</v>
      </c>
      <c r="CS30" t="inlineStr">
        <is>
          <t xml:space="preserve">U"\f\f\f" POUND_SIGN</t>
        </is>
      </c>
      <c r="CT30" s="110" t="n">
        <v>3</v>
      </c>
      <c r="CU30" s="110" t="s">
        <v>1228</v>
      </c>
      <c r="CV30" s="110" t="n">
        <v>3</v>
      </c>
      <c r="CW30" t="inlineStr">
        <is>
          <t xml:space="preserve">U"\f\f\f" POUND_SIGN</t>
        </is>
      </c>
      <c r="CX30" s="114" t="n">
        <v>3</v>
      </c>
      <c r="CY30" s="114" t="s">
        <v>1228</v>
      </c>
      <c r="CZ30" s="114" t="n">
        <v>3</v>
      </c>
      <c r="DA30" s="114" t="s">
        <v>1245</v>
      </c>
      <c r="DB30" t="inlineStr">
        <is>
          <t xml:space="preserve">U"\f\f\f\f" LATIN_0161</t>
        </is>
      </c>
      <c r="DC30" s="115" t="n">
        <v>3</v>
      </c>
      <c r="DD30" s="115" t="n">
        <v>3</v>
      </c>
      <c r="DE30" s="115" t="s">
        <v>1245</v>
      </c>
      <c r="DF30">
        <v>3</v>
      </c>
      <c r="DG30" t="inlineStr">
        <is>
          <t xml:space="preserve">#</t>
        </is>
      </c>
      <c r="DH30">
        <v>3</v>
      </c>
      <c r="DI30" t="inlineStr">
        <is>
          <t xml:space="preserve">^</t>
        </is>
      </c>
      <c r="DJ30" t="inlineStr">
        <is>
          <t xml:space="preserve">LATIN_0161</t>
        </is>
      </c>
      <c r="DK30">
        <v>3</v>
      </c>
      <c r="DL30">
        <v>3</v>
      </c>
      <c r="DM30" t="inlineStr">
        <is>
          <t xml:space="preserve">^</t>
        </is>
      </c>
      <c r="DN30" t="inlineStr">
        <is>
          <t xml:space="preserve">U"\f\f" LATIN_0119</t>
        </is>
      </c>
      <c r="DO30" t="inlineStr">
        <is>
          <t xml:space="preserve">LATIN_0118</t>
        </is>
      </c>
      <c r="DQ30">
        <v>3</v>
      </c>
      <c r="DU30" t="inlineStr">
        <is>
          <t xml:space="preserve">SUPER_SCRIPT_3</t>
        </is>
      </c>
      <c r="DV30">
        <v>3</v>
      </c>
      <c r="DW30" t="inlineStr">
        <is>
          <t xml:space="preserve">#</t>
        </is>
      </c>
      <c r="DX30">
        <v>3</v>
      </c>
      <c r="DY30" t="inlineStr">
        <is>
          <t xml:space="preserve">U"\f\f\f" POUND_SIGN</t>
        </is>
      </c>
      <c r="EC30" t="inlineStr">
        <is>
          <t xml:space="preserve">SUPER_SCRIPT_3</t>
        </is>
      </c>
      <c r="ED30">
        <v>3</v>
      </c>
      <c r="EE30" t="inlineStr">
        <is>
          <t xml:space="preserve">#</t>
        </is>
      </c>
      <c r="EF30">
        <v>3</v>
      </c>
      <c r="EH30">
        <v>3</v>
      </c>
      <c r="EI30" t="inlineStr">
        <is>
          <t xml:space="preserve">#</t>
        </is>
      </c>
      <c r="EJ30">
        <v>3</v>
      </c>
      <c r="EO30" t="inlineStr">
        <is>
          <t xml:space="preserve">ARABIC_EXT_INDIC_3</t>
        </is>
      </c>
      <c r="EP30" t="inlineStr">
        <is>
          <t xml:space="preserve">DEVANAGARI_0969</t>
        </is>
      </c>
      <c r="EQ30" t="inlineStr">
        <is>
          <t xml:space="preserve">#</t>
        </is>
      </c>
      <c r="ER30" t="inlineStr">
        <is>
          <t xml:space="preserve">DEVANAGARI_0969</t>
        </is>
      </c>
      <c r="ET30" t="inlineStr">
        <is>
          <t xml:space="preserve">DEVANAGARI_0969</t>
        </is>
      </c>
      <c r="EU30" t="inlineStr">
        <is>
          <t xml:space="preserve">#</t>
        </is>
      </c>
      <c r="EV30" t="inlineStr">
        <is>
          <t xml:space="preserve">DEVANAGARI_0969</t>
        </is>
      </c>
      <c r="EX30" t="inlineStr">
        <is>
          <t xml:space="preserve">DEVANAGARI_0969</t>
        </is>
      </c>
      <c r="EY30" t="inlineStr">
        <is>
          <t xml:space="preserve">#</t>
        </is>
      </c>
      <c r="EZ30" t="inlineStr">
        <is>
          <t xml:space="preserve">DEVANAGARI_0969</t>
        </is>
      </c>
      <c r="FB30">
        <v>3</v>
      </c>
      <c r="FC30" t="inlineStr">
        <is>
          <t xml:space="preserve">QUOTE</t>
        </is>
      </c>
      <c r="FD30">
        <v>3</v>
      </c>
      <c r="FF30">
        <v>3</v>
      </c>
      <c r="FG30" t="inlineStr">
        <is>
          <t xml:space="preserve">#</t>
        </is>
      </c>
      <c r="FH30">
        <v>3</v>
      </c>
      <c r="FI30" t="inlineStr">
        <is>
          <t xml:space="preserve">ARABIC_EXT_INDIC_3</t>
        </is>
      </c>
      <c r="FJ30">
        <v>3</v>
      </c>
      <c r="FK30" t="inlineStr">
        <is>
          <t xml:space="preserve">U"\f\f\f" POUND_SIGN</t>
        </is>
      </c>
      <c r="FL30">
        <v>3</v>
      </c>
      <c r="FN30">
        <v>3</v>
      </c>
      <c r="FO30" t="inlineStr">
        <is>
          <t xml:space="preserve">#</t>
        </is>
      </c>
      <c r="FP30">
        <v>3</v>
      </c>
      <c r="FQ30" t="inlineStr">
        <is>
          <t xml:space="preserve">MIDDLE_DOT</t>
        </is>
      </c>
      <c r="FR30">
        <v>3</v>
      </c>
      <c r="FS30" t="inlineStr">
        <is>
          <t xml:space="preserve">*</t>
        </is>
      </c>
      <c r="FT30">
        <v>3</v>
      </c>
      <c r="FU30" t="inlineStr">
        <is>
          <t xml:space="preserve">#</t>
        </is>
      </c>
      <c r="FV30" t="inlineStr">
        <is>
          <t xml:space="preserve">QUOTE</t>
        </is>
      </c>
      <c r="FW30">
        <v>3</v>
      </c>
      <c r="FX30" t="inlineStr">
        <is>
          <t xml:space="preserve">QUOTE</t>
        </is>
      </c>
      <c r="FY30" t="inlineStr">
        <is>
          <t xml:space="preserve">#</t>
        </is>
      </c>
      <c r="FZ30">
        <v>3</v>
      </c>
      <c r="GA30" t="inlineStr">
        <is>
          <t xml:space="preserve">/</t>
        </is>
      </c>
      <c r="GB30">
        <v>3</v>
      </c>
      <c r="GC30" t="inlineStr">
        <is>
          <t xml:space="preserve">U"\f\f\f" POUND_SIGN</t>
        </is>
      </c>
      <c r="GD30" t="inlineStr">
        <is>
          <t xml:space="preserve">-</t>
        </is>
      </c>
      <c r="GE30" t="inlineStr">
        <is>
          <t xml:space="preserve">THAI_0E52</t>
        </is>
      </c>
      <c r="GF30" t="inlineStr">
        <is>
          <t xml:space="preserve">-</t>
        </is>
      </c>
      <c r="GG30">
        <v>3</v>
      </c>
      <c r="GH30" t="inlineStr">
        <is>
          <t xml:space="preserve">BENGALI_09E9</t>
        </is>
      </c>
      <c r="GI30" t="inlineStr">
        <is>
          <t xml:space="preserve">#</t>
        </is>
      </c>
      <c r="GJ30" t="inlineStr">
        <is>
          <t xml:space="preserve">BENGALI_09E9</t>
        </is>
      </c>
      <c r="GL30" t="inlineStr">
        <is>
          <t xml:space="preserve">TELUGU_0C69</t>
        </is>
      </c>
      <c r="GM30" t="inlineStr">
        <is>
          <t xml:space="preserve">#</t>
        </is>
      </c>
      <c r="GN30" t="inlineStr">
        <is>
          <t xml:space="preserve">TELUGU_0C69</t>
        </is>
      </c>
      <c r="GP30" t="inlineStr">
        <is>
          <t xml:space="preserve">TAMIL_0BE9</t>
        </is>
      </c>
      <c r="GQ30" t="inlineStr">
        <is>
          <t xml:space="preserve">#</t>
        </is>
      </c>
      <c r="GR30" t="inlineStr">
        <is>
          <t xml:space="preserve">TAMIL_0BE9</t>
        </is>
      </c>
      <c r="GT30" t="inlineStr">
        <is>
          <t xml:space="preserve">ZHUYIN_02C7</t>
        </is>
      </c>
      <c r="GV30" t="inlineStr">
        <is>
          <t xml:space="preserve">ZHUYIN_02C7</t>
        </is>
      </c>
      <c r="GW30">
        <v>3</v>
      </c>
      <c r="HB30" t="inlineStr">
        <is>
          <t xml:space="preserve">ARMENIAN_058A</t>
        </is>
      </c>
      <c r="HC30" t="inlineStr">
        <is>
          <t xml:space="preserve">ARMENIAN_2014</t>
        </is>
      </c>
      <c r="HD30" t="inlineStr">
        <is>
          <t xml:space="preserve">ARMENIAN_058A</t>
        </is>
      </c>
      <c r="HE30">
        <v>3</v>
      </c>
      <c r="HJ30">
        <v>3</v>
      </c>
      <c r="HK30" t="inlineStr">
        <is>
          <t xml:space="preserve">NUMERO_SIGN</t>
        </is>
      </c>
      <c r="HL30">
        <v>3</v>
      </c>
      <c r="HR30" t="inlineStr">
        <is>
          <t xml:space="preserve">LATIN_00EA</t>
        </is>
      </c>
      <c r="HS30" t="inlineStr">
        <is>
          <t xml:space="preserve">LATIN_00CA</t>
        </is>
      </c>
      <c r="HU30">
        <v>3</v>
      </c>
      <c r="HV30">
        <v>3</v>
      </c>
      <c r="HW30" t="inlineStr">
        <is>
          <t xml:space="preserve">LANGLE_BRACKET</t>
        </is>
      </c>
      <c r="HX30">
        <v>3</v>
      </c>
      <c r="JE30" t="inlineStr">
        <is>
          <t xml:space="preserve">U"\f\f\f" POUND_SIGN</t>
        </is>
      </c>
      <c r="JI30" t="inlineStr">
        <is>
          <t xml:space="preserve">U"\f\f\f" POUND_SIGN</t>
        </is>
      </c>
      <c r="JJ30">
        <v>3</v>
      </c>
      <c r="JK30" t="inlineStr">
        <is>
          <t xml:space="preserve">#</t>
        </is>
      </c>
      <c r="JL30">
        <v>3</v>
      </c>
      <c r="JM30" t="inlineStr">
        <is>
          <t xml:space="preserve">ARABIC_INDIC_3</t>
        </is>
      </c>
      <c r="JR30">
        <v>3</v>
      </c>
      <c r="JS30" t="inlineStr">
        <is>
          <t xml:space="preserve">#</t>
        </is>
      </c>
      <c r="JT30">
        <v>3</v>
      </c>
      <c r="JU30" t="inlineStr">
        <is>
          <t xml:space="preserve">ETHIOPIC_136B</t>
        </is>
      </c>
      <c r="KD30">
        <v>3</v>
      </c>
      <c r="KE30" t="inlineStr">
        <is>
          <t xml:space="preserve">#</t>
        </is>
      </c>
      <c r="KF30">
        <v>3</v>
      </c>
      <c r="KG30" t="inlineStr">
        <is>
          <t xml:space="preserve">ARABIC_INDIC_3</t>
        </is>
      </c>
      <c r="KH30">
        <v>3</v>
      </c>
      <c r="KI30" t="inlineStr">
        <is>
          <t xml:space="preserve">#</t>
        </is>
      </c>
      <c r="KJ30">
        <v>3</v>
      </c>
      <c r="KK30" t="inlineStr">
        <is>
          <t xml:space="preserve">ARABIC_INDIC_3</t>
        </is>
      </c>
      <c r="KL30">
        <v>3</v>
      </c>
      <c r="KM30" t="inlineStr">
        <is>
          <t xml:space="preserve">#</t>
        </is>
      </c>
      <c r="KN30">
        <v>3</v>
      </c>
      <c r="KO30" t="inlineStr">
        <is>
          <t xml:space="preserve">ARABIC_INDIC_3</t>
        </is>
      </c>
      <c r="LA30" t="inlineStr">
        <is>
          <t xml:space="preserve">U"\f\f\f" POUND_SIGN</t>
        </is>
      </c>
      <c r="LB30">
        <v>3</v>
      </c>
      <c r="LC30" t="inlineStr">
        <is>
          <t xml:space="preserve">#</t>
        </is>
      </c>
      <c r="LD30">
        <v>3</v>
      </c>
      <c r="LE30" t="inlineStr">
        <is>
          <t xml:space="preserve">MIDDLE_DOT</t>
        </is>
      </c>
      <c r="LJ30" t="inlineStr">
        <is>
          <t xml:space="preserve">QUOTE</t>
        </is>
      </c>
      <c r="LK30">
        <v>3</v>
      </c>
      <c r="LM30" t="inlineStr">
        <is>
          <t xml:space="preserve">#</t>
        </is>
      </c>
      <c r="LN30">
        <v>3</v>
      </c>
      <c r="LO30" t="inlineStr">
        <is>
          <t xml:space="preserve">#</t>
        </is>
      </c>
      <c r="LP30">
        <v>3</v>
      </c>
      <c r="LQ30" t="inlineStr">
        <is>
          <t xml:space="preserve">MIDDLE_DOT</t>
        </is>
      </c>
      <c r="LR30">
        <v>3</v>
      </c>
      <c r="LS30" t="inlineStr">
        <is>
          <t xml:space="preserve">#</t>
        </is>
      </c>
      <c r="LT30">
        <v>3</v>
      </c>
      <c r="LU30" t="inlineStr">
        <is>
          <t xml:space="preserve">MIDDLE_DOT</t>
        </is>
      </c>
      <c r="LV30">
        <v>3</v>
      </c>
      <c r="LW30" t="inlineStr">
        <is>
          <t xml:space="preserve">#</t>
        </is>
      </c>
      <c r="LX30">
        <v>3</v>
      </c>
      <c r="LY30" t="inlineStr">
        <is>
          <t xml:space="preserve">MIDDLE_DOT</t>
        </is>
      </c>
      <c r="LZ30">
        <v>3</v>
      </c>
      <c r="MA30" t="inlineStr">
        <is>
          <t xml:space="preserve">#</t>
        </is>
      </c>
      <c r="MB30">
        <v>3</v>
      </c>
      <c r="MC30" t="inlineStr">
        <is>
          <t xml:space="preserve">MIDDLE_DOT</t>
        </is>
      </c>
      <c r="MD30">
        <v>3</v>
      </c>
      <c r="ME30" t="inlineStr">
        <is>
          <t xml:space="preserve">#</t>
        </is>
      </c>
      <c r="MF30">
        <v>3</v>
      </c>
      <c r="MG30" t="inlineStr">
        <is>
          <t xml:space="preserve">MIDDLE_DOT</t>
        </is>
      </c>
      <c r="MH30">
        <v>3</v>
      </c>
      <c r="MI30" t="inlineStr">
        <is>
          <t xml:space="preserve">#</t>
        </is>
      </c>
      <c r="MJ30">
        <v>3</v>
      </c>
      <c r="MK30" t="inlineStr">
        <is>
          <t xml:space="preserve">MIDDLE_DOT</t>
        </is>
      </c>
      <c r="ML30">
        <v>3</v>
      </c>
      <c r="MM30" t="inlineStr">
        <is>
          <t xml:space="preserve">#</t>
        </is>
      </c>
      <c r="MN30">
        <v>3</v>
      </c>
      <c r="MO30" t="inlineStr">
        <is>
          <t xml:space="preserve">MIDDLE_DOT</t>
        </is>
      </c>
      <c r="MP30">
        <v>3</v>
      </c>
      <c r="MQ30" t="inlineStr">
        <is>
          <t xml:space="preserve">#</t>
        </is>
      </c>
      <c r="MR30">
        <v>3</v>
      </c>
      <c r="MS30" t="inlineStr">
        <is>
          <t xml:space="preserve">MIDDLE_DOT</t>
        </is>
      </c>
      <c r="MT30">
        <v>3</v>
      </c>
      <c r="MU30" t="inlineStr">
        <is>
          <t xml:space="preserve">#</t>
        </is>
      </c>
      <c r="MV30">
        <v>3</v>
      </c>
      <c r="MW30" t="inlineStr">
        <is>
          <t xml:space="preserve">MIDDLE_DOT</t>
        </is>
      </c>
      <c r="MX30">
        <v>3</v>
      </c>
      <c r="MY30" t="inlineStr">
        <is>
          <t xml:space="preserve">#</t>
        </is>
      </c>
      <c r="MZ30">
        <v>3</v>
      </c>
      <c r="NA30" t="inlineStr">
        <is>
          <t xml:space="preserve">MIDDLE_DOT</t>
        </is>
      </c>
      <c r="NB30">
        <v>3</v>
      </c>
      <c r="NC30" t="inlineStr">
        <is>
          <t xml:space="preserve">#</t>
        </is>
      </c>
      <c r="ND30">
        <v>3</v>
      </c>
      <c r="NE30" t="inlineStr">
        <is>
          <t xml:space="preserve">MIDDLE_DOT</t>
        </is>
      </c>
      <c r="NF30">
        <v>3</v>
      </c>
      <c r="NG30" t="inlineStr">
        <is>
          <t xml:space="preserve">#</t>
        </is>
      </c>
      <c r="NH30">
        <v>3</v>
      </c>
      <c r="NI30" t="inlineStr">
        <is>
          <t xml:space="preserve">MIDDLE_DOT</t>
        </is>
      </c>
      <c r="NJ30">
        <v>3</v>
      </c>
      <c r="NK30" t="inlineStr">
        <is>
          <t xml:space="preserve">#</t>
        </is>
      </c>
      <c r="NL30">
        <v>3</v>
      </c>
      <c r="NM30" t="inlineStr">
        <is>
          <t xml:space="preserve">MIDDLE_DOT</t>
        </is>
      </c>
      <c r="NN30">
        <v>3</v>
      </c>
      <c r="NO30" t="inlineStr">
        <is>
          <t xml:space="preserve">#</t>
        </is>
      </c>
      <c r="NP30">
        <v>3</v>
      </c>
      <c r="NQ30" t="inlineStr">
        <is>
          <t xml:space="preserve">MIDDLE_DOT</t>
        </is>
      </c>
      <c r="NR30">
        <v>3</v>
      </c>
      <c r="NS30" t="inlineStr">
        <is>
          <t xml:space="preserve">#</t>
        </is>
      </c>
      <c r="NT30">
        <v>3</v>
      </c>
      <c r="NU30" t="inlineStr">
        <is>
          <t xml:space="preserve">MIDDLE_DOT</t>
        </is>
      </c>
      <c r="NV30">
        <v>3</v>
      </c>
      <c r="NW30" t="inlineStr">
        <is>
          <t xml:space="preserve">U"\f\f\f" SECTION</t>
        </is>
      </c>
      <c r="NY30" t="inlineStr">
        <is>
          <t xml:space="preserve">SUPER_SCRIPT_3</t>
        </is>
      </c>
      <c r="NZ30" t="inlineStr">
        <is>
          <t xml:space="preserve">QUOTE</t>
        </is>
      </c>
      <c r="OA30">
        <v>3</v>
      </c>
      <c r="OB30" t="inlineStr">
        <is>
          <t xml:space="preserve">QUOTE</t>
        </is>
      </c>
      <c r="OC30" t="inlineStr">
        <is>
          <t xml:space="preserve">#</t>
        </is>
      </c>
      <c r="OD30">
        <v>3</v>
      </c>
      <c r="OE30" t="inlineStr">
        <is>
          <t xml:space="preserve">MIDDLE_DOT</t>
        </is>
      </c>
      <c r="OF30">
        <v>3</v>
      </c>
      <c r="OG30" t="inlineStr">
        <is>
          <t xml:space="preserve">#</t>
        </is>
      </c>
      <c r="OH30">
        <v>3</v>
      </c>
      <c r="OI30" t="inlineStr">
        <is>
          <t xml:space="preserve">U"\f\f\f" POUND_SIGN</t>
        </is>
      </c>
      <c r="OJ30">
        <v>3</v>
      </c>
      <c r="OL30">
        <v>3</v>
      </c>
      <c r="OM30" t="inlineStr">
        <is>
          <t xml:space="preserve">#</t>
        </is>
      </c>
      <c r="ON30">
        <v>3</v>
      </c>
      <c r="OO30" t="inlineStr">
        <is>
          <t xml:space="preserve">^</t>
        </is>
      </c>
      <c r="OP30">
        <v>3</v>
      </c>
      <c r="OQ30" t="inlineStr">
        <is>
          <t xml:space="preserve">*</t>
        </is>
      </c>
      <c r="OR30">
        <v>3</v>
      </c>
      <c r="OS30" t="inlineStr">
        <is>
          <t xml:space="preserve">#</t>
        </is>
      </c>
      <c r="OT30">
        <v>3</v>
      </c>
      <c r="OU30" t="inlineStr">
        <is>
          <t xml:space="preserve">#</t>
        </is>
      </c>
      <c r="OV30">
        <v>3</v>
      </c>
      <c r="OW30" t="inlineStr">
        <is>
          <t xml:space="preserve">^</t>
        </is>
      </c>
      <c r="OX30">
        <v>3</v>
      </c>
      <c r="OY30" t="inlineStr">
        <is>
          <t xml:space="preserve">#</t>
        </is>
      </c>
      <c r="OZ30">
        <v>3</v>
      </c>
      <c r="PA30" t="inlineStr">
        <is>
          <t xml:space="preserve">U"\f\f\f" POUND_SIGN</t>
        </is>
      </c>
      <c r="PB30">
        <v>3</v>
      </c>
      <c r="PC30" t="inlineStr">
        <is>
          <t xml:space="preserve">#</t>
        </is>
      </c>
      <c r="PD30">
        <v>3</v>
      </c>
      <c r="PE30" t="inlineStr">
        <is>
          <t xml:space="preserve">ARABIC_INDIC_3</t>
        </is>
      </c>
      <c r="PF30">
        <v>3</v>
      </c>
      <c r="PG30" t="inlineStr">
        <is>
          <t xml:space="preserve">#</t>
        </is>
      </c>
      <c r="PH30">
        <v>3</v>
      </c>
      <c r="PI30" t="inlineStr">
        <is>
          <t xml:space="preserve">ARABIC_INDIC_3</t>
        </is>
      </c>
      <c r="PJ30">
        <v>3</v>
      </c>
      <c r="PK30" t="inlineStr">
        <is>
          <t xml:space="preserve">#</t>
        </is>
      </c>
      <c r="PL30">
        <v>3</v>
      </c>
      <c r="PM30" t="inlineStr">
        <is>
          <t xml:space="preserve">ARABIC_INDIC_3</t>
        </is>
      </c>
      <c r="PN30">
        <v>3</v>
      </c>
      <c r="PO30" t="inlineStr">
        <is>
          <t xml:space="preserve">#</t>
        </is>
      </c>
      <c r="PP30">
        <v>3</v>
      </c>
      <c r="PQ30" t="inlineStr">
        <is>
          <t xml:space="preserve">ARABIC_INDIC_3</t>
        </is>
      </c>
      <c r="PR30">
        <v>3</v>
      </c>
      <c r="PS30" t="inlineStr">
        <is>
          <t xml:space="preserve">#</t>
        </is>
      </c>
      <c r="PT30">
        <v>3</v>
      </c>
      <c r="PU30" t="inlineStr">
        <is>
          <t xml:space="preserve">ARABIC_INDIC_3</t>
        </is>
      </c>
      <c r="PV30">
        <v>3</v>
      </c>
      <c r="PW30" t="inlineStr">
        <is>
          <t xml:space="preserve">#</t>
        </is>
      </c>
      <c r="PX30">
        <v>3</v>
      </c>
      <c r="PY30" t="inlineStr">
        <is>
          <t xml:space="preserve">ARABIC_INDIC_3</t>
        </is>
      </c>
      <c r="PZ30">
        <v>3</v>
      </c>
      <c r="QA30" t="inlineStr">
        <is>
          <t xml:space="preserve">#</t>
        </is>
      </c>
      <c r="QB30">
        <v>3</v>
      </c>
      <c r="QC30" t="inlineStr">
        <is>
          <t xml:space="preserve">ARABIC_INDIC_3</t>
        </is>
      </c>
      <c r="QD30">
        <v>3</v>
      </c>
      <c r="QE30" t="inlineStr">
        <is>
          <t xml:space="preserve">#</t>
        </is>
      </c>
      <c r="QF30">
        <v>3</v>
      </c>
      <c r="QG30" t="inlineStr">
        <is>
          <t xml:space="preserve">ARABIC_INDIC_3</t>
        </is>
      </c>
      <c r="QH30">
        <v>3</v>
      </c>
      <c r="QI30" t="inlineStr">
        <is>
          <t xml:space="preserve">#</t>
        </is>
      </c>
      <c r="QJ30">
        <v>3</v>
      </c>
      <c r="QK30" t="inlineStr">
        <is>
          <t xml:space="preserve">ARABIC_INDIC_3</t>
        </is>
      </c>
      <c r="QL30">
        <v>3</v>
      </c>
      <c r="QM30" t="inlineStr">
        <is>
          <t xml:space="preserve">#</t>
        </is>
      </c>
      <c r="QN30">
        <v>3</v>
      </c>
      <c r="QO30" t="inlineStr">
        <is>
          <t xml:space="preserve">ARABIC_INDIC_3</t>
        </is>
      </c>
      <c r="QP30">
        <v>3</v>
      </c>
      <c r="QQ30" t="inlineStr">
        <is>
          <t xml:space="preserve">#</t>
        </is>
      </c>
      <c r="QR30">
        <v>3</v>
      </c>
      <c r="QS30" t="inlineStr">
        <is>
          <t xml:space="preserve">ARABIC_INDIC_3</t>
        </is>
      </c>
      <c r="QT30">
        <v>3</v>
      </c>
      <c r="QU30" t="inlineStr">
        <is>
          <t xml:space="preserve">#</t>
        </is>
      </c>
      <c r="QV30">
        <v>3</v>
      </c>
      <c r="QW30" t="inlineStr">
        <is>
          <t xml:space="preserve">ARABIC_INDIC_3</t>
        </is>
      </c>
      <c r="QX30">
        <v>3</v>
      </c>
      <c r="QY30" t="inlineStr">
        <is>
          <t xml:space="preserve">#</t>
        </is>
      </c>
      <c r="QZ30">
        <v>3</v>
      </c>
      <c r="RA30" t="inlineStr">
        <is>
          <t xml:space="preserve">ARABIC_INDIC_3</t>
        </is>
      </c>
      <c r="RB30">
        <v>3</v>
      </c>
      <c r="RC30" t="inlineStr">
        <is>
          <t xml:space="preserve">#</t>
        </is>
      </c>
      <c r="RD30">
        <v>3</v>
      </c>
      <c r="RE30" t="inlineStr">
        <is>
          <t xml:space="preserve">ARABIC_INDIC_3</t>
        </is>
      </c>
      <c r="RF30" t="inlineStr">
        <is>
          <t xml:space="preserve">QUOTE</t>
        </is>
      </c>
      <c r="RG30">
        <v>3</v>
      </c>
      <c r="RI30" t="inlineStr">
        <is>
          <t xml:space="preserve">#</t>
        </is>
      </c>
      <c r="RJ30" t="inlineStr">
        <is>
          <t xml:space="preserve">QUOTE</t>
        </is>
      </c>
      <c r="RK30">
        <v>3</v>
      </c>
      <c r="RM30" t="inlineStr">
        <is>
          <t xml:space="preserve">#</t>
        </is>
      </c>
      <c r="RN30" t="inlineStr">
        <is>
          <t xml:space="preserve">QUOTE</t>
        </is>
      </c>
      <c r="RO30">
        <v>3</v>
      </c>
      <c r="RQ30" t="inlineStr">
        <is>
          <t xml:space="preserve">#</t>
        </is>
      </c>
      <c r="RR30" t="inlineStr">
        <is>
          <t xml:space="preserve">QUOTE</t>
        </is>
      </c>
      <c r="RS30">
        <v>3</v>
      </c>
      <c r="RU30" t="inlineStr">
        <is>
          <t xml:space="preserve">#</t>
        </is>
      </c>
      <c r="RV30" t="inlineStr">
        <is>
          <t xml:space="preserve">QUOTE</t>
        </is>
      </c>
      <c r="RW30">
        <v>3</v>
      </c>
      <c r="RY30" t="inlineStr">
        <is>
          <t xml:space="preserve">#</t>
        </is>
      </c>
      <c r="SP30">
        <v>3</v>
      </c>
      <c r="SQ30" t="inlineStr">
        <is>
          <t xml:space="preserve">#</t>
        </is>
      </c>
      <c r="SR30">
        <v>3</v>
      </c>
      <c r="SS30" t="inlineStr">
        <is>
          <t xml:space="preserve">U"\f\f\f" POUND_SIGN</t>
        </is>
      </c>
      <c r="ST30">
        <v>3</v>
      </c>
      <c r="SU30" t="inlineStr">
        <is>
          <t xml:space="preserve">#</t>
        </is>
      </c>
      <c r="SV30">
        <v>3</v>
      </c>
      <c r="SW30" t="inlineStr">
        <is>
          <t xml:space="preserve">U"\f\f\f" POUND_SIGN</t>
        </is>
      </c>
      <c r="SX30" t="inlineStr">
        <is>
          <t xml:space="preserve">BENGALI_09E9</t>
        </is>
      </c>
      <c r="SY30" t="inlineStr">
        <is>
          <t xml:space="preserve">#</t>
        </is>
      </c>
      <c r="SZ30" t="inlineStr">
        <is>
          <t xml:space="preserve">BENGALI_09E9</t>
        </is>
      </c>
      <c r="TA30" t="inlineStr">
        <is>
          <t xml:space="preserve">3</t>
        </is>
      </c>
      <c r="TV30">
        <v>3</v>
      </c>
      <c r="TW30" t="inlineStr">
        <is>
          <t xml:space="preserve">NUMERO_SIGN</t>
        </is>
      </c>
      <c r="TX30">
        <v>3</v>
      </c>
      <c r="TZ30">
        <v>3</v>
      </c>
      <c r="UA30" t="inlineStr">
        <is>
          <t xml:space="preserve">NUMERO_SIGN</t>
        </is>
      </c>
      <c r="UB30">
        <v>3</v>
      </c>
      <c r="UT30" t="inlineStr">
        <is>
          <t xml:space="preserve">QUOTE</t>
        </is>
      </c>
      <c r="UU30">
        <v>3</v>
      </c>
      <c r="UW30" t="inlineStr">
        <is>
          <t xml:space="preserve">#</t>
        </is>
      </c>
      <c r="VB30">
        <v>3</v>
      </c>
      <c r="VC30" t="inlineStr">
        <is>
          <t xml:space="preserve">MIDDLE_DOT</t>
        </is>
      </c>
      <c r="VD30">
        <v>3</v>
      </c>
      <c r="VE30" t="inlineStr">
        <is>
          <t xml:space="preserve">#</t>
        </is>
      </c>
      <c r="VF30">
        <v>3</v>
      </c>
      <c r="VG30" t="inlineStr">
        <is>
          <t xml:space="preserve">MIDDLE_DOT</t>
        </is>
      </c>
      <c r="VH30">
        <v>3</v>
      </c>
      <c r="VI30" t="inlineStr">
        <is>
          <t xml:space="preserve">#</t>
        </is>
      </c>
      <c r="VJ30">
        <v>3</v>
      </c>
      <c r="VK30" t="inlineStr">
        <is>
          <t xml:space="preserve">*</t>
        </is>
      </c>
      <c r="VL30">
        <v>3</v>
      </c>
      <c r="VM30" t="inlineStr">
        <is>
          <t xml:space="preserve">#</t>
        </is>
      </c>
      <c r="VN30">
        <v>3</v>
      </c>
      <c r="VO30" t="inlineStr">
        <is>
          <t xml:space="preserve">U"\f\f\f" POUND_SIGN</t>
        </is>
      </c>
      <c r="VP30">
        <v>3</v>
      </c>
      <c r="VR30">
        <v>3</v>
      </c>
      <c r="VS30" t="inlineStr">
        <is>
          <t xml:space="preserve">U"\f\f\f" POUND_SIGN</t>
        </is>
      </c>
      <c r="VT30">
        <v>3</v>
      </c>
      <c r="VV30">
        <v>3</v>
      </c>
      <c r="VW30" t="inlineStr">
        <is>
          <t xml:space="preserve">EURO_SIGN</t>
        </is>
      </c>
      <c r="VX30">
        <v>3</v>
      </c>
      <c r="VY30" t="inlineStr">
        <is>
          <t xml:space="preserve">U"\f\f\f" POUND_SIGN</t>
        </is>
      </c>
      <c r="VZ30">
        <v>3</v>
      </c>
      <c r="WA30" t="inlineStr">
        <is>
          <t xml:space="preserve">*</t>
        </is>
      </c>
      <c r="WB30">
        <v>3</v>
      </c>
      <c r="WC30" t="inlineStr">
        <is>
          <t xml:space="preserve">#</t>
        </is>
      </c>
      <c r="WG30" t="inlineStr">
        <is>
          <t xml:space="preserve">U"\f\f\f" POUND_SIGN</t>
        </is>
      </c>
      <c r="WH30">
        <v>3</v>
      </c>
      <c r="WI30" t="inlineStr">
        <is>
          <t xml:space="preserve">#</t>
        </is>
      </c>
      <c r="WJ30">
        <v>3</v>
      </c>
      <c r="WK30" t="inlineStr">
        <is>
          <t xml:space="preserve">MIDDLE_DOT</t>
        </is>
      </c>
      <c r="WL30">
        <v>3</v>
      </c>
      <c r="WM30" t="inlineStr">
        <is>
          <t xml:space="preserve">#</t>
        </is>
      </c>
      <c r="WN30">
        <v>3</v>
      </c>
      <c r="WO30" t="inlineStr">
        <is>
          <t xml:space="preserve">MIDDLE_DOT</t>
        </is>
      </c>
      <c r="WP30">
        <v>3</v>
      </c>
      <c r="WQ30" t="inlineStr">
        <is>
          <t xml:space="preserve">#</t>
        </is>
      </c>
      <c r="WR30">
        <v>3</v>
      </c>
      <c r="WS30" t="inlineStr">
        <is>
          <t xml:space="preserve">MIDDLE_DOT</t>
        </is>
      </c>
      <c r="WX30">
        <v>3</v>
      </c>
      <c r="WY30" t="inlineStr">
        <is>
          <t xml:space="preserve">#</t>
        </is>
      </c>
      <c r="WZ30">
        <v>3</v>
      </c>
      <c r="XA30" t="inlineStr">
        <is>
          <t xml:space="preserve">MIDDLE_DOT</t>
        </is>
      </c>
      <c r="XB30" t="inlineStr">
        <is>
          <t xml:space="preserve">ARABIC_06F3</t>
        </is>
      </c>
      <c r="XC30" t="inlineStr">
        <is>
          <t xml:space="preserve">ARABIC_066B</t>
        </is>
      </c>
      <c r="XD30" t="inlineStr">
        <is>
          <t xml:space="preserve">ARABIC_06F3</t>
        </is>
      </c>
      <c r="XE30" t="inlineStr">
        <is>
          <t xml:space="preserve">#</t>
        </is>
      </c>
      <c r="XF30" t="inlineStr">
        <is>
          <t xml:space="preserve">UCAS_1550</t>
        </is>
      </c>
      <c r="XG30">
        <v>3</v>
      </c>
      <c r="XH30" t="inlineStr">
        <is>
          <t xml:space="preserve">UCAS_1550</t>
        </is>
      </c>
      <c r="XO30" t="inlineStr">
        <is>
          <t xml:space="preserve">CHEROKEE_13E7</t>
        </is>
      </c>
    </row>
    <row r="31" s="116" customFormat="true" ht="15" hidden="false" customHeight="false" outlineLevel="0" collapsed="false">
      <c r="A31" s="93" t="s">
        <v>1248</v>
      </c>
      <c r="B31" s="94" t="n">
        <v>4</v>
      </c>
      <c r="C31" s="94" t="s">
        <v>1249</v>
      </c>
      <c r="D31" s="94" t="n">
        <v>4</v>
      </c>
      <c r="E31" s="94"/>
      <c r="F31" s="95" t="n">
        <v>4</v>
      </c>
      <c r="G31" s="95" t="s">
        <v>1249</v>
      </c>
      <c r="H31" s="95"/>
      <c r="I31" s="95"/>
      <c r="J31" s="96" t="s">
        <v>1222</v>
      </c>
      <c r="K31" s="96" t="n">
        <v>4</v>
      </c>
      <c r="L31" s="96"/>
      <c r="M31" s="96" t="s">
        <v>1137</v>
      </c>
      <c r="N31" s="97" t="n">
        <v>4</v>
      </c>
      <c r="O31" s="97" t="s">
        <v>1249</v>
      </c>
      <c r="P31" s="97" t="n">
        <v>4</v>
      </c>
      <c r="Q31" s="97" t="s">
        <v>1234</v>
      </c>
      <c r="R31" s="98" t="n">
        <v>4</v>
      </c>
      <c r="S31" s="98" t="s">
        <v>1249</v>
      </c>
      <c r="T31" s="98" t="n">
        <v>4</v>
      </c>
      <c r="U31" t="inlineStr">
        <is>
          <t xml:space="preserve">U"\f\f\f" SECTION</t>
        </is>
      </c>
      <c r="V31" s="99" t="n">
        <v>4</v>
      </c>
      <c r="W31" s="99" t="s">
        <v>1249</v>
      </c>
      <c r="X31" s="99" t="n">
        <v>4</v>
      </c>
      <c r="Y31" s="99"/>
      <c r="Z31" s="100" t="n">
        <v>4</v>
      </c>
      <c r="AA31" s="100" t="s">
        <v>1237</v>
      </c>
      <c r="AB31" s="100" t="n">
        <v>4</v>
      </c>
      <c r="AC31" s="100" t="s">
        <v>1249</v>
      </c>
      <c r="AD31" s="101" t="n">
        <v>4</v>
      </c>
      <c r="AE31" s="101" t="s">
        <v>1249</v>
      </c>
      <c r="AF31" s="101" t="n">
        <v>4</v>
      </c>
      <c r="AG31" s="101"/>
      <c r="AH31" t="inlineStr">
        <is>
          <t xml:space="preserve">4</t>
        </is>
      </c>
      <c r="AI31" t="inlineStr">
        <is>
          <t xml:space="preserve">$</t>
        </is>
      </c>
      <c r="AJ31" t="inlineStr">
        <is>
          <t xml:space="preserve">4</t>
        </is>
      </c>
      <c r="AK31" t="inlineStr">
        <is>
          <t xml:space="preserve">HIRAGANA_U</t>
        </is>
      </c>
      <c r="AL31" s="103" t="n">
        <v>4</v>
      </c>
      <c r="AM31" s="103" t="s">
        <v>1249</v>
      </c>
      <c r="AN31" s="103" t="n">
        <v>4</v>
      </c>
      <c r="AO31" s="103" t="s">
        <v>629</v>
      </c>
      <c r="AP31" s="104" t="n">
        <v>4</v>
      </c>
      <c r="AQ31" s="104" t="s">
        <v>1249</v>
      </c>
      <c r="AR31" s="104" t="n">
        <v>4</v>
      </c>
      <c r="AS31" t="inlineStr">
        <is>
          <t xml:space="preserve">U"\f\f\f" POUND_SIGN</t>
        </is>
      </c>
      <c r="AT31" s="105" t="n">
        <v>4</v>
      </c>
      <c r="AU31" s="105" t="s">
        <v>1197</v>
      </c>
      <c r="AV31" s="105" t="n">
        <v>4</v>
      </c>
      <c r="AW31" s="105"/>
      <c r="AX31" s="106" t="n">
        <v>4</v>
      </c>
      <c r="AY31" s="106" t="s">
        <v>1197</v>
      </c>
      <c r="AZ31" s="106" t="n">
        <v>4</v>
      </c>
      <c r="BA31" s="106"/>
      <c r="BB31" s="107" t="n">
        <v>4</v>
      </c>
      <c r="BC31" s="107" t="s">
        <v>1197</v>
      </c>
      <c r="BD31" s="107" t="n">
        <v>4</v>
      </c>
      <c r="BE31" s="107"/>
      <c r="BF31" t="inlineStr">
        <is>
          <t xml:space="preserve">U"\f\f" CYRILLIC_SM_EN_W_DESC</t>
        </is>
      </c>
      <c r="BG31" t="inlineStr">
        <is>
          <t xml:space="preserve">CYRILLIC_EN_W_DESC</t>
        </is>
      </c>
      <c r="BH31" s="108"/>
      <c r="BI31" s="108"/>
      <c r="BJ31" s="109" t="n">
        <v>4</v>
      </c>
      <c r="BK31" s="109" t="s">
        <v>8</v>
      </c>
      <c r="BL31" s="109" t="n">
        <v>4</v>
      </c>
      <c r="BM31" s="109"/>
      <c r="BN31" s="95" t="n">
        <v>4</v>
      </c>
      <c r="BO31" t="inlineStr">
        <is>
          <t xml:space="preserve">U"\f\f\f" CURRENCY_SIGN</t>
        </is>
      </c>
      <c r="BP31" s="95"/>
      <c r="BQ31" s="95" t="s">
        <v>190</v>
      </c>
      <c r="BR31" s="110" t="n">
        <v>4</v>
      </c>
      <c r="BS31" s="124" t="s">
        <v>1249</v>
      </c>
      <c r="BT31" s="110" t="s">
        <v>1251</v>
      </c>
      <c r="BU31" s="110" t="s">
        <v>190</v>
      </c>
      <c r="BZ31" s="132" t="s">
        <v>1252</v>
      </c>
      <c r="CA31" s="132" t="s">
        <v>1249</v>
      </c>
      <c r="CB31" s="132" t="s">
        <v>1252</v>
      </c>
      <c r="CC31" s="133" t="s">
        <v>96</v>
      </c>
      <c r="CD31" s="95" t="n">
        <v>4</v>
      </c>
      <c r="CE31" s="95" t="s">
        <v>1249</v>
      </c>
      <c r="CF31" s="95"/>
      <c r="CG31" t="inlineStr">
        <is>
          <t xml:space="preserve">U"\xb" NEW_SHEQEL_SIGN</t>
        </is>
      </c>
      <c r="CH31" s="112" t="n">
        <v>4</v>
      </c>
      <c r="CI31" s="134" t="s">
        <v>51</v>
      </c>
      <c r="CJ31" s="112" t="n">
        <v>4</v>
      </c>
      <c r="CK31" s="112" t="s">
        <v>1249</v>
      </c>
      <c r="CL31" s="113" t="n">
        <v>4</v>
      </c>
      <c r="CM31" s="135" t="s">
        <v>51</v>
      </c>
      <c r="CN31" s="113" t="n">
        <v>4</v>
      </c>
      <c r="CO31" s="113" t="s">
        <v>1249</v>
      </c>
      <c r="CP31" s="84" t="n">
        <v>4</v>
      </c>
      <c r="CQ31" s="131" t="s">
        <v>51</v>
      </c>
      <c r="CR31" s="84" t="n">
        <v>4</v>
      </c>
      <c r="CS31" s="84" t="s">
        <v>1249</v>
      </c>
      <c r="CT31" s="110" t="n">
        <v>4</v>
      </c>
      <c r="CU31" s="124" t="s">
        <v>51</v>
      </c>
      <c r="CV31" s="110" t="n">
        <v>4</v>
      </c>
      <c r="CW31" s="110" t="s">
        <v>1249</v>
      </c>
      <c r="CX31" s="114" t="n">
        <v>4</v>
      </c>
      <c r="CY31" s="126" t="s">
        <v>1249</v>
      </c>
      <c r="CZ31" s="114" t="n">
        <v>4</v>
      </c>
      <c r="DA31" s="114" t="s">
        <v>190</v>
      </c>
      <c r="DB31" t="inlineStr">
        <is>
          <t xml:space="preserve">U"\f\f\f\f" LATIN_010D</t>
        </is>
      </c>
      <c r="DC31" s="115" t="n">
        <v>4</v>
      </c>
      <c r="DD31" s="115" t="n">
        <v>4</v>
      </c>
      <c r="DE31" s="115" t="s">
        <v>190</v>
      </c>
      <c r="DF31">
        <v>4</v>
      </c>
      <c r="DG31" t="inlineStr">
        <is>
          <t xml:space="preserve">$</t>
        </is>
      </c>
      <c r="DH31">
        <v>4</v>
      </c>
      <c r="DI31" t="inlineStr">
        <is>
          <t xml:space="preserve">MOD_BREVE</t>
        </is>
      </c>
      <c r="DJ31" t="inlineStr">
        <is>
          <t xml:space="preserve">LATIN_010D</t>
        </is>
      </c>
      <c r="DK31">
        <v>4</v>
      </c>
      <c r="DL31">
        <v>4</v>
      </c>
      <c r="DM31" t="inlineStr">
        <is>
          <t xml:space="preserve">MOD_BREVE</t>
        </is>
      </c>
      <c r="DN31" t="inlineStr">
        <is>
          <t xml:space="preserve">U"\f\f" LATIN_0117</t>
        </is>
      </c>
      <c r="DO31" t="inlineStr">
        <is>
          <t xml:space="preserve">LATIN_0116</t>
        </is>
      </c>
      <c r="DQ31">
        <v>4</v>
      </c>
      <c r="DU31" t="inlineStr">
        <is>
          <t xml:space="preserve">EURO_SIGN</t>
        </is>
      </c>
      <c r="DV31">
        <v>4</v>
      </c>
      <c r="DW31" t="inlineStr">
        <is>
          <t xml:space="preserve">CURRENCY_SIGN</t>
        </is>
      </c>
      <c r="DX31">
        <v>4</v>
      </c>
      <c r="DY31" t="inlineStr">
        <is>
          <t xml:space="preserve">$</t>
        </is>
      </c>
      <c r="EC31" t="inlineStr">
        <is>
          <t xml:space="preserve">U"\f\f\f" POUND_SIGN</t>
        </is>
      </c>
      <c r="ED31">
        <v>4</v>
      </c>
      <c r="EE31" t="inlineStr">
        <is>
          <t xml:space="preserve">$</t>
        </is>
      </c>
      <c r="EF31">
        <v>4</v>
      </c>
      <c r="EH31">
        <v>4</v>
      </c>
      <c r="EI31" t="inlineStr">
        <is>
          <t xml:space="preserve">$</t>
        </is>
      </c>
      <c r="EJ31">
        <v>4</v>
      </c>
      <c r="EO31" t="inlineStr">
        <is>
          <t xml:space="preserve">ARABIC_EXT_INDIC_4</t>
        </is>
      </c>
      <c r="EP31" t="inlineStr">
        <is>
          <t xml:space="preserve">DEVANAGARI_096A</t>
        </is>
      </c>
      <c r="EQ31" t="inlineStr">
        <is>
          <t xml:space="preserve">$</t>
        </is>
      </c>
      <c r="ER31" t="inlineStr">
        <is>
          <t xml:space="preserve">DEVANAGARI_096A</t>
        </is>
      </c>
      <c r="ET31" t="inlineStr">
        <is>
          <t xml:space="preserve">DEVANAGARI_096A</t>
        </is>
      </c>
      <c r="EU31" t="inlineStr">
        <is>
          <t xml:space="preserve">$</t>
        </is>
      </c>
      <c r="EV31" t="inlineStr">
        <is>
          <t xml:space="preserve">DEVANAGARI_096A</t>
        </is>
      </c>
      <c r="EX31" t="inlineStr">
        <is>
          <t xml:space="preserve">DEVANAGARI_096A</t>
        </is>
      </c>
      <c r="EY31" t="inlineStr">
        <is>
          <t xml:space="preserve">$</t>
        </is>
      </c>
      <c r="EZ31" t="inlineStr">
        <is>
          <t xml:space="preserve">DEVANAGARI_096A</t>
        </is>
      </c>
      <c r="FB31">
        <v>4</v>
      </c>
      <c r="FD31">
        <v>4</v>
      </c>
      <c r="FF31">
        <v>4</v>
      </c>
      <c r="FG31" t="inlineStr">
        <is>
          <t xml:space="preserve">$</t>
        </is>
      </c>
      <c r="FH31">
        <v>4</v>
      </c>
      <c r="FI31" t="inlineStr">
        <is>
          <t xml:space="preserve">ARABIC_EXT_INDIC_4</t>
        </is>
      </c>
      <c r="FJ31">
        <v>4</v>
      </c>
      <c r="FK31" t="inlineStr">
        <is>
          <t xml:space="preserve">$</t>
        </is>
      </c>
      <c r="FL31">
        <v>4</v>
      </c>
      <c r="FM31" t="inlineStr">
        <is>
          <t xml:space="preserve">EURO_SIGN</t>
        </is>
      </c>
      <c r="FN31">
        <v>4</v>
      </c>
      <c r="FO31" t="inlineStr">
        <is>
          <t xml:space="preserve">$</t>
        </is>
      </c>
      <c r="FP31">
        <v>4</v>
      </c>
      <c r="FQ31" t="inlineStr">
        <is>
          <t xml:space="preserve">~</t>
        </is>
      </c>
      <c r="FR31">
        <v>4</v>
      </c>
      <c r="FS31" t="inlineStr">
        <is>
          <t xml:space="preserve">C_WITH_CEDILLA_SMALL</t>
        </is>
      </c>
      <c r="FT31">
        <v>4</v>
      </c>
      <c r="FV31" t="inlineStr">
        <is>
          <t xml:space="preserve">'</t>
        </is>
      </c>
      <c r="FW31">
        <v>4</v>
      </c>
      <c r="FX31" t="inlineStr">
        <is>
          <t xml:space="preserve">'</t>
        </is>
      </c>
      <c r="FZ31">
        <v>4</v>
      </c>
      <c r="GA31" t="inlineStr">
        <is>
          <t xml:space="preserve">$</t>
        </is>
      </c>
      <c r="GB31">
        <v>4</v>
      </c>
      <c r="GC31" t="inlineStr">
        <is>
          <t xml:space="preserve">CENT_SIGN</t>
        </is>
      </c>
      <c r="GD31" t="inlineStr">
        <is>
          <t xml:space="preserve">THAI_0E20</t>
        </is>
      </c>
      <c r="GE31" t="inlineStr">
        <is>
          <t xml:space="preserve">THAI_0E53</t>
        </is>
      </c>
      <c r="GF31" t="inlineStr">
        <is>
          <t xml:space="preserve">THAI_0E20</t>
        </is>
      </c>
      <c r="GG31">
        <v>4</v>
      </c>
      <c r="GH31" t="inlineStr">
        <is>
          <t xml:space="preserve">BENGALI_09EA</t>
        </is>
      </c>
      <c r="GI31" t="inlineStr">
        <is>
          <t xml:space="preserve">$</t>
        </is>
      </c>
      <c r="GJ31" t="inlineStr">
        <is>
          <t xml:space="preserve">BENGALI_09EA</t>
        </is>
      </c>
      <c r="GL31" t="inlineStr">
        <is>
          <t xml:space="preserve">TELUGU_0C6A</t>
        </is>
      </c>
      <c r="GM31" t="inlineStr">
        <is>
          <t xml:space="preserve">$</t>
        </is>
      </c>
      <c r="GN31" t="inlineStr">
        <is>
          <t xml:space="preserve">TELUGU_0C6A</t>
        </is>
      </c>
      <c r="GP31" t="inlineStr">
        <is>
          <t xml:space="preserve">TAMIL_0BEA</t>
        </is>
      </c>
      <c r="GQ31" t="inlineStr">
        <is>
          <t xml:space="preserve">$</t>
        </is>
      </c>
      <c r="GR31" t="inlineStr">
        <is>
          <t xml:space="preserve">TAMIL_0BEA</t>
        </is>
      </c>
      <c r="GT31" t="inlineStr">
        <is>
          <t xml:space="preserve">ZHUYIN_02CB</t>
        </is>
      </c>
      <c r="GV31" t="inlineStr">
        <is>
          <t xml:space="preserve">ZHUYIN_02CB</t>
        </is>
      </c>
      <c r="GW31">
        <v>4</v>
      </c>
      <c r="HB31" t="inlineStr">
        <is>
          <t xml:space="preserve">COMMA</t>
        </is>
      </c>
      <c r="HC31" t="inlineStr">
        <is>
          <t xml:space="preserve">$</t>
        </is>
      </c>
      <c r="HD31" t="inlineStr">
        <is>
          <t xml:space="preserve">COMMA</t>
        </is>
      </c>
      <c r="HE31">
        <v>4</v>
      </c>
      <c r="HJ31">
        <v>4</v>
      </c>
      <c r="HK31" t="inlineStr">
        <is>
          <t xml:space="preserve">;</t>
        </is>
      </c>
      <c r="HL31">
        <v>4</v>
      </c>
      <c r="HM31" t="inlineStr">
        <is>
          <t xml:space="preserve">MANAT_SIGN</t>
        </is>
      </c>
      <c r="HR31" t="inlineStr">
        <is>
          <t xml:space="preserve">LATIN_00F4</t>
        </is>
      </c>
      <c r="HS31" t="inlineStr">
        <is>
          <t xml:space="preserve">LATIN_00D4</t>
        </is>
      </c>
      <c r="HU31">
        <v>4</v>
      </c>
      <c r="HV31">
        <v>4</v>
      </c>
      <c r="HW31" t="inlineStr">
        <is>
          <t xml:space="preserve">YEN_SIGN</t>
        </is>
      </c>
      <c r="HX31">
        <v>4</v>
      </c>
      <c r="JJ31">
        <v>4</v>
      </c>
      <c r="JK31" t="inlineStr">
        <is>
          <t xml:space="preserve">$</t>
        </is>
      </c>
      <c r="JL31">
        <v>4</v>
      </c>
      <c r="JM31" t="inlineStr">
        <is>
          <t xml:space="preserve">ARABIC_INDIC_4</t>
        </is>
      </c>
      <c r="JR31">
        <v>4</v>
      </c>
      <c r="JS31" t="inlineStr">
        <is>
          <t xml:space="preserve">$</t>
        </is>
      </c>
      <c r="JT31">
        <v>4</v>
      </c>
      <c r="JU31" t="inlineStr">
        <is>
          <t xml:space="preserve">ETHIOPIC_136C</t>
        </is>
      </c>
      <c r="JV31">
        <v>4</v>
      </c>
      <c r="JW31" t="inlineStr">
        <is>
          <t xml:space="preserve">NAIRA_SIGN</t>
        </is>
      </c>
      <c r="JX31">
        <v>4</v>
      </c>
      <c r="JY31" t="inlineStr">
        <is>
          <t xml:space="preserve">$</t>
        </is>
      </c>
      <c r="JZ31">
        <v>4</v>
      </c>
      <c r="KA31" t="inlineStr">
        <is>
          <t xml:space="preserve">NAIRA_SIGN</t>
        </is>
      </c>
      <c r="KB31">
        <v>4</v>
      </c>
      <c r="KC31" t="inlineStr">
        <is>
          <t xml:space="preserve">$</t>
        </is>
      </c>
      <c r="KD31">
        <v>4</v>
      </c>
      <c r="KE31" t="inlineStr">
        <is>
          <t xml:space="preserve">$</t>
        </is>
      </c>
      <c r="KF31">
        <v>4</v>
      </c>
      <c r="KG31" t="inlineStr">
        <is>
          <t xml:space="preserve">ARABIC_INDIC_4</t>
        </is>
      </c>
      <c r="KH31">
        <v>4</v>
      </c>
      <c r="KI31" t="inlineStr">
        <is>
          <t xml:space="preserve">$</t>
        </is>
      </c>
      <c r="KJ31">
        <v>4</v>
      </c>
      <c r="KK31" t="inlineStr">
        <is>
          <t xml:space="preserve">ARABIC_INDIC_4</t>
        </is>
      </c>
      <c r="KL31">
        <v>4</v>
      </c>
      <c r="KM31" t="inlineStr">
        <is>
          <t xml:space="preserve">$</t>
        </is>
      </c>
      <c r="KN31">
        <v>4</v>
      </c>
      <c r="KO31" t="inlineStr">
        <is>
          <t xml:space="preserve">ARABIC_INDIC_4</t>
        </is>
      </c>
      <c r="LA31" t="inlineStr">
        <is>
          <t xml:space="preserve">CURRENCY_SIGN</t>
        </is>
      </c>
      <c r="LB31">
        <v>4</v>
      </c>
      <c r="LC31" t="inlineStr">
        <is>
          <t xml:space="preserve">$</t>
        </is>
      </c>
      <c r="LD31">
        <v>4</v>
      </c>
      <c r="LE31" t="inlineStr">
        <is>
          <t xml:space="preserve">~</t>
        </is>
      </c>
      <c r="LJ31" t="inlineStr">
        <is>
          <t xml:space="preserve">'</t>
        </is>
      </c>
      <c r="LK31">
        <v>4</v>
      </c>
      <c r="LM31" t="inlineStr">
        <is>
          <t xml:space="preserve">{</t>
        </is>
      </c>
      <c r="LN31">
        <v>4</v>
      </c>
      <c r="LO31" t="inlineStr">
        <is>
          <t xml:space="preserve">$</t>
        </is>
      </c>
      <c r="LP31">
        <v>4</v>
      </c>
      <c r="LQ31" t="inlineStr">
        <is>
          <t xml:space="preserve">~</t>
        </is>
      </c>
      <c r="LR31">
        <v>4</v>
      </c>
      <c r="LS31" t="inlineStr">
        <is>
          <t xml:space="preserve">$</t>
        </is>
      </c>
      <c r="LT31">
        <v>4</v>
      </c>
      <c r="LU31" t="inlineStr">
        <is>
          <t xml:space="preserve">~</t>
        </is>
      </c>
      <c r="LV31">
        <v>4</v>
      </c>
      <c r="LW31" t="inlineStr">
        <is>
          <t xml:space="preserve">$</t>
        </is>
      </c>
      <c r="LX31">
        <v>4</v>
      </c>
      <c r="LY31" t="inlineStr">
        <is>
          <t xml:space="preserve">~</t>
        </is>
      </c>
      <c r="LZ31">
        <v>4</v>
      </c>
      <c r="MA31" t="inlineStr">
        <is>
          <t xml:space="preserve">$</t>
        </is>
      </c>
      <c r="MB31">
        <v>4</v>
      </c>
      <c r="MC31" t="inlineStr">
        <is>
          <t xml:space="preserve">~</t>
        </is>
      </c>
      <c r="MD31">
        <v>4</v>
      </c>
      <c r="ME31" t="inlineStr">
        <is>
          <t xml:space="preserve">$</t>
        </is>
      </c>
      <c r="MF31">
        <v>4</v>
      </c>
      <c r="MG31" t="inlineStr">
        <is>
          <t xml:space="preserve">~</t>
        </is>
      </c>
      <c r="MH31">
        <v>4</v>
      </c>
      <c r="MI31" t="inlineStr">
        <is>
          <t xml:space="preserve">$</t>
        </is>
      </c>
      <c r="MJ31">
        <v>4</v>
      </c>
      <c r="MK31" t="inlineStr">
        <is>
          <t xml:space="preserve">~</t>
        </is>
      </c>
      <c r="ML31">
        <v>4</v>
      </c>
      <c r="MM31" t="inlineStr">
        <is>
          <t xml:space="preserve">$</t>
        </is>
      </c>
      <c r="MN31">
        <v>4</v>
      </c>
      <c r="MO31" t="inlineStr">
        <is>
          <t xml:space="preserve">~</t>
        </is>
      </c>
      <c r="MP31">
        <v>4</v>
      </c>
      <c r="MQ31" t="inlineStr">
        <is>
          <t xml:space="preserve">$</t>
        </is>
      </c>
      <c r="MR31">
        <v>4</v>
      </c>
      <c r="MS31" t="inlineStr">
        <is>
          <t xml:space="preserve">~</t>
        </is>
      </c>
      <c r="MT31">
        <v>4</v>
      </c>
      <c r="MU31" t="inlineStr">
        <is>
          <t xml:space="preserve">$</t>
        </is>
      </c>
      <c r="MV31">
        <v>4</v>
      </c>
      <c r="MW31" t="inlineStr">
        <is>
          <t xml:space="preserve">~</t>
        </is>
      </c>
      <c r="MX31">
        <v>4</v>
      </c>
      <c r="MY31" t="inlineStr">
        <is>
          <t xml:space="preserve">$</t>
        </is>
      </c>
      <c r="MZ31">
        <v>4</v>
      </c>
      <c r="NA31" t="inlineStr">
        <is>
          <t xml:space="preserve">~</t>
        </is>
      </c>
      <c r="NB31">
        <v>4</v>
      </c>
      <c r="NC31" t="inlineStr">
        <is>
          <t xml:space="preserve">$</t>
        </is>
      </c>
      <c r="ND31">
        <v>4</v>
      </c>
      <c r="NE31" t="inlineStr">
        <is>
          <t xml:space="preserve">~</t>
        </is>
      </c>
      <c r="NF31">
        <v>4</v>
      </c>
      <c r="NG31" t="inlineStr">
        <is>
          <t xml:space="preserve">$</t>
        </is>
      </c>
      <c r="NH31">
        <v>4</v>
      </c>
      <c r="NI31" t="inlineStr">
        <is>
          <t xml:space="preserve">~</t>
        </is>
      </c>
      <c r="NJ31">
        <v>4</v>
      </c>
      <c r="NK31" t="inlineStr">
        <is>
          <t xml:space="preserve">$</t>
        </is>
      </c>
      <c r="NL31">
        <v>4</v>
      </c>
      <c r="NM31" t="inlineStr">
        <is>
          <t xml:space="preserve">~</t>
        </is>
      </c>
      <c r="NN31">
        <v>4</v>
      </c>
      <c r="NO31" t="inlineStr">
        <is>
          <t xml:space="preserve">$</t>
        </is>
      </c>
      <c r="NP31">
        <v>4</v>
      </c>
      <c r="NQ31" t="inlineStr">
        <is>
          <t xml:space="preserve">~</t>
        </is>
      </c>
      <c r="NR31">
        <v>4</v>
      </c>
      <c r="NS31" t="inlineStr">
        <is>
          <t xml:space="preserve">$</t>
        </is>
      </c>
      <c r="NT31">
        <v>4</v>
      </c>
      <c r="NU31" t="inlineStr">
        <is>
          <t xml:space="preserve">~</t>
        </is>
      </c>
      <c r="NV31">
        <v>4</v>
      </c>
      <c r="NW31" t="inlineStr">
        <is>
          <t xml:space="preserve">$</t>
        </is>
      </c>
      <c r="NZ31" t="inlineStr">
        <is>
          <t xml:space="preserve">'</t>
        </is>
      </c>
      <c r="OA31">
        <v>4</v>
      </c>
      <c r="OB31" t="inlineStr">
        <is>
          <t xml:space="preserve">'</t>
        </is>
      </c>
      <c r="OD31">
        <v>4</v>
      </c>
      <c r="OE31" t="inlineStr">
        <is>
          <t xml:space="preserve">$</t>
        </is>
      </c>
      <c r="OF31">
        <v>4</v>
      </c>
      <c r="OG31" t="inlineStr">
        <is>
          <t xml:space="preserve">~</t>
        </is>
      </c>
      <c r="OH31">
        <v>4</v>
      </c>
      <c r="OI31" t="inlineStr">
        <is>
          <t xml:space="preserve">$</t>
        </is>
      </c>
      <c r="OJ31">
        <v>4</v>
      </c>
      <c r="OK31" t="inlineStr">
        <is>
          <t xml:space="preserve">EURO_SIGN</t>
        </is>
      </c>
      <c r="OL31">
        <v>4</v>
      </c>
      <c r="OM31" t="inlineStr">
        <is>
          <t xml:space="preserve">$</t>
        </is>
      </c>
      <c r="ON31">
        <v>4</v>
      </c>
      <c r="OO31" t="inlineStr">
        <is>
          <t xml:space="preserve">MOD_BREVE</t>
        </is>
      </c>
      <c r="OP31">
        <v>4</v>
      </c>
      <c r="OQ31" t="inlineStr">
        <is>
          <t xml:space="preserve">C_WITH_CEDILLA_SMALL</t>
        </is>
      </c>
      <c r="OR31">
        <v>4</v>
      </c>
      <c r="OT31">
        <v>4</v>
      </c>
      <c r="OU31" t="inlineStr">
        <is>
          <t xml:space="preserve">$</t>
        </is>
      </c>
      <c r="OV31">
        <v>4</v>
      </c>
      <c r="OW31" t="inlineStr">
        <is>
          <t xml:space="preserve">MOD_BREVE</t>
        </is>
      </c>
      <c r="OX31">
        <v>4</v>
      </c>
      <c r="OY31" t="inlineStr">
        <is>
          <t xml:space="preserve">CURRENCY_SIGN</t>
        </is>
      </c>
      <c r="OZ31">
        <v>4</v>
      </c>
      <c r="PA31" t="inlineStr">
        <is>
          <t xml:space="preserve">$</t>
        </is>
      </c>
      <c r="PB31">
        <v>4</v>
      </c>
      <c r="PC31" t="inlineStr">
        <is>
          <t xml:space="preserve">$</t>
        </is>
      </c>
      <c r="PD31">
        <v>4</v>
      </c>
      <c r="PE31" t="inlineStr">
        <is>
          <t xml:space="preserve">ARABIC_INDIC_4</t>
        </is>
      </c>
      <c r="PF31">
        <v>4</v>
      </c>
      <c r="PG31" t="inlineStr">
        <is>
          <t xml:space="preserve">$</t>
        </is>
      </c>
      <c r="PH31">
        <v>4</v>
      </c>
      <c r="PI31" t="inlineStr">
        <is>
          <t xml:space="preserve">ARABIC_INDIC_4</t>
        </is>
      </c>
      <c r="PJ31">
        <v>4</v>
      </c>
      <c r="PK31" t="inlineStr">
        <is>
          <t xml:space="preserve">$</t>
        </is>
      </c>
      <c r="PL31">
        <v>4</v>
      </c>
      <c r="PM31" t="inlineStr">
        <is>
          <t xml:space="preserve">ARABIC_INDIC_4</t>
        </is>
      </c>
      <c r="PN31">
        <v>4</v>
      </c>
      <c r="PO31" t="inlineStr">
        <is>
          <t xml:space="preserve">$</t>
        </is>
      </c>
      <c r="PP31">
        <v>4</v>
      </c>
      <c r="PQ31" t="inlineStr">
        <is>
          <t xml:space="preserve">ARABIC_INDIC_4</t>
        </is>
      </c>
      <c r="PR31">
        <v>4</v>
      </c>
      <c r="PS31" t="inlineStr">
        <is>
          <t xml:space="preserve">$</t>
        </is>
      </c>
      <c r="PT31">
        <v>4</v>
      </c>
      <c r="PU31" t="inlineStr">
        <is>
          <t xml:space="preserve">ARABIC_INDIC_4</t>
        </is>
      </c>
      <c r="PV31">
        <v>4</v>
      </c>
      <c r="PW31" t="inlineStr">
        <is>
          <t xml:space="preserve">$</t>
        </is>
      </c>
      <c r="PX31">
        <v>4</v>
      </c>
      <c r="PY31" t="inlineStr">
        <is>
          <t xml:space="preserve">ARABIC_INDIC_4</t>
        </is>
      </c>
      <c r="PZ31">
        <v>4</v>
      </c>
      <c r="QA31" t="inlineStr">
        <is>
          <t xml:space="preserve">$</t>
        </is>
      </c>
      <c r="QB31">
        <v>4</v>
      </c>
      <c r="QC31" t="inlineStr">
        <is>
          <t xml:space="preserve">ARABIC_INDIC_4</t>
        </is>
      </c>
      <c r="QD31">
        <v>4</v>
      </c>
      <c r="QE31" t="inlineStr">
        <is>
          <t xml:space="preserve">$</t>
        </is>
      </c>
      <c r="QF31">
        <v>4</v>
      </c>
      <c r="QG31" t="inlineStr">
        <is>
          <t xml:space="preserve">ARABIC_INDIC_4</t>
        </is>
      </c>
      <c r="QH31">
        <v>4</v>
      </c>
      <c r="QI31" t="inlineStr">
        <is>
          <t xml:space="preserve">$</t>
        </is>
      </c>
      <c r="QJ31">
        <v>4</v>
      </c>
      <c r="QK31" t="inlineStr">
        <is>
          <t xml:space="preserve">ARABIC_INDIC_4</t>
        </is>
      </c>
      <c r="QL31">
        <v>4</v>
      </c>
      <c r="QM31" t="inlineStr">
        <is>
          <t xml:space="preserve">$</t>
        </is>
      </c>
      <c r="QN31">
        <v>4</v>
      </c>
      <c r="QO31" t="inlineStr">
        <is>
          <t xml:space="preserve">ARABIC_INDIC_4</t>
        </is>
      </c>
      <c r="QP31">
        <v>4</v>
      </c>
      <c r="QQ31" t="inlineStr">
        <is>
          <t xml:space="preserve">$</t>
        </is>
      </c>
      <c r="QR31">
        <v>4</v>
      </c>
      <c r="QS31" t="inlineStr">
        <is>
          <t xml:space="preserve">ARABIC_INDIC_4</t>
        </is>
      </c>
      <c r="QT31">
        <v>4</v>
      </c>
      <c r="QU31" t="inlineStr">
        <is>
          <t xml:space="preserve">$</t>
        </is>
      </c>
      <c r="QV31">
        <v>4</v>
      </c>
      <c r="QW31" t="inlineStr">
        <is>
          <t xml:space="preserve">ARABIC_INDIC_4</t>
        </is>
      </c>
      <c r="QX31">
        <v>4</v>
      </c>
      <c r="QY31" t="inlineStr">
        <is>
          <t xml:space="preserve">$</t>
        </is>
      </c>
      <c r="QZ31">
        <v>4</v>
      </c>
      <c r="RA31" t="inlineStr">
        <is>
          <t xml:space="preserve">ARABIC_INDIC_4</t>
        </is>
      </c>
      <c r="RB31">
        <v>4</v>
      </c>
      <c r="RC31" t="inlineStr">
        <is>
          <t xml:space="preserve">$</t>
        </is>
      </c>
      <c r="RD31">
        <v>4</v>
      </c>
      <c r="RE31" t="inlineStr">
        <is>
          <t xml:space="preserve">ARABIC_INDIC_4</t>
        </is>
      </c>
      <c r="RF31" t="inlineStr">
        <is>
          <t xml:space="preserve">'</t>
        </is>
      </c>
      <c r="RG31">
        <v>4</v>
      </c>
      <c r="RI31" t="inlineStr">
        <is>
          <t xml:space="preserve">{</t>
        </is>
      </c>
      <c r="RJ31" t="inlineStr">
        <is>
          <t xml:space="preserve">'</t>
        </is>
      </c>
      <c r="RK31">
        <v>4</v>
      </c>
      <c r="RM31" t="inlineStr">
        <is>
          <t xml:space="preserve">{</t>
        </is>
      </c>
      <c r="RN31" t="inlineStr">
        <is>
          <t xml:space="preserve">'</t>
        </is>
      </c>
      <c r="RO31">
        <v>4</v>
      </c>
      <c r="RQ31" t="inlineStr">
        <is>
          <t xml:space="preserve">{</t>
        </is>
      </c>
      <c r="RR31" t="inlineStr">
        <is>
          <t xml:space="preserve">'</t>
        </is>
      </c>
      <c r="RS31">
        <v>4</v>
      </c>
      <c r="RU31" t="inlineStr">
        <is>
          <t xml:space="preserve">{</t>
        </is>
      </c>
      <c r="RV31" t="inlineStr">
        <is>
          <t xml:space="preserve">'</t>
        </is>
      </c>
      <c r="RW31">
        <v>4</v>
      </c>
      <c r="RY31" t="inlineStr">
        <is>
          <t xml:space="preserve">{</t>
        </is>
      </c>
      <c r="SP31">
        <v>4</v>
      </c>
      <c r="SQ31" t="inlineStr">
        <is>
          <t xml:space="preserve">$</t>
        </is>
      </c>
      <c r="SR31">
        <v>4</v>
      </c>
      <c r="SS31" t="inlineStr">
        <is>
          <t xml:space="preserve">U"\f\f\f" SECTION</t>
        </is>
      </c>
      <c r="ST31">
        <v>4</v>
      </c>
      <c r="SU31" t="inlineStr">
        <is>
          <t xml:space="preserve">$</t>
        </is>
      </c>
      <c r="SV31">
        <v>4</v>
      </c>
      <c r="SW31" t="inlineStr">
        <is>
          <t xml:space="preserve">U"\f\f\f" SECTION</t>
        </is>
      </c>
      <c r="SX31" t="inlineStr">
        <is>
          <t xml:space="preserve">BENGALI_09EA</t>
        </is>
      </c>
      <c r="SY31" t="inlineStr">
        <is>
          <t xml:space="preserve">$</t>
        </is>
      </c>
      <c r="SZ31" t="inlineStr">
        <is>
          <t xml:space="preserve">BENGALI_09EA</t>
        </is>
      </c>
      <c r="TA31" t="inlineStr">
        <is>
          <t xml:space="preserve">4</t>
        </is>
      </c>
      <c r="TV31">
        <v>4</v>
      </c>
      <c r="TW31" t="inlineStr">
        <is>
          <t xml:space="preserve">;</t>
        </is>
      </c>
      <c r="TX31">
        <v>4</v>
      </c>
      <c r="TZ31">
        <v>4</v>
      </c>
      <c r="UA31" t="inlineStr">
        <is>
          <t xml:space="preserve">;</t>
        </is>
      </c>
      <c r="UB31">
        <v>4</v>
      </c>
      <c r="UT31" t="inlineStr">
        <is>
          <t xml:space="preserve">'</t>
        </is>
      </c>
      <c r="UU31">
        <v>4</v>
      </c>
      <c r="UW31" t="inlineStr">
        <is>
          <t xml:space="preserve">{</t>
        </is>
      </c>
      <c r="VB31">
        <v>4</v>
      </c>
      <c r="VC31" t="inlineStr">
        <is>
          <t xml:space="preserve">$</t>
        </is>
      </c>
      <c r="VD31">
        <v>4</v>
      </c>
      <c r="VE31" t="inlineStr">
        <is>
          <t xml:space="preserve">~</t>
        </is>
      </c>
      <c r="VF31">
        <v>4</v>
      </c>
      <c r="VG31" t="inlineStr">
        <is>
          <t xml:space="preserve">$</t>
        </is>
      </c>
      <c r="VH31">
        <v>4</v>
      </c>
      <c r="VI31" t="inlineStr">
        <is>
          <t xml:space="preserve">~</t>
        </is>
      </c>
      <c r="VJ31">
        <v>4</v>
      </c>
      <c r="VK31" t="inlineStr">
        <is>
          <t xml:space="preserve">U"\f\f\f" C_WITH_CEDILLA_SMALL</t>
        </is>
      </c>
      <c r="VL31">
        <v>4</v>
      </c>
      <c r="VN31">
        <v>4</v>
      </c>
      <c r="VO31" t="inlineStr">
        <is>
          <t xml:space="preserve">$</t>
        </is>
      </c>
      <c r="VP31">
        <v>4</v>
      </c>
      <c r="VQ31" t="inlineStr">
        <is>
          <t xml:space="preserve">EURO_SIGN</t>
        </is>
      </c>
      <c r="VR31">
        <v>4</v>
      </c>
      <c r="VS31" t="inlineStr">
        <is>
          <t xml:space="preserve">$</t>
        </is>
      </c>
      <c r="VT31">
        <v>4</v>
      </c>
      <c r="VU31" t="inlineStr">
        <is>
          <t xml:space="preserve">EURO_SIGN</t>
        </is>
      </c>
      <c r="VV31">
        <v>4</v>
      </c>
      <c r="VW31" t="inlineStr">
        <is>
          <t xml:space="preserve">$</t>
        </is>
      </c>
      <c r="VX31">
        <v>4</v>
      </c>
      <c r="VY31" t="inlineStr">
        <is>
          <t xml:space="preserve">EURO_SIGN</t>
        </is>
      </c>
      <c r="VZ31">
        <v>4</v>
      </c>
      <c r="WA31" t="inlineStr">
        <is>
          <t xml:space="preserve">C_WITH_CEDILLA_SMALL</t>
        </is>
      </c>
      <c r="WB31">
        <v>4</v>
      </c>
      <c r="WH31">
        <v>4</v>
      </c>
      <c r="WI31" t="inlineStr">
        <is>
          <t xml:space="preserve">$</t>
        </is>
      </c>
      <c r="WJ31">
        <v>4</v>
      </c>
      <c r="WK31" t="inlineStr">
        <is>
          <t xml:space="preserve">~</t>
        </is>
      </c>
      <c r="WL31">
        <v>4</v>
      </c>
      <c r="WM31" t="inlineStr">
        <is>
          <t xml:space="preserve">$</t>
        </is>
      </c>
      <c r="WN31">
        <v>4</v>
      </c>
      <c r="WO31" t="inlineStr">
        <is>
          <t xml:space="preserve">~</t>
        </is>
      </c>
      <c r="WP31">
        <v>4</v>
      </c>
      <c r="WQ31" t="inlineStr">
        <is>
          <t xml:space="preserve">$</t>
        </is>
      </c>
      <c r="WR31">
        <v>4</v>
      </c>
      <c r="WS31" t="inlineStr">
        <is>
          <t xml:space="preserve">~</t>
        </is>
      </c>
      <c r="WX31">
        <v>4</v>
      </c>
      <c r="WY31" t="inlineStr">
        <is>
          <t xml:space="preserve">$</t>
        </is>
      </c>
      <c r="WZ31">
        <v>4</v>
      </c>
      <c r="XA31" t="inlineStr">
        <is>
          <t xml:space="preserve">~</t>
        </is>
      </c>
      <c r="XB31" t="inlineStr">
        <is>
          <t xml:space="preserve">ARABIC_06F4</t>
        </is>
      </c>
      <c r="XD31" t="inlineStr">
        <is>
          <t xml:space="preserve">ARABIC_06F4</t>
        </is>
      </c>
      <c r="XE31" t="inlineStr">
        <is>
          <t xml:space="preserve">$</t>
        </is>
      </c>
      <c r="XF31" t="inlineStr">
        <is>
          <t xml:space="preserve">UCAS_1483</t>
        </is>
      </c>
      <c r="XG31">
        <v>4</v>
      </c>
      <c r="XH31" t="inlineStr">
        <is>
          <t xml:space="preserve">UCAS_1483</t>
        </is>
      </c>
      <c r="XN31" t="inlineStr">
        <is>
          <t xml:space="preserve">CHEROKEE_13D9</t>
        </is>
      </c>
      <c r="XO31" t="inlineStr">
        <is>
          <t xml:space="preserve">CHEROKEE_13B0</t>
        </is>
      </c>
      <c r="XP31" t="inlineStr">
        <is>
          <t xml:space="preserve">CHEROKEE_13D9</t>
        </is>
      </c>
      <c r="XQ31">
        <v>4</v>
      </c>
    </row>
    <row r="32" s="116" customFormat="true" ht="15" hidden="false" customHeight="false" outlineLevel="0" collapsed="false">
      <c r="A32" s="93" t="s">
        <v>1255</v>
      </c>
      <c r="B32" s="94" t="n">
        <v>5</v>
      </c>
      <c r="C32" s="94" t="s">
        <v>1256</v>
      </c>
      <c r="D32" s="94" t="n">
        <v>5</v>
      </c>
      <c r="E32" s="94"/>
      <c r="F32" s="95" t="n">
        <v>5</v>
      </c>
      <c r="G32" s="95" t="s">
        <v>1256</v>
      </c>
      <c r="H32" s="95"/>
      <c r="I32" s="95"/>
      <c r="J32" s="96" t="s">
        <v>1257</v>
      </c>
      <c r="K32" s="96" t="n">
        <v>5</v>
      </c>
      <c r="L32" s="96"/>
      <c r="M32" s="96" t="s">
        <v>1154</v>
      </c>
      <c r="N32" s="97" t="n">
        <v>5</v>
      </c>
      <c r="O32" s="97" t="s">
        <v>1256</v>
      </c>
      <c r="P32" s="97" t="n">
        <v>5</v>
      </c>
      <c r="Q32" t="inlineStr">
        <is>
          <t xml:space="preserve">U" " EURO_SIGN</t>
        </is>
      </c>
      <c r="R32" s="98" t="n">
        <v>5</v>
      </c>
      <c r="S32" s="98" t="s">
        <v>1256</v>
      </c>
      <c r="T32" s="98" t="n">
        <v>5</v>
      </c>
      <c r="U32" t="inlineStr">
        <is>
          <t xml:space="preserve">U" " EURO_SIGN</t>
        </is>
      </c>
      <c r="V32" s="99" t="n">
        <v>4</v>
      </c>
      <c r="W32" s="99" t="s">
        <v>1256</v>
      </c>
      <c r="X32" s="99" t="n">
        <v>5</v>
      </c>
      <c r="Y32" s="99"/>
      <c r="Z32" s="100" t="n">
        <v>5</v>
      </c>
      <c r="AA32" s="100" t="s">
        <v>1256</v>
      </c>
      <c r="AB32" s="100" t="n">
        <v>5</v>
      </c>
      <c r="AC32" s="130" t="s">
        <v>98</v>
      </c>
      <c r="AD32" s="101" t="n">
        <v>5</v>
      </c>
      <c r="AE32" s="101" t="s">
        <v>1256</v>
      </c>
      <c r="AF32" s="101" t="n">
        <v>5</v>
      </c>
      <c r="AG32" s="101"/>
      <c r="AH32" t="inlineStr">
        <is>
          <t xml:space="preserve">5</t>
        </is>
      </c>
      <c r="AI32" t="inlineStr">
        <is>
          <t xml:space="preserve">%</t>
        </is>
      </c>
      <c r="AJ32" t="inlineStr">
        <is>
          <t xml:space="preserve">5</t>
        </is>
      </c>
      <c r="AK32" t="inlineStr">
        <is>
          <t xml:space="preserve">HIRAGANA_E</t>
        </is>
      </c>
      <c r="AL32" s="103" t="n">
        <v>5</v>
      </c>
      <c r="AM32" s="103" t="s">
        <v>1256</v>
      </c>
      <c r="AN32" s="103" t="n">
        <v>5</v>
      </c>
      <c r="AO32" s="103" t="s">
        <v>630</v>
      </c>
      <c r="AP32" s="104" t="n">
        <v>5</v>
      </c>
      <c r="AQ32" s="104" t="s">
        <v>1256</v>
      </c>
      <c r="AR32" s="104" t="n">
        <v>5</v>
      </c>
      <c r="AS32" t="inlineStr">
        <is>
          <t xml:space="preserve">U"\f\f\f" SECTION</t>
        </is>
      </c>
      <c r="AT32" s="105" t="n">
        <v>5</v>
      </c>
      <c r="AU32" s="105" t="s">
        <v>1256</v>
      </c>
      <c r="AV32" s="105" t="n">
        <v>5</v>
      </c>
      <c r="AW32" s="105"/>
      <c r="AX32" s="106" t="n">
        <v>5</v>
      </c>
      <c r="AY32" s="106" t="s">
        <v>1256</v>
      </c>
      <c r="AZ32" s="106" t="n">
        <v>5</v>
      </c>
      <c r="BA32" s="106"/>
      <c r="BB32" s="107" t="n">
        <v>5</v>
      </c>
      <c r="BC32" s="107" t="s">
        <v>1256</v>
      </c>
      <c r="BD32" s="107" t="n">
        <v>5</v>
      </c>
      <c r="BE32" s="107"/>
      <c r="BF32" t="inlineStr">
        <is>
          <t xml:space="preserve">U"\f\f" CYRILLIC_SM_GHE_W_STROKE</t>
        </is>
      </c>
      <c r="BG32" t="inlineStr">
        <is>
          <t xml:space="preserve">CYRILLIC_GHE_W_STROKE</t>
        </is>
      </c>
      <c r="BH32" s="108" t="n">
        <v>5</v>
      </c>
      <c r="BI32" s="108"/>
      <c r="BJ32" s="109" t="n">
        <v>5</v>
      </c>
      <c r="BK32" s="109" t="s">
        <v>1256</v>
      </c>
      <c r="BL32" s="109" t="n">
        <v>5</v>
      </c>
      <c r="BM32" s="109"/>
      <c r="BN32" s="95" t="n">
        <v>5</v>
      </c>
      <c r="BO32" s="95" t="s">
        <v>1256</v>
      </c>
      <c r="BP32" s="95"/>
      <c r="BQ32" s="95" t="s">
        <v>194</v>
      </c>
      <c r="BR32" s="110" t="n">
        <v>5</v>
      </c>
      <c r="BS32" s="110" t="s">
        <v>1256</v>
      </c>
      <c r="BT32" s="110"/>
      <c r="BU32" s="110" t="s">
        <v>194</v>
      </c>
      <c r="BZ32" s="132" t="s">
        <v>1259</v>
      </c>
      <c r="CA32" s="132" t="s">
        <v>1256</v>
      </c>
      <c r="CB32" s="132" t="s">
        <v>1259</v>
      </c>
      <c r="CC32" s="132" t="s">
        <v>98</v>
      </c>
      <c r="CD32" s="95" t="n">
        <v>5</v>
      </c>
      <c r="CE32" s="95" t="s">
        <v>1256</v>
      </c>
      <c r="CF32" s="95"/>
      <c r="CG32" s="128" t="s">
        <v>452</v>
      </c>
      <c r="CH32" s="112" t="n">
        <v>5</v>
      </c>
      <c r="CI32" s="112" t="s">
        <v>1256</v>
      </c>
      <c r="CJ32" s="112" t="n">
        <v>5</v>
      </c>
      <c r="CK32" s="112" t="s">
        <v>682</v>
      </c>
      <c r="CL32" s="113" t="n">
        <v>5</v>
      </c>
      <c r="CM32" s="113" t="s">
        <v>1256</v>
      </c>
      <c r="CN32" s="113" t="n">
        <v>5</v>
      </c>
      <c r="CO32" s="113" t="s">
        <v>682</v>
      </c>
      <c r="CP32" s="84" t="n">
        <v>5</v>
      </c>
      <c r="CQ32" s="84" t="s">
        <v>1256</v>
      </c>
      <c r="CR32" s="84" t="n">
        <v>5</v>
      </c>
      <c r="CS32" s="84" t="s">
        <v>682</v>
      </c>
      <c r="CT32" s="110" t="n">
        <v>5</v>
      </c>
      <c r="CU32" s="110" t="s">
        <v>1256</v>
      </c>
      <c r="CV32" s="110" t="n">
        <v>5</v>
      </c>
      <c r="CW32" s="110" t="s">
        <v>682</v>
      </c>
      <c r="CX32" s="114" t="n">
        <v>5</v>
      </c>
      <c r="CY32" s="114" t="s">
        <v>1256</v>
      </c>
      <c r="CZ32" s="114" t="n">
        <v>5</v>
      </c>
      <c r="DA32" s="114" t="s">
        <v>194</v>
      </c>
      <c r="DB32" t="inlineStr">
        <is>
          <t xml:space="preserve">U"\f\f\f\f" LATIN_0159</t>
        </is>
      </c>
      <c r="DC32" s="115" t="n">
        <v>5</v>
      </c>
      <c r="DD32" s="115" t="n">
        <v>5</v>
      </c>
      <c r="DE32" s="115" t="s">
        <v>194</v>
      </c>
      <c r="DF32">
        <v>5</v>
      </c>
      <c r="DG32" t="inlineStr">
        <is>
          <t xml:space="preserve">%</t>
        </is>
      </c>
      <c r="DH32">
        <v>5</v>
      </c>
      <c r="DI32" t="inlineStr">
        <is>
          <t xml:space="preserve">MOD_RING</t>
        </is>
      </c>
      <c r="DJ32" t="inlineStr">
        <is>
          <t xml:space="preserve">LATIN_0165</t>
        </is>
      </c>
      <c r="DK32">
        <v>5</v>
      </c>
      <c r="DL32">
        <v>5</v>
      </c>
      <c r="DM32" t="inlineStr">
        <is>
          <t xml:space="preserve">MOD_RING</t>
        </is>
      </c>
      <c r="DN32" t="inlineStr">
        <is>
          <t xml:space="preserve">U"\f\f" LATIN_012F</t>
        </is>
      </c>
      <c r="DO32" t="inlineStr">
        <is>
          <t xml:space="preserve">LATIN_012E</t>
        </is>
      </c>
      <c r="DQ32">
        <v>5</v>
      </c>
      <c r="DU32" t="inlineStr">
        <is>
          <t xml:space="preserve">HALF_SIGN</t>
        </is>
      </c>
      <c r="DV32">
        <v>5</v>
      </c>
      <c r="DW32" t="inlineStr">
        <is>
          <t xml:space="preserve">%</t>
        </is>
      </c>
      <c r="DX32">
        <v>5</v>
      </c>
      <c r="EC32" t="inlineStr">
        <is>
          <t xml:space="preserve">CENT_SIGN</t>
        </is>
      </c>
      <c r="ED32">
        <v>5</v>
      </c>
      <c r="EE32" t="inlineStr">
        <is>
          <t xml:space="preserve">%</t>
        </is>
      </c>
      <c r="EF32">
        <v>5</v>
      </c>
      <c r="EH32">
        <v>5</v>
      </c>
      <c r="EI32" t="inlineStr">
        <is>
          <t xml:space="preserve">%</t>
        </is>
      </c>
      <c r="EJ32">
        <v>5</v>
      </c>
      <c r="EO32" t="inlineStr">
        <is>
          <t xml:space="preserve">ARABIC_EXT_INDIC_5</t>
        </is>
      </c>
      <c r="EP32" t="inlineStr">
        <is>
          <t xml:space="preserve">DEVANAGARI_096B</t>
        </is>
      </c>
      <c r="EQ32" t="inlineStr">
        <is>
          <t xml:space="preserve">%</t>
        </is>
      </c>
      <c r="ER32" t="inlineStr">
        <is>
          <t xml:space="preserve">DEVANAGARI_096B</t>
        </is>
      </c>
      <c r="ET32" t="inlineStr">
        <is>
          <t xml:space="preserve">DEVANAGARI_096B</t>
        </is>
      </c>
      <c r="EU32" t="inlineStr">
        <is>
          <t xml:space="preserve">%</t>
        </is>
      </c>
      <c r="EV32" t="inlineStr">
        <is>
          <t xml:space="preserve">DEVANAGARI_096B</t>
        </is>
      </c>
      <c r="EX32" t="inlineStr">
        <is>
          <t xml:space="preserve">DEVANAGARI_096B</t>
        </is>
      </c>
      <c r="EY32" t="inlineStr">
        <is>
          <t xml:space="preserve">%</t>
        </is>
      </c>
      <c r="EZ32" t="inlineStr">
        <is>
          <t xml:space="preserve">DEVANAGARI_096B</t>
        </is>
      </c>
      <c r="FB32">
        <v>5</v>
      </c>
      <c r="FC32" t="inlineStr">
        <is>
          <t xml:space="preserve">:</t>
        </is>
      </c>
      <c r="FD32">
        <v>5</v>
      </c>
      <c r="FF32">
        <v>5</v>
      </c>
      <c r="FH32">
        <v>5</v>
      </c>
      <c r="FI32" t="inlineStr">
        <is>
          <t xml:space="preserve">ARABIC_EXT_INDIC_5</t>
        </is>
      </c>
      <c r="FV32" t="inlineStr">
        <is>
          <t xml:space="preserve">(</t>
        </is>
      </c>
      <c r="FW32">
        <v>5</v>
      </c>
      <c r="FX32" t="inlineStr">
        <is>
          <t xml:space="preserve">(</t>
        </is>
      </c>
      <c r="FZ32">
        <v>5</v>
      </c>
      <c r="GA32" t="inlineStr">
        <is>
          <t xml:space="preserve">%</t>
        </is>
      </c>
      <c r="GB32">
        <v>5</v>
      </c>
      <c r="GC32" t="inlineStr">
        <is>
          <t xml:space="preserve">CURRENCY_SIGN</t>
        </is>
      </c>
      <c r="GD32" t="inlineStr">
        <is>
          <t xml:space="preserve">THAI_0E16</t>
        </is>
      </c>
      <c r="GE32" t="inlineStr">
        <is>
          <t xml:space="preserve">THAI_0E54</t>
        </is>
      </c>
      <c r="GF32" t="inlineStr">
        <is>
          <t xml:space="preserve">THAI_0E16</t>
        </is>
      </c>
      <c r="GG32">
        <v>5</v>
      </c>
      <c r="GH32" t="inlineStr">
        <is>
          <t xml:space="preserve">BENGALI_09EB</t>
        </is>
      </c>
      <c r="GI32" t="inlineStr">
        <is>
          <t xml:space="preserve">%</t>
        </is>
      </c>
      <c r="GJ32" t="inlineStr">
        <is>
          <t xml:space="preserve">BENGALI_09EB</t>
        </is>
      </c>
      <c r="GL32" t="inlineStr">
        <is>
          <t xml:space="preserve">TELUGU_0C6B</t>
        </is>
      </c>
      <c r="GM32" t="inlineStr">
        <is>
          <t xml:space="preserve">%</t>
        </is>
      </c>
      <c r="GN32" t="inlineStr">
        <is>
          <t xml:space="preserve">TELUGU_0C6B</t>
        </is>
      </c>
      <c r="GP32" t="inlineStr">
        <is>
          <t xml:space="preserve">TAMIL_0BEB</t>
        </is>
      </c>
      <c r="GQ32" t="inlineStr">
        <is>
          <t xml:space="preserve">%</t>
        </is>
      </c>
      <c r="GR32" t="inlineStr">
        <is>
          <t xml:space="preserve">TAMIL_0BEB</t>
        </is>
      </c>
      <c r="GT32" t="inlineStr">
        <is>
          <t xml:space="preserve">ZHUYIN_3113</t>
        </is>
      </c>
      <c r="GV32" t="inlineStr">
        <is>
          <t xml:space="preserve">ZHUYIN_3113</t>
        </is>
      </c>
      <c r="GW32">
        <v>5</v>
      </c>
      <c r="HB32" t="inlineStr">
        <is>
          <t xml:space="preserve">ARMENIAN_0589</t>
        </is>
      </c>
      <c r="HC32" t="inlineStr">
        <is>
          <t xml:space="preserve">ARMENIAN_2026</t>
        </is>
      </c>
      <c r="HD32" t="inlineStr">
        <is>
          <t xml:space="preserve">ARMENIAN_0589</t>
        </is>
      </c>
      <c r="HE32">
        <v>5</v>
      </c>
      <c r="HR32" t="inlineStr">
        <is>
          <t xml:space="preserve">VIET_DC_0300</t>
        </is>
      </c>
      <c r="HS32" t="inlineStr">
        <is>
          <t xml:space="preserve">%</t>
        </is>
      </c>
      <c r="HT32" t="inlineStr">
        <is>
          <t xml:space="preserve">VIET_DC_0300</t>
        </is>
      </c>
      <c r="HU32">
        <v>5</v>
      </c>
      <c r="HV32">
        <v>5</v>
      </c>
      <c r="HW32" t="inlineStr">
        <is>
          <t xml:space="preserve">RANGLE_BRACKET</t>
        </is>
      </c>
      <c r="HX32">
        <v>5</v>
      </c>
      <c r="JE32" t="inlineStr">
        <is>
          <t xml:space="preserve">EURO_SIGN</t>
        </is>
      </c>
      <c r="JI32" t="inlineStr">
        <is>
          <t xml:space="preserve">EURO_SIGN</t>
        </is>
      </c>
      <c r="JJ32">
        <v>5</v>
      </c>
      <c r="JK32" t="inlineStr">
        <is>
          <t xml:space="preserve">%</t>
        </is>
      </c>
      <c r="JL32">
        <v>5</v>
      </c>
      <c r="JM32" t="inlineStr">
        <is>
          <t xml:space="preserve">ARABIC_INDIC_5</t>
        </is>
      </c>
      <c r="JR32">
        <v>5</v>
      </c>
      <c r="JS32" t="inlineStr">
        <is>
          <t xml:space="preserve">%</t>
        </is>
      </c>
      <c r="JT32">
        <v>5</v>
      </c>
      <c r="JU32" t="inlineStr">
        <is>
          <t xml:space="preserve">ETHIOPIC_136D</t>
        </is>
      </c>
      <c r="KD32">
        <v>5</v>
      </c>
      <c r="KE32" t="inlineStr">
        <is>
          <t xml:space="preserve">%</t>
        </is>
      </c>
      <c r="KF32">
        <v>5</v>
      </c>
      <c r="KG32" t="inlineStr">
        <is>
          <t xml:space="preserve">ARABIC_INDIC_5</t>
        </is>
      </c>
      <c r="KH32">
        <v>5</v>
      </c>
      <c r="KI32" t="inlineStr">
        <is>
          <t xml:space="preserve">%</t>
        </is>
      </c>
      <c r="KJ32">
        <v>5</v>
      </c>
      <c r="KK32" t="inlineStr">
        <is>
          <t xml:space="preserve">ARABIC_INDIC_5</t>
        </is>
      </c>
      <c r="KL32">
        <v>5</v>
      </c>
      <c r="KM32" t="inlineStr">
        <is>
          <t xml:space="preserve">%</t>
        </is>
      </c>
      <c r="KN32">
        <v>5</v>
      </c>
      <c r="KO32" t="inlineStr">
        <is>
          <t xml:space="preserve">ARABIC_INDIC_5</t>
        </is>
      </c>
      <c r="LJ32" t="inlineStr">
        <is>
          <t xml:space="preserve">(</t>
        </is>
      </c>
      <c r="LK32">
        <v>5</v>
      </c>
      <c r="LM32" t="inlineStr">
        <is>
          <t xml:space="preserve">[</t>
        </is>
      </c>
      <c r="NV32">
        <v>5</v>
      </c>
      <c r="NW32" t="inlineStr">
        <is>
          <t xml:space="preserve">%</t>
        </is>
      </c>
      <c r="NZ32" t="inlineStr">
        <is>
          <t xml:space="preserve">(</t>
        </is>
      </c>
      <c r="OA32">
        <v>5</v>
      </c>
      <c r="OB32" t="inlineStr">
        <is>
          <t xml:space="preserve">(</t>
        </is>
      </c>
      <c r="OD32">
        <v>5</v>
      </c>
      <c r="OE32" t="inlineStr">
        <is>
          <t xml:space="preserve">%</t>
        </is>
      </c>
      <c r="OF32">
        <v>5</v>
      </c>
      <c r="OG32" t="inlineStr">
        <is>
          <t xml:space="preserve">U" " EURO_SIGN</t>
        </is>
      </c>
      <c r="OL32">
        <v>5</v>
      </c>
      <c r="OM32" t="inlineStr">
        <is>
          <t xml:space="preserve">%</t>
        </is>
      </c>
      <c r="ON32">
        <v>5</v>
      </c>
      <c r="OO32" t="inlineStr">
        <is>
          <t xml:space="preserve">MOD_RING</t>
        </is>
      </c>
      <c r="OT32">
        <v>5</v>
      </c>
      <c r="OU32" t="inlineStr">
        <is>
          <t xml:space="preserve">%</t>
        </is>
      </c>
      <c r="OV32">
        <v>5</v>
      </c>
      <c r="OW32" t="inlineStr">
        <is>
          <t xml:space="preserve">MOD_RING</t>
        </is>
      </c>
      <c r="OX32">
        <v>5</v>
      </c>
      <c r="OY32" t="inlineStr">
        <is>
          <t xml:space="preserve">%</t>
        </is>
      </c>
      <c r="OZ32">
        <v>5</v>
      </c>
      <c r="PA32" t="inlineStr">
        <is>
          <t xml:space="preserve">EURO_SIGN</t>
        </is>
      </c>
      <c r="PB32">
        <v>5</v>
      </c>
      <c r="PC32" t="inlineStr">
        <is>
          <t xml:space="preserve">%</t>
        </is>
      </c>
      <c r="PD32">
        <v>5</v>
      </c>
      <c r="PE32" t="inlineStr">
        <is>
          <t xml:space="preserve">ARABIC_INDIC_5</t>
        </is>
      </c>
      <c r="PF32">
        <v>5</v>
      </c>
      <c r="PG32" t="inlineStr">
        <is>
          <t xml:space="preserve">%</t>
        </is>
      </c>
      <c r="PH32">
        <v>5</v>
      </c>
      <c r="PI32" t="inlineStr">
        <is>
          <t xml:space="preserve">ARABIC_INDIC_5</t>
        </is>
      </c>
      <c r="PJ32">
        <v>5</v>
      </c>
      <c r="PK32" t="inlineStr">
        <is>
          <t xml:space="preserve">%</t>
        </is>
      </c>
      <c r="PL32">
        <v>5</v>
      </c>
      <c r="PM32" t="inlineStr">
        <is>
          <t xml:space="preserve">ARABIC_INDIC_5</t>
        </is>
      </c>
      <c r="PN32">
        <v>5</v>
      </c>
      <c r="PO32" t="inlineStr">
        <is>
          <t xml:space="preserve">%</t>
        </is>
      </c>
      <c r="PP32">
        <v>5</v>
      </c>
      <c r="PQ32" t="inlineStr">
        <is>
          <t xml:space="preserve">ARABIC_INDIC_5</t>
        </is>
      </c>
      <c r="PR32">
        <v>5</v>
      </c>
      <c r="PS32" t="inlineStr">
        <is>
          <t xml:space="preserve">%</t>
        </is>
      </c>
      <c r="PT32">
        <v>5</v>
      </c>
      <c r="PU32" t="inlineStr">
        <is>
          <t xml:space="preserve">ARABIC_INDIC_5</t>
        </is>
      </c>
      <c r="PV32">
        <v>5</v>
      </c>
      <c r="PW32" t="inlineStr">
        <is>
          <t xml:space="preserve">%</t>
        </is>
      </c>
      <c r="PX32">
        <v>5</v>
      </c>
      <c r="PY32" t="inlineStr">
        <is>
          <t xml:space="preserve">ARABIC_INDIC_5</t>
        </is>
      </c>
      <c r="PZ32">
        <v>5</v>
      </c>
      <c r="QA32" t="inlineStr">
        <is>
          <t xml:space="preserve">%</t>
        </is>
      </c>
      <c r="QB32">
        <v>5</v>
      </c>
      <c r="QC32" t="inlineStr">
        <is>
          <t xml:space="preserve">ARABIC_INDIC_5</t>
        </is>
      </c>
      <c r="QD32">
        <v>5</v>
      </c>
      <c r="QE32" t="inlineStr">
        <is>
          <t xml:space="preserve">%</t>
        </is>
      </c>
      <c r="QF32">
        <v>5</v>
      </c>
      <c r="QG32" t="inlineStr">
        <is>
          <t xml:space="preserve">ARABIC_INDIC_5</t>
        </is>
      </c>
      <c r="QH32">
        <v>5</v>
      </c>
      <c r="QI32" t="inlineStr">
        <is>
          <t xml:space="preserve">%</t>
        </is>
      </c>
      <c r="QJ32">
        <v>5</v>
      </c>
      <c r="QK32" t="inlineStr">
        <is>
          <t xml:space="preserve">ARABIC_INDIC_5</t>
        </is>
      </c>
      <c r="QL32">
        <v>5</v>
      </c>
      <c r="QM32" t="inlineStr">
        <is>
          <t xml:space="preserve">%</t>
        </is>
      </c>
      <c r="QN32">
        <v>5</v>
      </c>
      <c r="QO32" t="inlineStr">
        <is>
          <t xml:space="preserve">ARABIC_INDIC_5</t>
        </is>
      </c>
      <c r="QP32">
        <v>5</v>
      </c>
      <c r="QQ32" t="inlineStr">
        <is>
          <t xml:space="preserve">%</t>
        </is>
      </c>
      <c r="QR32">
        <v>5</v>
      </c>
      <c r="QS32" t="inlineStr">
        <is>
          <t xml:space="preserve">ARABIC_INDIC_5</t>
        </is>
      </c>
      <c r="QT32">
        <v>5</v>
      </c>
      <c r="QU32" t="inlineStr">
        <is>
          <t xml:space="preserve">%</t>
        </is>
      </c>
      <c r="QV32">
        <v>5</v>
      </c>
      <c r="QW32" t="inlineStr">
        <is>
          <t xml:space="preserve">ARABIC_INDIC_5</t>
        </is>
      </c>
      <c r="QX32">
        <v>5</v>
      </c>
      <c r="QY32" t="inlineStr">
        <is>
          <t xml:space="preserve">%</t>
        </is>
      </c>
      <c r="QZ32">
        <v>5</v>
      </c>
      <c r="RA32" t="inlineStr">
        <is>
          <t xml:space="preserve">ARABIC_INDIC_5</t>
        </is>
      </c>
      <c r="RB32">
        <v>5</v>
      </c>
      <c r="RC32" t="inlineStr">
        <is>
          <t xml:space="preserve">%</t>
        </is>
      </c>
      <c r="RD32">
        <v>5</v>
      </c>
      <c r="RE32" t="inlineStr">
        <is>
          <t xml:space="preserve">ARABIC_INDIC_5</t>
        </is>
      </c>
      <c r="RF32" t="inlineStr">
        <is>
          <t xml:space="preserve">(</t>
        </is>
      </c>
      <c r="RG32">
        <v>5</v>
      </c>
      <c r="RI32" t="inlineStr">
        <is>
          <t xml:space="preserve">[</t>
        </is>
      </c>
      <c r="RJ32" t="inlineStr">
        <is>
          <t xml:space="preserve">(</t>
        </is>
      </c>
      <c r="RK32">
        <v>5</v>
      </c>
      <c r="RM32" t="inlineStr">
        <is>
          <t xml:space="preserve">[</t>
        </is>
      </c>
      <c r="RN32" t="inlineStr">
        <is>
          <t xml:space="preserve">(</t>
        </is>
      </c>
      <c r="RO32">
        <v>5</v>
      </c>
      <c r="RQ32" t="inlineStr">
        <is>
          <t xml:space="preserve">[</t>
        </is>
      </c>
      <c r="RR32" t="inlineStr">
        <is>
          <t xml:space="preserve">(</t>
        </is>
      </c>
      <c r="RS32">
        <v>5</v>
      </c>
      <c r="RU32" t="inlineStr">
        <is>
          <t xml:space="preserve">[</t>
        </is>
      </c>
      <c r="RV32" t="inlineStr">
        <is>
          <t xml:space="preserve">(</t>
        </is>
      </c>
      <c r="RW32">
        <v>5</v>
      </c>
      <c r="RY32" t="inlineStr">
        <is>
          <t xml:space="preserve">[</t>
        </is>
      </c>
      <c r="SP32">
        <v>5</v>
      </c>
      <c r="SQ32" t="inlineStr">
        <is>
          <t xml:space="preserve">%</t>
        </is>
      </c>
      <c r="SR32">
        <v>5</v>
      </c>
      <c r="SS32" t="inlineStr">
        <is>
          <t xml:space="preserve">U" " EURO_SIGN</t>
        </is>
      </c>
      <c r="ST32">
        <v>5</v>
      </c>
      <c r="SU32" t="inlineStr">
        <is>
          <t xml:space="preserve">%</t>
        </is>
      </c>
      <c r="SV32">
        <v>5</v>
      </c>
      <c r="SW32" t="inlineStr">
        <is>
          <t xml:space="preserve">U" " EURO_SIGN</t>
        </is>
      </c>
      <c r="SX32" t="inlineStr">
        <is>
          <t xml:space="preserve">BENGALI_09EB</t>
        </is>
      </c>
      <c r="SY32" t="inlineStr">
        <is>
          <t xml:space="preserve">%</t>
        </is>
      </c>
      <c r="SZ32" t="inlineStr">
        <is>
          <t xml:space="preserve">BENGALI_09EB</t>
        </is>
      </c>
      <c r="TA32" t="inlineStr">
        <is>
          <t xml:space="preserve">5</t>
        </is>
      </c>
      <c r="TV32">
        <v>5</v>
      </c>
      <c r="TW32" t="inlineStr">
        <is>
          <t xml:space="preserve">%</t>
        </is>
      </c>
      <c r="TX32">
        <v>5</v>
      </c>
      <c r="TZ32">
        <v>5</v>
      </c>
      <c r="UA32" t="inlineStr">
        <is>
          <t xml:space="preserve">%</t>
        </is>
      </c>
      <c r="UB32">
        <v>5</v>
      </c>
      <c r="UT32" t="inlineStr">
        <is>
          <t xml:space="preserve">(</t>
        </is>
      </c>
      <c r="UU32">
        <v>5</v>
      </c>
      <c r="UW32" t="inlineStr">
        <is>
          <t xml:space="preserve">[</t>
        </is>
      </c>
      <c r="VB32">
        <v>5</v>
      </c>
      <c r="VC32" t="inlineStr">
        <is>
          <t xml:space="preserve">%</t>
        </is>
      </c>
      <c r="VD32">
        <v>5</v>
      </c>
      <c r="VE32" t="inlineStr">
        <is>
          <t xml:space="preserve">U" " EURO_SIGN</t>
        </is>
      </c>
      <c r="VF32">
        <v>5</v>
      </c>
      <c r="VG32" t="inlineStr">
        <is>
          <t xml:space="preserve">%</t>
        </is>
      </c>
      <c r="VH32">
        <v>5</v>
      </c>
      <c r="VI32" t="inlineStr">
        <is>
          <t xml:space="preserve">U" " EURO_SIGN</t>
        </is>
      </c>
      <c r="WG32" t="inlineStr">
        <is>
          <t xml:space="preserve">EURO_SIGN</t>
        </is>
      </c>
      <c r="XB32" t="inlineStr">
        <is>
          <t xml:space="preserve">ARABIC_06F5</t>
        </is>
      </c>
      <c r="XC32" t="inlineStr">
        <is>
          <t xml:space="preserve">ARABIC_066A</t>
        </is>
      </c>
      <c r="XD32" t="inlineStr">
        <is>
          <t xml:space="preserve">ARABIC_06F5</t>
        </is>
      </c>
      <c r="XE32" t="inlineStr">
        <is>
          <t xml:space="preserve">%</t>
        </is>
      </c>
      <c r="XF32" t="inlineStr">
        <is>
          <t xml:space="preserve">UCAS_1466</t>
        </is>
      </c>
      <c r="XG32">
        <v>5</v>
      </c>
      <c r="XH32" t="inlineStr">
        <is>
          <t xml:space="preserve">UCAS_1466</t>
        </is>
      </c>
      <c r="XN32" t="inlineStr">
        <is>
          <t xml:space="preserve">CHEROKEE_13E6</t>
        </is>
      </c>
      <c r="XO32" t="inlineStr">
        <is>
          <t xml:space="preserve">CHEROKEE_13B9</t>
        </is>
      </c>
      <c r="XP32" t="inlineStr">
        <is>
          <t xml:space="preserve">CHEROKEE_13E6</t>
        </is>
      </c>
      <c r="XQ32">
        <v>5</v>
      </c>
    </row>
    <row r="33" s="116" customFormat="true" ht="15" hidden="false" customHeight="false" outlineLevel="0" collapsed="false">
      <c r="A33" s="93" t="s">
        <v>1261</v>
      </c>
      <c r="B33" s="94" t="n">
        <v>6</v>
      </c>
      <c r="C33" s="94" t="s">
        <v>1245</v>
      </c>
      <c r="D33" s="94" t="n">
        <v>6</v>
      </c>
      <c r="E33" s="94"/>
      <c r="F33" s="95" t="n">
        <v>6</v>
      </c>
      <c r="G33" s="95" t="s">
        <v>1141</v>
      </c>
      <c r="H33" s="95"/>
      <c r="I33" s="95"/>
      <c r="J33" s="96" t="s">
        <v>1262</v>
      </c>
      <c r="K33" s="96" t="n">
        <v>6</v>
      </c>
      <c r="L33" s="96"/>
      <c r="M33" s="96" t="s">
        <v>1224</v>
      </c>
      <c r="N33" s="97" t="n">
        <v>6</v>
      </c>
      <c r="O33" s="97" t="s">
        <v>1141</v>
      </c>
      <c r="P33" s="97" t="n">
        <v>6</v>
      </c>
      <c r="Q33" s="97" t="s">
        <v>68</v>
      </c>
      <c r="R33" s="98" t="n">
        <v>6</v>
      </c>
      <c r="S33" s="98" t="s">
        <v>1141</v>
      </c>
      <c r="T33" s="98" t="n">
        <v>6</v>
      </c>
      <c r="U33" s="98"/>
      <c r="V33" s="99" t="n">
        <v>6</v>
      </c>
      <c r="W33" s="99" t="s">
        <v>1141</v>
      </c>
      <c r="X33" s="99" t="n">
        <v>6</v>
      </c>
      <c r="Y33" s="99"/>
      <c r="Z33" s="100" t="n">
        <v>6</v>
      </c>
      <c r="AA33" s="100" t="s">
        <v>1141</v>
      </c>
      <c r="AB33" s="100" t="n">
        <v>6</v>
      </c>
      <c r="AC33" s="100"/>
      <c r="AD33" s="101" t="n">
        <v>6</v>
      </c>
      <c r="AE33" s="101" t="s">
        <v>1245</v>
      </c>
      <c r="AF33" s="101" t="n">
        <v>6</v>
      </c>
      <c r="AG33" s="101"/>
      <c r="AH33" t="inlineStr">
        <is>
          <t xml:space="preserve">6</t>
        </is>
      </c>
      <c r="AI33" t="inlineStr">
        <is>
          <t xml:space="preserve">&amp;</t>
        </is>
      </c>
      <c r="AJ33" t="inlineStr">
        <is>
          <t xml:space="preserve">6</t>
        </is>
      </c>
      <c r="AK33" t="inlineStr">
        <is>
          <t xml:space="preserve">HIRAGANA_O</t>
        </is>
      </c>
      <c r="AL33" s="103" t="n">
        <v>6</v>
      </c>
      <c r="AM33" s="103" t="s">
        <v>1245</v>
      </c>
      <c r="AN33" s="103" t="n">
        <v>6</v>
      </c>
      <c r="AO33" s="103" t="s">
        <v>631</v>
      </c>
      <c r="AP33" s="104" t="n">
        <v>6</v>
      </c>
      <c r="AQ33" s="104" t="s">
        <v>1245</v>
      </c>
      <c r="AR33" s="104" t="n">
        <v>6</v>
      </c>
      <c r="AS33" t="inlineStr">
        <is>
          <t xml:space="preserve">U"\f\f" PILCROW</t>
        </is>
      </c>
      <c r="AT33" s="105" t="n">
        <v>6</v>
      </c>
      <c r="AU33" s="105" t="s">
        <v>1198</v>
      </c>
      <c r="AV33" s="105" t="n">
        <v>6</v>
      </c>
      <c r="AW33" s="105"/>
      <c r="AX33" s="106" t="n">
        <v>6</v>
      </c>
      <c r="AY33" s="106" t="s">
        <v>1198</v>
      </c>
      <c r="AZ33" s="106" t="n">
        <v>6</v>
      </c>
      <c r="BA33" s="106"/>
      <c r="BB33" s="107" t="n">
        <v>6</v>
      </c>
      <c r="BC33" s="107" t="s">
        <v>1198</v>
      </c>
      <c r="BD33" s="107" t="n">
        <v>6</v>
      </c>
      <c r="BE33" s="107"/>
      <c r="BF33" s="108" t="s">
        <v>1179</v>
      </c>
      <c r="BG33" s="108" t="s">
        <v>1197</v>
      </c>
      <c r="BH33" s="108" t="s">
        <v>1179</v>
      </c>
      <c r="BI33" s="108"/>
      <c r="BJ33" s="109" t="n">
        <v>6</v>
      </c>
      <c r="BK33" s="109" t="s">
        <v>14</v>
      </c>
      <c r="BL33" s="109" t="n">
        <v>6</v>
      </c>
      <c r="BM33" s="109"/>
      <c r="BN33" s="95" t="n">
        <v>6</v>
      </c>
      <c r="BO33" s="95" t="s">
        <v>1141</v>
      </c>
      <c r="BP33" s="95"/>
      <c r="BQ33" s="128" t="s">
        <v>196</v>
      </c>
      <c r="BR33" s="110" t="n">
        <v>6</v>
      </c>
      <c r="BS33" s="110" t="s">
        <v>1245</v>
      </c>
      <c r="BT33" s="110"/>
      <c r="BU33" s="124" t="s">
        <v>196</v>
      </c>
      <c r="BZ33" s="111" t="n">
        <v>6</v>
      </c>
      <c r="CA33" s="111" t="s">
        <v>1141</v>
      </c>
      <c r="CB33" s="111" t="n">
        <v>6</v>
      </c>
      <c r="CC33" s="125" t="s">
        <v>100</v>
      </c>
      <c r="CD33" s="95" t="n">
        <v>6</v>
      </c>
      <c r="CE33" s="95" t="s">
        <v>1245</v>
      </c>
      <c r="CF33" s="95"/>
      <c r="CG33" s="128" t="s">
        <v>453</v>
      </c>
      <c r="CH33" s="112" t="n">
        <v>6</v>
      </c>
      <c r="CI33" s="112" t="s">
        <v>1141</v>
      </c>
      <c r="CJ33" s="112" t="n">
        <v>6</v>
      </c>
      <c r="CK33" s="112"/>
      <c r="CL33" s="113" t="n">
        <v>6</v>
      </c>
      <c r="CM33" s="113" t="s">
        <v>1141</v>
      </c>
      <c r="CN33" s="113" t="n">
        <v>6</v>
      </c>
      <c r="CO33" s="113"/>
      <c r="CP33" s="84" t="n">
        <v>6</v>
      </c>
      <c r="CQ33" s="84" t="s">
        <v>1141</v>
      </c>
      <c r="CR33" s="84" t="n">
        <v>6</v>
      </c>
      <c r="CS33" s="84"/>
      <c r="CT33" s="110" t="n">
        <v>6</v>
      </c>
      <c r="CU33" s="110" t="s">
        <v>1141</v>
      </c>
      <c r="CV33" s="110" t="n">
        <v>6</v>
      </c>
      <c r="CW33" s="110"/>
      <c r="CX33" s="114" t="n">
        <v>6</v>
      </c>
      <c r="CY33" s="114" t="s">
        <v>1245</v>
      </c>
      <c r="CZ33" s="114" t="n">
        <v>6</v>
      </c>
      <c r="DA33" s="126" t="s">
        <v>196</v>
      </c>
      <c r="DB33" t="inlineStr">
        <is>
          <t xml:space="preserve">U"\f\f\f\f" LATIN_017E</t>
        </is>
      </c>
      <c r="DC33" s="115" t="n">
        <v>6</v>
      </c>
      <c r="DD33" s="115" t="n">
        <v>6</v>
      </c>
      <c r="DE33" s="127" t="s">
        <v>196</v>
      </c>
      <c r="DF33">
        <v>6</v>
      </c>
      <c r="DG33" t="inlineStr">
        <is>
          <t xml:space="preserve">&amp;</t>
        </is>
      </c>
      <c r="DH33">
        <v>6</v>
      </c>
      <c r="DI33" t="inlineStr">
        <is>
          <t xml:space="preserve">MOD_OGONEK</t>
        </is>
      </c>
      <c r="DJ33" t="inlineStr">
        <is>
          <t xml:space="preserve">LATIN_017E</t>
        </is>
      </c>
      <c r="DK33">
        <v>6</v>
      </c>
      <c r="DL33">
        <v>6</v>
      </c>
      <c r="DM33" t="inlineStr">
        <is>
          <t xml:space="preserve">MOD_OGONEK</t>
        </is>
      </c>
      <c r="DN33" t="inlineStr">
        <is>
          <t xml:space="preserve">U"\f\f" LATIN_0161</t>
        </is>
      </c>
      <c r="DO33" t="inlineStr">
        <is>
          <t xml:space="preserve">LATIN_0160</t>
        </is>
      </c>
      <c r="DQ33">
        <v>6</v>
      </c>
      <c r="DU33" t="inlineStr">
        <is>
          <t xml:space="preserve">THREE_QUATER_SIGN</t>
        </is>
      </c>
      <c r="DV33">
        <v>6</v>
      </c>
      <c r="DW33" t="inlineStr">
        <is>
          <t xml:space="preserve">&amp;</t>
        </is>
      </c>
      <c r="DX33">
        <v>6</v>
      </c>
      <c r="EC33" t="inlineStr">
        <is>
          <t xml:space="preserve">NOT_SIGN</t>
        </is>
      </c>
      <c r="ED33">
        <v>6</v>
      </c>
      <c r="EE33" t="inlineStr">
        <is>
          <t xml:space="preserve">&amp;</t>
        </is>
      </c>
      <c r="EF33">
        <v>6</v>
      </c>
      <c r="EH33">
        <v>6</v>
      </c>
      <c r="EI33" t="inlineStr">
        <is>
          <t xml:space="preserve">&amp;</t>
        </is>
      </c>
      <c r="EJ33">
        <v>6</v>
      </c>
      <c r="EO33" t="inlineStr">
        <is>
          <t xml:space="preserve">ARABIC_EXT_INDIC_6</t>
        </is>
      </c>
      <c r="EP33" t="inlineStr">
        <is>
          <t xml:space="preserve">DEVANAGARI_096C</t>
        </is>
      </c>
      <c r="EQ33" t="inlineStr">
        <is>
          <t xml:space="preserve">^</t>
        </is>
      </c>
      <c r="ER33" t="inlineStr">
        <is>
          <t xml:space="preserve">DEVANAGARI_096C</t>
        </is>
      </c>
      <c r="ET33" t="inlineStr">
        <is>
          <t xml:space="preserve">DEVANAGARI_096C</t>
        </is>
      </c>
      <c r="EU33" t="inlineStr">
        <is>
          <t xml:space="preserve">^</t>
        </is>
      </c>
      <c r="EV33" t="inlineStr">
        <is>
          <t xml:space="preserve">DEVANAGARI_096C</t>
        </is>
      </c>
      <c r="EX33" t="inlineStr">
        <is>
          <t xml:space="preserve">DEVANAGARI_096C</t>
        </is>
      </c>
      <c r="EY33" t="inlineStr">
        <is>
          <t xml:space="preserve">^</t>
        </is>
      </c>
      <c r="EZ33" t="inlineStr">
        <is>
          <t xml:space="preserve">DEVANAGARI_096C</t>
        </is>
      </c>
      <c r="FB33">
        <v>6</v>
      </c>
      <c r="FC33" t="inlineStr">
        <is>
          <t xml:space="preserve">.</t>
        </is>
      </c>
      <c r="FD33">
        <v>6</v>
      </c>
      <c r="FF33">
        <v>6</v>
      </c>
      <c r="FG33" t="inlineStr">
        <is>
          <t xml:space="preserve">^</t>
        </is>
      </c>
      <c r="FH33">
        <v>6</v>
      </c>
      <c r="FI33" t="inlineStr">
        <is>
          <t xml:space="preserve">ARABIC_EXT_INDIC_6</t>
        </is>
      </c>
      <c r="FN33">
        <v>6</v>
      </c>
      <c r="FO33" t="inlineStr">
        <is>
          <t xml:space="preserve">&amp;</t>
        </is>
      </c>
      <c r="FP33">
        <v>6</v>
      </c>
      <c r="FQ33" t="inlineStr">
        <is>
          <t xml:space="preserve">NOT_SIGN</t>
        </is>
      </c>
      <c r="FR33">
        <v>6</v>
      </c>
      <c r="FS33" t="inlineStr">
        <is>
          <t xml:space="preserve">&amp;</t>
        </is>
      </c>
      <c r="FT33">
        <v>6</v>
      </c>
      <c r="FU33" t="inlineStr">
        <is>
          <t xml:space="preserve">NOT_SIGN</t>
        </is>
      </c>
      <c r="FV33" t="inlineStr">
        <is>
          <t xml:space="preserve">U"\f\f\f" SECTION</t>
        </is>
      </c>
      <c r="FW33">
        <v>6</v>
      </c>
      <c r="FX33" t="inlineStr">
        <is>
          <t xml:space="preserve">U"\f\f\f" SECTION</t>
        </is>
      </c>
      <c r="FY33" t="inlineStr">
        <is>
          <t xml:space="preserve">^</t>
        </is>
      </c>
      <c r="FZ33">
        <v>6</v>
      </c>
      <c r="GA33" t="inlineStr">
        <is>
          <t xml:space="preserve">?</t>
        </is>
      </c>
      <c r="GB33">
        <v>6</v>
      </c>
      <c r="GC33" t="inlineStr">
        <is>
          <t xml:space="preserve">NOT_SIGN</t>
        </is>
      </c>
      <c r="GD33" t="inlineStr">
        <is>
          <t xml:space="preserve">THAI_DC_0E38</t>
        </is>
      </c>
      <c r="GE33" t="inlineStr">
        <is>
          <t xml:space="preserve">THAI_DC_0E39</t>
        </is>
      </c>
      <c r="GF33" t="inlineStr">
        <is>
          <t xml:space="preserve">THAI_DC_0E38</t>
        </is>
      </c>
      <c r="GG33">
        <v>6</v>
      </c>
      <c r="GH33" t="inlineStr">
        <is>
          <t xml:space="preserve">BENGALI_09EC</t>
        </is>
      </c>
      <c r="GI33" t="inlineStr">
        <is>
          <t xml:space="preserve">^</t>
        </is>
      </c>
      <c r="GJ33" t="inlineStr">
        <is>
          <t xml:space="preserve">BENGALI_09EC</t>
        </is>
      </c>
      <c r="GL33" t="inlineStr">
        <is>
          <t xml:space="preserve">TELUGU_0C6C</t>
        </is>
      </c>
      <c r="GM33" t="inlineStr">
        <is>
          <t xml:space="preserve">^</t>
        </is>
      </c>
      <c r="GN33" t="inlineStr">
        <is>
          <t xml:space="preserve">TELUGU_0C6C</t>
        </is>
      </c>
      <c r="GP33" t="inlineStr">
        <is>
          <t xml:space="preserve">TAMIL_0BEC</t>
        </is>
      </c>
      <c r="GQ33" t="inlineStr">
        <is>
          <t xml:space="preserve">^</t>
        </is>
      </c>
      <c r="GR33" t="inlineStr">
        <is>
          <t xml:space="preserve">TAMIL_0BEC</t>
        </is>
      </c>
      <c r="GT33" t="inlineStr">
        <is>
          <t xml:space="preserve">ZHUYIN_02CA</t>
        </is>
      </c>
      <c r="GV33" t="inlineStr">
        <is>
          <t xml:space="preserve">ZHUYIN_02CA</t>
        </is>
      </c>
      <c r="GW33">
        <v>6</v>
      </c>
      <c r="HB33" t="inlineStr">
        <is>
          <t xml:space="preserve">ARMENIAN_055E</t>
        </is>
      </c>
      <c r="HC33" t="inlineStr">
        <is>
          <t xml:space="preserve">%</t>
        </is>
      </c>
      <c r="HD33" t="inlineStr">
        <is>
          <t xml:space="preserve">ARMENIAN_055E</t>
        </is>
      </c>
      <c r="HE33">
        <v>6</v>
      </c>
      <c r="HJ33">
        <v>6</v>
      </c>
      <c r="HK33" t="inlineStr">
        <is>
          <t xml:space="preserve">:</t>
        </is>
      </c>
      <c r="HL33">
        <v>6</v>
      </c>
      <c r="HR33" t="inlineStr">
        <is>
          <t xml:space="preserve">VIET_DC_0309</t>
        </is>
      </c>
      <c r="HS33" t="inlineStr">
        <is>
          <t xml:space="preserve">^</t>
        </is>
      </c>
      <c r="HT33" t="inlineStr">
        <is>
          <t xml:space="preserve">VIET_DC_0309</t>
        </is>
      </c>
      <c r="HU33">
        <v>6</v>
      </c>
      <c r="HV33">
        <v>6</v>
      </c>
      <c r="HW33" t="inlineStr">
        <is>
          <t xml:space="preserve">LWCORNER_BRACKET</t>
        </is>
      </c>
      <c r="HX33">
        <v>6</v>
      </c>
      <c r="JJ33">
        <v>6</v>
      </c>
      <c r="JK33" t="inlineStr">
        <is>
          <t xml:space="preserve">^</t>
        </is>
      </c>
      <c r="JL33">
        <v>6</v>
      </c>
      <c r="JM33" t="inlineStr">
        <is>
          <t xml:space="preserve">ARABIC_INDIC_6</t>
        </is>
      </c>
      <c r="JR33">
        <v>6</v>
      </c>
      <c r="JS33" t="inlineStr">
        <is>
          <t xml:space="preserve">^</t>
        </is>
      </c>
      <c r="JT33">
        <v>6</v>
      </c>
      <c r="JU33" t="inlineStr">
        <is>
          <t xml:space="preserve">ETHIOPIC_136E</t>
        </is>
      </c>
      <c r="KD33">
        <v>6</v>
      </c>
      <c r="KE33" t="inlineStr">
        <is>
          <t xml:space="preserve">^</t>
        </is>
      </c>
      <c r="KF33">
        <v>6</v>
      </c>
      <c r="KG33" t="inlineStr">
        <is>
          <t xml:space="preserve">ARABIC_INDIC_6</t>
        </is>
      </c>
      <c r="KH33">
        <v>6</v>
      </c>
      <c r="KI33" t="inlineStr">
        <is>
          <t xml:space="preserve">^</t>
        </is>
      </c>
      <c r="KJ33">
        <v>6</v>
      </c>
      <c r="KK33" t="inlineStr">
        <is>
          <t xml:space="preserve">ARABIC_INDIC_6</t>
        </is>
      </c>
      <c r="KL33">
        <v>6</v>
      </c>
      <c r="KM33" t="inlineStr">
        <is>
          <t xml:space="preserve">^</t>
        </is>
      </c>
      <c r="KN33">
        <v>6</v>
      </c>
      <c r="KO33" t="inlineStr">
        <is>
          <t xml:space="preserve">ARABIC_INDIC_6</t>
        </is>
      </c>
      <c r="LB33">
        <v>6</v>
      </c>
      <c r="LC33" t="inlineStr">
        <is>
          <t xml:space="preserve">&amp;</t>
        </is>
      </c>
      <c r="LD33">
        <v>6</v>
      </c>
      <c r="LE33" t="inlineStr">
        <is>
          <t xml:space="preserve">NOT_SIGN</t>
        </is>
      </c>
      <c r="LJ33" t="inlineStr">
        <is>
          <t xml:space="preserve">-</t>
        </is>
      </c>
      <c r="LK33">
        <v>6</v>
      </c>
      <c r="LM33" t="inlineStr">
        <is>
          <t xml:space="preserve">|</t>
        </is>
      </c>
      <c r="LN33">
        <v>6</v>
      </c>
      <c r="LO33" t="inlineStr">
        <is>
          <t xml:space="preserve">&amp;</t>
        </is>
      </c>
      <c r="LP33">
        <v>6</v>
      </c>
      <c r="LQ33" t="inlineStr">
        <is>
          <t xml:space="preserve">NOT_SIGN</t>
        </is>
      </c>
      <c r="LR33">
        <v>6</v>
      </c>
      <c r="LS33" t="inlineStr">
        <is>
          <t xml:space="preserve">&amp;</t>
        </is>
      </c>
      <c r="LT33">
        <v>6</v>
      </c>
      <c r="LU33" t="inlineStr">
        <is>
          <t xml:space="preserve">NOT_SIGN</t>
        </is>
      </c>
      <c r="LV33">
        <v>6</v>
      </c>
      <c r="LW33" t="inlineStr">
        <is>
          <t xml:space="preserve">&amp;</t>
        </is>
      </c>
      <c r="LX33">
        <v>6</v>
      </c>
      <c r="LY33" t="inlineStr">
        <is>
          <t xml:space="preserve">NOT_SIGN</t>
        </is>
      </c>
      <c r="LZ33">
        <v>6</v>
      </c>
      <c r="MA33" t="inlineStr">
        <is>
          <t xml:space="preserve">&amp;</t>
        </is>
      </c>
      <c r="MB33">
        <v>6</v>
      </c>
      <c r="MC33" t="inlineStr">
        <is>
          <t xml:space="preserve">NOT_SIGN</t>
        </is>
      </c>
      <c r="MD33">
        <v>6</v>
      </c>
      <c r="ME33" t="inlineStr">
        <is>
          <t xml:space="preserve">&amp;</t>
        </is>
      </c>
      <c r="MF33">
        <v>6</v>
      </c>
      <c r="MG33" t="inlineStr">
        <is>
          <t xml:space="preserve">NOT_SIGN</t>
        </is>
      </c>
      <c r="MH33">
        <v>6</v>
      </c>
      <c r="MI33" t="inlineStr">
        <is>
          <t xml:space="preserve">&amp;</t>
        </is>
      </c>
      <c r="MJ33">
        <v>6</v>
      </c>
      <c r="MK33" t="inlineStr">
        <is>
          <t xml:space="preserve">NOT_SIGN</t>
        </is>
      </c>
      <c r="ML33">
        <v>6</v>
      </c>
      <c r="MM33" t="inlineStr">
        <is>
          <t xml:space="preserve">&amp;</t>
        </is>
      </c>
      <c r="MN33">
        <v>6</v>
      </c>
      <c r="MO33" t="inlineStr">
        <is>
          <t xml:space="preserve">NOT_SIGN</t>
        </is>
      </c>
      <c r="MP33">
        <v>6</v>
      </c>
      <c r="MQ33" t="inlineStr">
        <is>
          <t xml:space="preserve">&amp;</t>
        </is>
      </c>
      <c r="MR33">
        <v>6</v>
      </c>
      <c r="MS33" t="inlineStr">
        <is>
          <t xml:space="preserve">NOT_SIGN</t>
        </is>
      </c>
      <c r="MT33">
        <v>6</v>
      </c>
      <c r="MU33" t="inlineStr">
        <is>
          <t xml:space="preserve">&amp;</t>
        </is>
      </c>
      <c r="MV33">
        <v>6</v>
      </c>
      <c r="MW33" t="inlineStr">
        <is>
          <t xml:space="preserve">NOT_SIGN</t>
        </is>
      </c>
      <c r="MX33">
        <v>6</v>
      </c>
      <c r="MY33" t="inlineStr">
        <is>
          <t xml:space="preserve">&amp;</t>
        </is>
      </c>
      <c r="MZ33">
        <v>6</v>
      </c>
      <c r="NA33" t="inlineStr">
        <is>
          <t xml:space="preserve">NOT_SIGN</t>
        </is>
      </c>
      <c r="NB33">
        <v>6</v>
      </c>
      <c r="NC33" t="inlineStr">
        <is>
          <t xml:space="preserve">&amp;</t>
        </is>
      </c>
      <c r="ND33">
        <v>6</v>
      </c>
      <c r="NE33" t="inlineStr">
        <is>
          <t xml:space="preserve">NOT_SIGN</t>
        </is>
      </c>
      <c r="NF33">
        <v>6</v>
      </c>
      <c r="NG33" t="inlineStr">
        <is>
          <t xml:space="preserve">&amp;</t>
        </is>
      </c>
      <c r="NH33">
        <v>6</v>
      </c>
      <c r="NI33" t="inlineStr">
        <is>
          <t xml:space="preserve">NOT_SIGN</t>
        </is>
      </c>
      <c r="NJ33">
        <v>6</v>
      </c>
      <c r="NK33" t="inlineStr">
        <is>
          <t xml:space="preserve">&amp;</t>
        </is>
      </c>
      <c r="NL33">
        <v>6</v>
      </c>
      <c r="NM33" t="inlineStr">
        <is>
          <t xml:space="preserve">NOT_SIGN</t>
        </is>
      </c>
      <c r="NN33">
        <v>6</v>
      </c>
      <c r="NO33" t="inlineStr">
        <is>
          <t xml:space="preserve">&amp;</t>
        </is>
      </c>
      <c r="NP33">
        <v>6</v>
      </c>
      <c r="NQ33" t="inlineStr">
        <is>
          <t xml:space="preserve">NOT_SIGN</t>
        </is>
      </c>
      <c r="NR33">
        <v>6</v>
      </c>
      <c r="NS33" t="inlineStr">
        <is>
          <t xml:space="preserve">&amp;</t>
        </is>
      </c>
      <c r="NT33">
        <v>6</v>
      </c>
      <c r="NU33" t="inlineStr">
        <is>
          <t xml:space="preserve">NOT_SIGN</t>
        </is>
      </c>
      <c r="NV33">
        <v>6</v>
      </c>
      <c r="NW33" t="inlineStr">
        <is>
          <t xml:space="preserve">&amp;</t>
        </is>
      </c>
      <c r="NZ33" t="inlineStr">
        <is>
          <t xml:space="preserve">U"\f\f\f" SECTION</t>
        </is>
      </c>
      <c r="OA33">
        <v>6</v>
      </c>
      <c r="OB33" t="inlineStr">
        <is>
          <t xml:space="preserve">U"\f\f\f" SECTION</t>
        </is>
      </c>
      <c r="OC33" t="inlineStr">
        <is>
          <t xml:space="preserve">^</t>
        </is>
      </c>
      <c r="OD33">
        <v>6</v>
      </c>
      <c r="OE33" t="inlineStr">
        <is>
          <t xml:space="preserve">&amp;</t>
        </is>
      </c>
      <c r="OF33">
        <v>6</v>
      </c>
      <c r="OG33" t="inlineStr">
        <is>
          <t xml:space="preserve">NOT_SIGN</t>
        </is>
      </c>
      <c r="OL33">
        <v>6</v>
      </c>
      <c r="OM33" t="inlineStr">
        <is>
          <t xml:space="preserve">&amp;</t>
        </is>
      </c>
      <c r="ON33">
        <v>6</v>
      </c>
      <c r="OO33" t="inlineStr">
        <is>
          <t xml:space="preserve">MOD_OGONEK</t>
        </is>
      </c>
      <c r="OP33">
        <v>6</v>
      </c>
      <c r="OQ33" t="inlineStr">
        <is>
          <t xml:space="preserve">&amp;</t>
        </is>
      </c>
      <c r="OR33">
        <v>6</v>
      </c>
      <c r="OS33" t="inlineStr">
        <is>
          <t xml:space="preserve">NOT_SIGN</t>
        </is>
      </c>
      <c r="OT33">
        <v>6</v>
      </c>
      <c r="OU33" t="inlineStr">
        <is>
          <t xml:space="preserve">&amp;</t>
        </is>
      </c>
      <c r="OV33">
        <v>6</v>
      </c>
      <c r="OW33" t="inlineStr">
        <is>
          <t xml:space="preserve">MOD_OGONEK</t>
        </is>
      </c>
      <c r="OX33">
        <v>6</v>
      </c>
      <c r="OY33" t="inlineStr">
        <is>
          <t xml:space="preserve">&amp;</t>
        </is>
      </c>
      <c r="OZ33">
        <v>6</v>
      </c>
      <c r="PB33">
        <v>6</v>
      </c>
      <c r="PC33" t="inlineStr">
        <is>
          <t xml:space="preserve">^</t>
        </is>
      </c>
      <c r="PD33">
        <v>6</v>
      </c>
      <c r="PE33" t="inlineStr">
        <is>
          <t xml:space="preserve">ARABIC_INDIC_6</t>
        </is>
      </c>
      <c r="PF33">
        <v>6</v>
      </c>
      <c r="PG33" t="inlineStr">
        <is>
          <t xml:space="preserve">^</t>
        </is>
      </c>
      <c r="PH33">
        <v>6</v>
      </c>
      <c r="PI33" t="inlineStr">
        <is>
          <t xml:space="preserve">ARABIC_INDIC_6</t>
        </is>
      </c>
      <c r="PJ33">
        <v>6</v>
      </c>
      <c r="PK33" t="inlineStr">
        <is>
          <t xml:space="preserve">^</t>
        </is>
      </c>
      <c r="PL33">
        <v>6</v>
      </c>
      <c r="PM33" t="inlineStr">
        <is>
          <t xml:space="preserve">ARABIC_INDIC_6</t>
        </is>
      </c>
      <c r="PN33">
        <v>6</v>
      </c>
      <c r="PO33" t="inlineStr">
        <is>
          <t xml:space="preserve">^</t>
        </is>
      </c>
      <c r="PP33">
        <v>6</v>
      </c>
      <c r="PQ33" t="inlineStr">
        <is>
          <t xml:space="preserve">ARABIC_INDIC_6</t>
        </is>
      </c>
      <c r="PR33">
        <v>6</v>
      </c>
      <c r="PS33" t="inlineStr">
        <is>
          <t xml:space="preserve">^</t>
        </is>
      </c>
      <c r="PT33">
        <v>6</v>
      </c>
      <c r="PU33" t="inlineStr">
        <is>
          <t xml:space="preserve">ARABIC_INDIC_6</t>
        </is>
      </c>
      <c r="PV33">
        <v>6</v>
      </c>
      <c r="PW33" t="inlineStr">
        <is>
          <t xml:space="preserve">^</t>
        </is>
      </c>
      <c r="PX33">
        <v>6</v>
      </c>
      <c r="PY33" t="inlineStr">
        <is>
          <t xml:space="preserve">ARABIC_INDIC_6</t>
        </is>
      </c>
      <c r="PZ33">
        <v>6</v>
      </c>
      <c r="QA33" t="inlineStr">
        <is>
          <t xml:space="preserve">^</t>
        </is>
      </c>
      <c r="QB33">
        <v>6</v>
      </c>
      <c r="QC33" t="inlineStr">
        <is>
          <t xml:space="preserve">ARABIC_INDIC_6</t>
        </is>
      </c>
      <c r="QD33">
        <v>6</v>
      </c>
      <c r="QE33" t="inlineStr">
        <is>
          <t xml:space="preserve">^</t>
        </is>
      </c>
      <c r="QF33">
        <v>6</v>
      </c>
      <c r="QG33" t="inlineStr">
        <is>
          <t xml:space="preserve">ARABIC_INDIC_6</t>
        </is>
      </c>
      <c r="QH33">
        <v>6</v>
      </c>
      <c r="QI33" t="inlineStr">
        <is>
          <t xml:space="preserve">^</t>
        </is>
      </c>
      <c r="QJ33">
        <v>6</v>
      </c>
      <c r="QK33" t="inlineStr">
        <is>
          <t xml:space="preserve">ARABIC_INDIC_6</t>
        </is>
      </c>
      <c r="QL33">
        <v>6</v>
      </c>
      <c r="QM33" t="inlineStr">
        <is>
          <t xml:space="preserve">^</t>
        </is>
      </c>
      <c r="QN33">
        <v>6</v>
      </c>
      <c r="QO33" t="inlineStr">
        <is>
          <t xml:space="preserve">ARABIC_INDIC_6</t>
        </is>
      </c>
      <c r="QP33">
        <v>6</v>
      </c>
      <c r="QQ33" t="inlineStr">
        <is>
          <t xml:space="preserve">^</t>
        </is>
      </c>
      <c r="QR33">
        <v>6</v>
      </c>
      <c r="QS33" t="inlineStr">
        <is>
          <t xml:space="preserve">ARABIC_INDIC_6</t>
        </is>
      </c>
      <c r="QT33">
        <v>6</v>
      </c>
      <c r="QU33" t="inlineStr">
        <is>
          <t xml:space="preserve">^</t>
        </is>
      </c>
      <c r="QV33">
        <v>6</v>
      </c>
      <c r="QW33" t="inlineStr">
        <is>
          <t xml:space="preserve">ARABIC_INDIC_6</t>
        </is>
      </c>
      <c r="QX33">
        <v>6</v>
      </c>
      <c r="QY33" t="inlineStr">
        <is>
          <t xml:space="preserve">^</t>
        </is>
      </c>
      <c r="QZ33">
        <v>6</v>
      </c>
      <c r="RA33" t="inlineStr">
        <is>
          <t xml:space="preserve">ARABIC_INDIC_6</t>
        </is>
      </c>
      <c r="RB33">
        <v>6</v>
      </c>
      <c r="RC33" t="inlineStr">
        <is>
          <t xml:space="preserve">^</t>
        </is>
      </c>
      <c r="RD33">
        <v>6</v>
      </c>
      <c r="RE33" t="inlineStr">
        <is>
          <t xml:space="preserve">ARABIC_INDIC_6</t>
        </is>
      </c>
      <c r="RF33" t="inlineStr">
        <is>
          <t xml:space="preserve">-</t>
        </is>
      </c>
      <c r="RG33">
        <v>6</v>
      </c>
      <c r="RI33" t="inlineStr">
        <is>
          <t xml:space="preserve">|</t>
        </is>
      </c>
      <c r="RJ33" t="inlineStr">
        <is>
          <t xml:space="preserve">-</t>
        </is>
      </c>
      <c r="RK33">
        <v>6</v>
      </c>
      <c r="RM33" t="inlineStr">
        <is>
          <t xml:space="preserve">|</t>
        </is>
      </c>
      <c r="RN33" t="inlineStr">
        <is>
          <t xml:space="preserve">-</t>
        </is>
      </c>
      <c r="RO33">
        <v>6</v>
      </c>
      <c r="RQ33" t="inlineStr">
        <is>
          <t xml:space="preserve">|</t>
        </is>
      </c>
      <c r="RR33" t="inlineStr">
        <is>
          <t xml:space="preserve">-</t>
        </is>
      </c>
      <c r="RS33">
        <v>6</v>
      </c>
      <c r="RU33" t="inlineStr">
        <is>
          <t xml:space="preserve">|</t>
        </is>
      </c>
      <c r="RV33" t="inlineStr">
        <is>
          <t xml:space="preserve">-</t>
        </is>
      </c>
      <c r="RW33">
        <v>6</v>
      </c>
      <c r="RY33" t="inlineStr">
        <is>
          <t xml:space="preserve">|</t>
        </is>
      </c>
      <c r="SP33">
        <v>6</v>
      </c>
      <c r="SQ33" t="inlineStr">
        <is>
          <t xml:space="preserve">&amp;</t>
        </is>
      </c>
      <c r="SR33">
        <v>6</v>
      </c>
      <c r="ST33">
        <v>6</v>
      </c>
      <c r="SU33" t="inlineStr">
        <is>
          <t xml:space="preserve">&amp;</t>
        </is>
      </c>
      <c r="SV33">
        <v>6</v>
      </c>
      <c r="SX33" t="inlineStr">
        <is>
          <t xml:space="preserve">BENGALI_09EC</t>
        </is>
      </c>
      <c r="SY33" t="inlineStr">
        <is>
          <t xml:space="preserve">^</t>
        </is>
      </c>
      <c r="SZ33" t="inlineStr">
        <is>
          <t xml:space="preserve">BENGALI_09EC</t>
        </is>
      </c>
      <c r="TA33" t="inlineStr">
        <is>
          <t xml:space="preserve">6</t>
        </is>
      </c>
      <c r="TV33">
        <v>6</v>
      </c>
      <c r="TW33" t="inlineStr">
        <is>
          <t xml:space="preserve">:</t>
        </is>
      </c>
      <c r="TX33">
        <v>6</v>
      </c>
      <c r="TZ33">
        <v>6</v>
      </c>
      <c r="UA33" t="inlineStr">
        <is>
          <t xml:space="preserve">:</t>
        </is>
      </c>
      <c r="UB33">
        <v>6</v>
      </c>
      <c r="UT33" t="inlineStr">
        <is>
          <t xml:space="preserve">-</t>
        </is>
      </c>
      <c r="UU33">
        <v>6</v>
      </c>
      <c r="UW33" t="inlineStr">
        <is>
          <t xml:space="preserve">|</t>
        </is>
      </c>
      <c r="VB33">
        <v>6</v>
      </c>
      <c r="VC33" t="inlineStr">
        <is>
          <t xml:space="preserve">&amp;</t>
        </is>
      </c>
      <c r="VD33">
        <v>6</v>
      </c>
      <c r="VE33" t="inlineStr">
        <is>
          <t xml:space="preserve">NOT_SIGN</t>
        </is>
      </c>
      <c r="VF33">
        <v>6</v>
      </c>
      <c r="VG33" t="inlineStr">
        <is>
          <t xml:space="preserve">&amp;</t>
        </is>
      </c>
      <c r="VH33">
        <v>6</v>
      </c>
      <c r="VI33" t="inlineStr">
        <is>
          <t xml:space="preserve">NOT_SIGN</t>
        </is>
      </c>
      <c r="VJ33">
        <v>6</v>
      </c>
      <c r="VK33" t="inlineStr">
        <is>
          <t xml:space="preserve">&amp;</t>
        </is>
      </c>
      <c r="VL33">
        <v>6</v>
      </c>
      <c r="VM33" t="inlineStr">
        <is>
          <t xml:space="preserve">NOT_SIGN</t>
        </is>
      </c>
      <c r="VZ33">
        <v>6</v>
      </c>
      <c r="WA33" t="inlineStr">
        <is>
          <t xml:space="preserve">&amp;</t>
        </is>
      </c>
      <c r="WB33">
        <v>6</v>
      </c>
      <c r="WC33" t="inlineStr">
        <is>
          <t xml:space="preserve">NOT_SIGN</t>
        </is>
      </c>
      <c r="WH33">
        <v>6</v>
      </c>
      <c r="WI33" t="inlineStr">
        <is>
          <t xml:space="preserve">&amp;</t>
        </is>
      </c>
      <c r="WJ33">
        <v>6</v>
      </c>
      <c r="WK33" t="inlineStr">
        <is>
          <t xml:space="preserve">NOT_SIGN</t>
        </is>
      </c>
      <c r="WL33">
        <v>6</v>
      </c>
      <c r="WM33" t="inlineStr">
        <is>
          <t xml:space="preserve">&amp;</t>
        </is>
      </c>
      <c r="WN33">
        <v>6</v>
      </c>
      <c r="WO33" t="inlineStr">
        <is>
          <t xml:space="preserve">NOT_SIGN</t>
        </is>
      </c>
      <c r="WP33">
        <v>6</v>
      </c>
      <c r="WQ33" t="inlineStr">
        <is>
          <t xml:space="preserve">&amp;</t>
        </is>
      </c>
      <c r="WR33">
        <v>6</v>
      </c>
      <c r="WS33" t="inlineStr">
        <is>
          <t xml:space="preserve">NOT_SIGN</t>
        </is>
      </c>
      <c r="WX33">
        <v>6</v>
      </c>
      <c r="WY33" t="inlineStr">
        <is>
          <t xml:space="preserve">&amp;</t>
        </is>
      </c>
      <c r="WZ33">
        <v>6</v>
      </c>
      <c r="XA33" t="inlineStr">
        <is>
          <t xml:space="preserve">NOT_SIGN</t>
        </is>
      </c>
      <c r="XB33" t="inlineStr">
        <is>
          <t xml:space="preserve">ARABIC_06F6</t>
        </is>
      </c>
      <c r="XD33" t="inlineStr">
        <is>
          <t xml:space="preserve">ARABIC_06F6</t>
        </is>
      </c>
      <c r="XE33" t="inlineStr">
        <is>
          <t xml:space="preserve">^</t>
        </is>
      </c>
      <c r="XF33" t="inlineStr">
        <is>
          <t xml:space="preserve">UCAS_1585</t>
        </is>
      </c>
      <c r="XG33">
        <v>6</v>
      </c>
      <c r="XH33" t="inlineStr">
        <is>
          <t xml:space="preserve">UCAS_1585</t>
        </is>
      </c>
      <c r="XN33" t="inlineStr">
        <is>
          <t xml:space="preserve">CHEROKEE_13DC</t>
        </is>
      </c>
      <c r="XO33" t="inlineStr">
        <is>
          <t xml:space="preserve">CHEROKEE_13DD</t>
        </is>
      </c>
      <c r="XP33" t="inlineStr">
        <is>
          <t xml:space="preserve">CHEROKEE_13DC</t>
        </is>
      </c>
      <c r="XQ33">
        <v>6</v>
      </c>
    </row>
    <row r="34" s="116" customFormat="true" ht="15" hidden="false" customHeight="false" outlineLevel="0" collapsed="false">
      <c r="A34" s="93" t="s">
        <v>1265</v>
      </c>
      <c r="B34" s="94" t="n">
        <v>7</v>
      </c>
      <c r="C34" s="94" t="s">
        <v>1141</v>
      </c>
      <c r="D34" s="94" t="n">
        <v>7</v>
      </c>
      <c r="E34" s="94"/>
      <c r="F34" s="95" t="n">
        <v>7</v>
      </c>
      <c r="G34" s="95" t="s">
        <v>1173</v>
      </c>
      <c r="H34" s="95"/>
      <c r="I34" s="95" t="s">
        <v>1137</v>
      </c>
      <c r="J34" t="inlineStr">
        <is>
          <t xml:space="preserve">U"\f\f" E_WITH_GRAVE_SMALL</t>
        </is>
      </c>
      <c r="K34" s="96" t="n">
        <v>7</v>
      </c>
      <c r="L34" s="96"/>
      <c r="M34" s="96" t="s">
        <v>80</v>
      </c>
      <c r="N34" s="97" t="n">
        <v>7</v>
      </c>
      <c r="O34" s="97" t="s">
        <v>1173</v>
      </c>
      <c r="P34" s="97" t="n">
        <v>7</v>
      </c>
      <c r="Q34" s="97"/>
      <c r="R34" s="98" t="n">
        <v>7</v>
      </c>
      <c r="S34" s="98" t="s">
        <v>1173</v>
      </c>
      <c r="T34" s="98" t="n">
        <v>7</v>
      </c>
      <c r="U34" s="98" t="s">
        <v>1137</v>
      </c>
      <c r="V34" s="99" t="n">
        <v>7</v>
      </c>
      <c r="W34" s="99" t="s">
        <v>1173</v>
      </c>
      <c r="X34" s="99" t="n">
        <v>7</v>
      </c>
      <c r="Y34" s="99"/>
      <c r="Z34" s="100" t="n">
        <v>7</v>
      </c>
      <c r="AA34" s="100" t="s">
        <v>1173</v>
      </c>
      <c r="AB34" s="100" t="n">
        <v>7</v>
      </c>
      <c r="AC34" s="100" t="s">
        <v>1137</v>
      </c>
      <c r="AD34" s="101" t="n">
        <v>7</v>
      </c>
      <c r="AE34" s="101" t="s">
        <v>1141</v>
      </c>
      <c r="AF34" s="101" t="n">
        <v>7</v>
      </c>
      <c r="AG34" s="101"/>
      <c r="AH34" t="inlineStr">
        <is>
          <t xml:space="preserve">7</t>
        </is>
      </c>
      <c r="AI34" t="inlineStr">
        <is>
          <t xml:space="preserve">'</t>
        </is>
      </c>
      <c r="AJ34" t="inlineStr">
        <is>
          <t xml:space="preserve">7</t>
        </is>
      </c>
      <c r="AK34" t="inlineStr">
        <is>
          <t xml:space="preserve">HIRAGANA_YA</t>
        </is>
      </c>
      <c r="AL34" s="103" t="n">
        <v>7</v>
      </c>
      <c r="AM34" s="103" t="s">
        <v>1141</v>
      </c>
      <c r="AN34" s="103" t="n">
        <v>7</v>
      </c>
      <c r="AO34" s="103" t="s">
        <v>632</v>
      </c>
      <c r="AP34" s="104" t="n">
        <v>7</v>
      </c>
      <c r="AQ34" s="104" t="s">
        <v>1141</v>
      </c>
      <c r="AR34" s="104" t="n">
        <v>7</v>
      </c>
      <c r="AS34" s="104"/>
      <c r="AT34" s="105" t="n">
        <v>7</v>
      </c>
      <c r="AU34" s="105" t="s">
        <v>1180</v>
      </c>
      <c r="AV34" s="105" t="n">
        <v>7</v>
      </c>
      <c r="AW34" s="105"/>
      <c r="AX34" s="106" t="n">
        <v>7</v>
      </c>
      <c r="AY34" s="106" t="s">
        <v>1180</v>
      </c>
      <c r="AZ34" s="106" t="n">
        <v>7</v>
      </c>
      <c r="BA34" s="106"/>
      <c r="BB34" s="107" t="n">
        <v>7</v>
      </c>
      <c r="BC34" s="107" t="s">
        <v>1180</v>
      </c>
      <c r="BD34" s="107" t="n">
        <v>7</v>
      </c>
      <c r="BE34" s="107"/>
      <c r="BF34" s="108" t="s">
        <v>1267</v>
      </c>
      <c r="BG34" s="108" t="s">
        <v>1198</v>
      </c>
      <c r="BH34" s="108" t="s">
        <v>1267</v>
      </c>
      <c r="BI34" s="108"/>
      <c r="BJ34" s="109" t="n">
        <v>7</v>
      </c>
      <c r="BK34" s="109" t="s">
        <v>1198</v>
      </c>
      <c r="BL34" s="109" t="n">
        <v>7</v>
      </c>
      <c r="BM34" s="109"/>
      <c r="BN34" s="95" t="n">
        <v>7</v>
      </c>
      <c r="BO34" s="95" t="s">
        <v>1173</v>
      </c>
      <c r="BP34" s="95"/>
      <c r="BQ34" s="95" t="s">
        <v>1268</v>
      </c>
      <c r="BR34" s="110" t="n">
        <v>7</v>
      </c>
      <c r="BS34" s="110" t="s">
        <v>1141</v>
      </c>
      <c r="BT34" s="110"/>
      <c r="BU34" s="110" t="s">
        <v>1268</v>
      </c>
      <c r="BZ34" s="111" t="n">
        <v>7</v>
      </c>
      <c r="CA34" s="111" t="s">
        <v>1269</v>
      </c>
      <c r="CB34" s="111" t="n">
        <v>7</v>
      </c>
      <c r="CC34" t="inlineStr">
        <is>
          <t xml:space="preserve">U"\f\f\f" POUND_SIGN</t>
        </is>
      </c>
      <c r="CD34" s="95" t="n">
        <v>7</v>
      </c>
      <c r="CE34" s="95" t="s">
        <v>1141</v>
      </c>
      <c r="CF34" s="95"/>
      <c r="CG34" s="95" t="s">
        <v>447</v>
      </c>
      <c r="CH34" s="112" t="n">
        <v>7</v>
      </c>
      <c r="CI34" s="112" t="s">
        <v>1173</v>
      </c>
      <c r="CJ34" s="112" t="n">
        <v>7</v>
      </c>
      <c r="CK34" s="112" t="s">
        <v>1137</v>
      </c>
      <c r="CL34" s="113" t="n">
        <v>7</v>
      </c>
      <c r="CM34" s="113" t="s">
        <v>1173</v>
      </c>
      <c r="CN34" s="113" t="n">
        <v>7</v>
      </c>
      <c r="CO34" s="113" t="s">
        <v>1137</v>
      </c>
      <c r="CP34" s="84" t="n">
        <v>7</v>
      </c>
      <c r="CQ34" s="84" t="s">
        <v>1173</v>
      </c>
      <c r="CR34" s="84" t="n">
        <v>7</v>
      </c>
      <c r="CS34" s="84" t="s">
        <v>1137</v>
      </c>
      <c r="CT34" s="110" t="n">
        <v>7</v>
      </c>
      <c r="CU34" s="110" t="s">
        <v>1173</v>
      </c>
      <c r="CV34" s="110" t="n">
        <v>7</v>
      </c>
      <c r="CW34" s="110" t="s">
        <v>1137</v>
      </c>
      <c r="CX34" s="114" t="n">
        <v>7</v>
      </c>
      <c r="CY34" s="114" t="s">
        <v>1141</v>
      </c>
      <c r="CZ34" s="114" t="n">
        <v>7</v>
      </c>
      <c r="DA34" s="114" t="s">
        <v>1268</v>
      </c>
      <c r="DB34" t="inlineStr">
        <is>
          <t xml:space="preserve">U"\f\f\f\f" LATIN_00FD</t>
        </is>
      </c>
      <c r="DC34" s="115" t="n">
        <v>7</v>
      </c>
      <c r="DD34" s="115" t="n">
        <v>7</v>
      </c>
      <c r="DE34" s="115" t="s">
        <v>1268</v>
      </c>
      <c r="DF34">
        <v>7</v>
      </c>
      <c r="DG34" t="inlineStr">
        <is>
          <t xml:space="preserve">/</t>
        </is>
      </c>
      <c r="DH34">
        <v>7</v>
      </c>
      <c r="DI34" t="inlineStr">
        <is>
          <t xml:space="preserve">`</t>
        </is>
      </c>
      <c r="DJ34" t="inlineStr">
        <is>
          <t xml:space="preserve">LATIN_00FD</t>
        </is>
      </c>
      <c r="DK34">
        <v>7</v>
      </c>
      <c r="DL34">
        <v>7</v>
      </c>
      <c r="DM34" t="inlineStr">
        <is>
          <t xml:space="preserve">`</t>
        </is>
      </c>
      <c r="DN34" t="inlineStr">
        <is>
          <t xml:space="preserve">U"\f\f" LATIN_0173</t>
        </is>
      </c>
      <c r="DO34" t="inlineStr">
        <is>
          <t xml:space="preserve">LATIN_0172</t>
        </is>
      </c>
      <c r="DQ34">
        <v>7</v>
      </c>
      <c r="DU34" t="inlineStr">
        <is>
          <t xml:space="preserve">{</t>
        </is>
      </c>
      <c r="DV34">
        <v>7</v>
      </c>
      <c r="DW34" t="inlineStr">
        <is>
          <t xml:space="preserve">/</t>
        </is>
      </c>
      <c r="DX34">
        <v>7</v>
      </c>
      <c r="DY34" t="inlineStr">
        <is>
          <t xml:space="preserve">{</t>
        </is>
      </c>
      <c r="ED34">
        <v>7</v>
      </c>
      <c r="EE34" t="inlineStr">
        <is>
          <t xml:space="preserve">/</t>
        </is>
      </c>
      <c r="EF34">
        <v>7</v>
      </c>
      <c r="EH34">
        <v>7</v>
      </c>
      <c r="EI34" t="inlineStr">
        <is>
          <t xml:space="preserve">/</t>
        </is>
      </c>
      <c r="EJ34">
        <v>7</v>
      </c>
      <c r="EO34" t="inlineStr">
        <is>
          <t xml:space="preserve">ARABIC_EXT_INDIC_7</t>
        </is>
      </c>
      <c r="EP34" t="inlineStr">
        <is>
          <t xml:space="preserve">DEVANAGARI_096D</t>
        </is>
      </c>
      <c r="EQ34" t="inlineStr">
        <is>
          <t xml:space="preserve">&amp;</t>
        </is>
      </c>
      <c r="ER34" t="inlineStr">
        <is>
          <t xml:space="preserve">DEVANAGARI_096D</t>
        </is>
      </c>
      <c r="ET34" t="inlineStr">
        <is>
          <t xml:space="preserve">DEVANAGARI_096D</t>
        </is>
      </c>
      <c r="EU34" t="inlineStr">
        <is>
          <t xml:space="preserve">&amp;</t>
        </is>
      </c>
      <c r="EV34" t="inlineStr">
        <is>
          <t xml:space="preserve">DEVANAGARI_096D</t>
        </is>
      </c>
      <c r="EX34" t="inlineStr">
        <is>
          <t xml:space="preserve">DEVANAGARI_096D</t>
        </is>
      </c>
      <c r="EY34" t="inlineStr">
        <is>
          <t xml:space="preserve">&amp;</t>
        </is>
      </c>
      <c r="EZ34" t="inlineStr">
        <is>
          <t xml:space="preserve">DEVANAGARI_096D</t>
        </is>
      </c>
      <c r="FB34">
        <v>7</v>
      </c>
      <c r="FC34" t="inlineStr">
        <is>
          <t xml:space="preserve">_</t>
        </is>
      </c>
      <c r="FD34">
        <v>7</v>
      </c>
      <c r="FF34">
        <v>7</v>
      </c>
      <c r="FH34">
        <v>7</v>
      </c>
      <c r="FI34" t="inlineStr">
        <is>
          <t xml:space="preserve">ARABIC_EXT_INDIC_7</t>
        </is>
      </c>
      <c r="FR34">
        <v>7</v>
      </c>
      <c r="FS34" t="inlineStr">
        <is>
          <t xml:space="preserve">/</t>
        </is>
      </c>
      <c r="FT34">
        <v>7</v>
      </c>
      <c r="FU34" t="inlineStr">
        <is>
          <t xml:space="preserve">|</t>
        </is>
      </c>
      <c r="FV34" t="inlineStr">
        <is>
          <t xml:space="preserve">E_WITH_GRAVE_SMALL</t>
        </is>
      </c>
      <c r="FW34">
        <v>7</v>
      </c>
      <c r="FX34" t="inlineStr">
        <is>
          <t xml:space="preserve">E_WITH_GRAVE_SMALL</t>
        </is>
      </c>
      <c r="FY34" t="inlineStr">
        <is>
          <t xml:space="preserve">{</t>
        </is>
      </c>
      <c r="FZ34">
        <v>7</v>
      </c>
      <c r="GA34" t="inlineStr">
        <is>
          <t xml:space="preserve">&amp;</t>
        </is>
      </c>
      <c r="GB34">
        <v>7</v>
      </c>
      <c r="GC34" t="inlineStr">
        <is>
          <t xml:space="preserve">BROKEN_BAR</t>
        </is>
      </c>
      <c r="GD34" t="inlineStr">
        <is>
          <t xml:space="preserve">THAI_DC_0E36</t>
        </is>
      </c>
      <c r="GE34" t="inlineStr">
        <is>
          <t xml:space="preserve">THAI_0E3F</t>
        </is>
      </c>
      <c r="GF34" t="inlineStr">
        <is>
          <t xml:space="preserve">THAI_DC_0E36</t>
        </is>
      </c>
      <c r="GG34">
        <v>7</v>
      </c>
      <c r="GH34" t="inlineStr">
        <is>
          <t xml:space="preserve">BENGALI_09ED</t>
        </is>
      </c>
      <c r="GI34" t="inlineStr">
        <is>
          <t xml:space="preserve">&amp;</t>
        </is>
      </c>
      <c r="GJ34" t="inlineStr">
        <is>
          <t xml:space="preserve">BENGALI_09ED</t>
        </is>
      </c>
      <c r="GL34" t="inlineStr">
        <is>
          <t xml:space="preserve">TELUGU_0C6D</t>
        </is>
      </c>
      <c r="GM34" t="inlineStr">
        <is>
          <t xml:space="preserve">&amp;</t>
        </is>
      </c>
      <c r="GN34" t="inlineStr">
        <is>
          <t xml:space="preserve">TELUGU_0C6D</t>
        </is>
      </c>
      <c r="GP34" t="inlineStr">
        <is>
          <t xml:space="preserve">TAMIL_0BED</t>
        </is>
      </c>
      <c r="GQ34" t="inlineStr">
        <is>
          <t xml:space="preserve">&amp;</t>
        </is>
      </c>
      <c r="GR34" t="inlineStr">
        <is>
          <t xml:space="preserve">TAMIL_0BED</t>
        </is>
      </c>
      <c r="GT34" t="inlineStr">
        <is>
          <t xml:space="preserve">ZHUYIN_02D9</t>
        </is>
      </c>
      <c r="GV34" t="inlineStr">
        <is>
          <t xml:space="preserve">ZHUYIN_02D9</t>
        </is>
      </c>
      <c r="GW34">
        <v>7</v>
      </c>
      <c r="HB34" t="inlineStr">
        <is>
          <t xml:space="preserve">.</t>
        </is>
      </c>
      <c r="HC34" t="inlineStr">
        <is>
          <t xml:space="preserve">ARMENIAN_0587</t>
        </is>
      </c>
      <c r="HD34" t="inlineStr">
        <is>
          <t xml:space="preserve">ARMENIAN_2024</t>
        </is>
      </c>
      <c r="HE34">
        <v>7</v>
      </c>
      <c r="HJ34">
        <v>7</v>
      </c>
      <c r="HK34" t="inlineStr">
        <is>
          <t xml:space="preserve">?</t>
        </is>
      </c>
      <c r="HL34">
        <v>7</v>
      </c>
      <c r="HR34" t="inlineStr">
        <is>
          <t xml:space="preserve">VIET_DC_0303</t>
        </is>
      </c>
      <c r="HS34" t="inlineStr">
        <is>
          <t xml:space="preserve">&amp;</t>
        </is>
      </c>
      <c r="HT34" t="inlineStr">
        <is>
          <t xml:space="preserve">VIET_DC_0303</t>
        </is>
      </c>
      <c r="HU34">
        <v>7</v>
      </c>
      <c r="HV34">
        <v>7</v>
      </c>
      <c r="HW34" t="inlineStr">
        <is>
          <t xml:space="preserve">RWCORNER_BRACKET</t>
        </is>
      </c>
      <c r="HX34">
        <v>7</v>
      </c>
      <c r="JJ34">
        <v>7</v>
      </c>
      <c r="JK34" t="inlineStr">
        <is>
          <t xml:space="preserve">&amp;</t>
        </is>
      </c>
      <c r="JL34">
        <v>7</v>
      </c>
      <c r="JM34" t="inlineStr">
        <is>
          <t xml:space="preserve">ARABIC_INDIC_7</t>
        </is>
      </c>
      <c r="JR34">
        <v>7</v>
      </c>
      <c r="JS34" t="inlineStr">
        <is>
          <t xml:space="preserve">&amp;</t>
        </is>
      </c>
      <c r="JT34">
        <v>7</v>
      </c>
      <c r="JU34" t="inlineStr">
        <is>
          <t xml:space="preserve">ETHIOPIC_136F</t>
        </is>
      </c>
      <c r="KD34">
        <v>7</v>
      </c>
      <c r="KE34" t="inlineStr">
        <is>
          <t xml:space="preserve">&amp;</t>
        </is>
      </c>
      <c r="KF34">
        <v>7</v>
      </c>
      <c r="KG34" t="inlineStr">
        <is>
          <t xml:space="preserve">ARABIC_INDIC_7</t>
        </is>
      </c>
      <c r="KH34">
        <v>7</v>
      </c>
      <c r="KI34" t="inlineStr">
        <is>
          <t xml:space="preserve">&amp;</t>
        </is>
      </c>
      <c r="KJ34">
        <v>7</v>
      </c>
      <c r="KK34" t="inlineStr">
        <is>
          <t xml:space="preserve">ARABIC_INDIC_7</t>
        </is>
      </c>
      <c r="KL34">
        <v>7</v>
      </c>
      <c r="KM34" t="inlineStr">
        <is>
          <t xml:space="preserve">&amp;</t>
        </is>
      </c>
      <c r="KN34">
        <v>7</v>
      </c>
      <c r="KO34" t="inlineStr">
        <is>
          <t xml:space="preserve">ARABIC_INDIC_7</t>
        </is>
      </c>
      <c r="LA34" t="inlineStr">
        <is>
          <t xml:space="preserve">{</t>
        </is>
      </c>
      <c r="LJ34" t="inlineStr">
        <is>
          <t xml:space="preserve">U"\f\f" E_WITH_GRAVE_SMALL</t>
        </is>
      </c>
      <c r="LK34">
        <v>7</v>
      </c>
      <c r="LM34" t="inlineStr">
        <is>
          <t xml:space="preserve">ACUTE_ACCENT</t>
        </is>
      </c>
      <c r="NV34">
        <v>7</v>
      </c>
      <c r="NW34" t="inlineStr">
        <is>
          <t xml:space="preserve">/</t>
        </is>
      </c>
      <c r="NY34" t="inlineStr">
        <is>
          <t xml:space="preserve">{</t>
        </is>
      </c>
      <c r="NZ34" t="inlineStr">
        <is>
          <t xml:space="preserve">U"\f\f\f" E_WITH_GRAVE_SMALL</t>
        </is>
      </c>
      <c r="OA34">
        <v>7</v>
      </c>
      <c r="OB34" t="inlineStr">
        <is>
          <t xml:space="preserve">E_WITH_GRAVE_SMALL</t>
        </is>
      </c>
      <c r="OC34" t="inlineStr">
        <is>
          <t xml:space="preserve">{</t>
        </is>
      </c>
      <c r="OD34">
        <v>7</v>
      </c>
      <c r="OE34" t="inlineStr">
        <is>
          <t xml:space="preserve">/</t>
        </is>
      </c>
      <c r="OF34">
        <v>7</v>
      </c>
      <c r="OL34">
        <v>7</v>
      </c>
      <c r="OM34" t="inlineStr">
        <is>
          <t xml:space="preserve">/</t>
        </is>
      </c>
      <c r="ON34">
        <v>7</v>
      </c>
      <c r="OO34" t="inlineStr">
        <is>
          <t xml:space="preserve">`</t>
        </is>
      </c>
      <c r="OP34">
        <v>7</v>
      </c>
      <c r="OQ34" t="inlineStr">
        <is>
          <t xml:space="preserve">/</t>
        </is>
      </c>
      <c r="OR34">
        <v>7</v>
      </c>
      <c r="OS34" t="inlineStr">
        <is>
          <t xml:space="preserve">|</t>
        </is>
      </c>
      <c r="OT34">
        <v>7</v>
      </c>
      <c r="OU34" t="inlineStr">
        <is>
          <t xml:space="preserve">/</t>
        </is>
      </c>
      <c r="OV34">
        <v>7</v>
      </c>
      <c r="OW34" t="inlineStr">
        <is>
          <t xml:space="preserve">`</t>
        </is>
      </c>
      <c r="OX34">
        <v>7</v>
      </c>
      <c r="OY34" t="inlineStr">
        <is>
          <t xml:space="preserve">/</t>
        </is>
      </c>
      <c r="OZ34">
        <v>7</v>
      </c>
      <c r="PA34" t="inlineStr">
        <is>
          <t xml:space="preserve">{</t>
        </is>
      </c>
      <c r="PB34">
        <v>7</v>
      </c>
      <c r="PC34" t="inlineStr">
        <is>
          <t xml:space="preserve">&amp;</t>
        </is>
      </c>
      <c r="PD34">
        <v>7</v>
      </c>
      <c r="PE34" t="inlineStr">
        <is>
          <t xml:space="preserve">ARABIC_INDIC_7</t>
        </is>
      </c>
      <c r="PF34">
        <v>7</v>
      </c>
      <c r="PG34" t="inlineStr">
        <is>
          <t xml:space="preserve">&amp;</t>
        </is>
      </c>
      <c r="PH34">
        <v>7</v>
      </c>
      <c r="PI34" t="inlineStr">
        <is>
          <t xml:space="preserve">ARABIC_INDIC_7</t>
        </is>
      </c>
      <c r="PJ34">
        <v>7</v>
      </c>
      <c r="PK34" t="inlineStr">
        <is>
          <t xml:space="preserve">&amp;</t>
        </is>
      </c>
      <c r="PL34">
        <v>7</v>
      </c>
      <c r="PM34" t="inlineStr">
        <is>
          <t xml:space="preserve">ARABIC_INDIC_7</t>
        </is>
      </c>
      <c r="PN34">
        <v>7</v>
      </c>
      <c r="PO34" t="inlineStr">
        <is>
          <t xml:space="preserve">&amp;</t>
        </is>
      </c>
      <c r="PP34">
        <v>7</v>
      </c>
      <c r="PQ34" t="inlineStr">
        <is>
          <t xml:space="preserve">ARABIC_INDIC_7</t>
        </is>
      </c>
      <c r="PR34">
        <v>7</v>
      </c>
      <c r="PS34" t="inlineStr">
        <is>
          <t xml:space="preserve">&amp;</t>
        </is>
      </c>
      <c r="PT34">
        <v>7</v>
      </c>
      <c r="PU34" t="inlineStr">
        <is>
          <t xml:space="preserve">ARABIC_INDIC_7</t>
        </is>
      </c>
      <c r="PV34">
        <v>7</v>
      </c>
      <c r="PW34" t="inlineStr">
        <is>
          <t xml:space="preserve">&amp;</t>
        </is>
      </c>
      <c r="PX34">
        <v>7</v>
      </c>
      <c r="PY34" t="inlineStr">
        <is>
          <t xml:space="preserve">ARABIC_INDIC_7</t>
        </is>
      </c>
      <c r="PZ34">
        <v>7</v>
      </c>
      <c r="QA34" t="inlineStr">
        <is>
          <t xml:space="preserve">&amp;</t>
        </is>
      </c>
      <c r="QB34">
        <v>7</v>
      </c>
      <c r="QC34" t="inlineStr">
        <is>
          <t xml:space="preserve">ARABIC_INDIC_7</t>
        </is>
      </c>
      <c r="QD34">
        <v>7</v>
      </c>
      <c r="QE34" t="inlineStr">
        <is>
          <t xml:space="preserve">&amp;</t>
        </is>
      </c>
      <c r="QF34">
        <v>7</v>
      </c>
      <c r="QG34" t="inlineStr">
        <is>
          <t xml:space="preserve">ARABIC_INDIC_7</t>
        </is>
      </c>
      <c r="QH34">
        <v>7</v>
      </c>
      <c r="QI34" t="inlineStr">
        <is>
          <t xml:space="preserve">&amp;</t>
        </is>
      </c>
      <c r="QJ34">
        <v>7</v>
      </c>
      <c r="QK34" t="inlineStr">
        <is>
          <t xml:space="preserve">ARABIC_INDIC_7</t>
        </is>
      </c>
      <c r="QL34">
        <v>7</v>
      </c>
      <c r="QM34" t="inlineStr">
        <is>
          <t xml:space="preserve">&amp;</t>
        </is>
      </c>
      <c r="QN34">
        <v>7</v>
      </c>
      <c r="QO34" t="inlineStr">
        <is>
          <t xml:space="preserve">ARABIC_INDIC_7</t>
        </is>
      </c>
      <c r="QP34">
        <v>7</v>
      </c>
      <c r="QQ34" t="inlineStr">
        <is>
          <t xml:space="preserve">&amp;</t>
        </is>
      </c>
      <c r="QR34">
        <v>7</v>
      </c>
      <c r="QS34" t="inlineStr">
        <is>
          <t xml:space="preserve">ARABIC_INDIC_7</t>
        </is>
      </c>
      <c r="QT34">
        <v>7</v>
      </c>
      <c r="QU34" t="inlineStr">
        <is>
          <t xml:space="preserve">&amp;</t>
        </is>
      </c>
      <c r="QV34">
        <v>7</v>
      </c>
      <c r="QW34" t="inlineStr">
        <is>
          <t xml:space="preserve">ARABIC_INDIC_7</t>
        </is>
      </c>
      <c r="QX34">
        <v>7</v>
      </c>
      <c r="QY34" t="inlineStr">
        <is>
          <t xml:space="preserve">&amp;</t>
        </is>
      </c>
      <c r="QZ34">
        <v>7</v>
      </c>
      <c r="RA34" t="inlineStr">
        <is>
          <t xml:space="preserve">ARABIC_INDIC_7</t>
        </is>
      </c>
      <c r="RB34">
        <v>7</v>
      </c>
      <c r="RC34" t="inlineStr">
        <is>
          <t xml:space="preserve">&amp;</t>
        </is>
      </c>
      <c r="RD34">
        <v>7</v>
      </c>
      <c r="RE34" t="inlineStr">
        <is>
          <t xml:space="preserve">ARABIC_INDIC_7</t>
        </is>
      </c>
      <c r="RF34" t="inlineStr">
        <is>
          <t xml:space="preserve">U"\f\f" E_WITH_GRAVE_SMALL</t>
        </is>
      </c>
      <c r="RG34">
        <v>7</v>
      </c>
      <c r="RI34" t="inlineStr">
        <is>
          <t xml:space="preserve">ACUTE_ACCENT</t>
        </is>
      </c>
      <c r="RJ34" t="inlineStr">
        <is>
          <t xml:space="preserve">U"\f\f" E_WITH_GRAVE_SMALL</t>
        </is>
      </c>
      <c r="RK34">
        <v>7</v>
      </c>
      <c r="RM34" t="inlineStr">
        <is>
          <t xml:space="preserve">ACUTE_ACCENT</t>
        </is>
      </c>
      <c r="RN34" t="inlineStr">
        <is>
          <t xml:space="preserve">U"\f\f" E_WITH_GRAVE_SMALL</t>
        </is>
      </c>
      <c r="RO34">
        <v>7</v>
      </c>
      <c r="RQ34" t="inlineStr">
        <is>
          <t xml:space="preserve">ACUTE_ACCENT</t>
        </is>
      </c>
      <c r="RR34" t="inlineStr">
        <is>
          <t xml:space="preserve">U"\f\f" E_WITH_GRAVE_SMALL</t>
        </is>
      </c>
      <c r="RS34">
        <v>7</v>
      </c>
      <c r="RU34" t="inlineStr">
        <is>
          <t xml:space="preserve">ACUTE_ACCENT</t>
        </is>
      </c>
      <c r="RV34" t="inlineStr">
        <is>
          <t xml:space="preserve">U"\f\f" E_WITH_GRAVE_SMALL</t>
        </is>
      </c>
      <c r="RW34">
        <v>7</v>
      </c>
      <c r="RY34" t="inlineStr">
        <is>
          <t xml:space="preserve">ACUTE_ACCENT</t>
        </is>
      </c>
      <c r="SP34">
        <v>7</v>
      </c>
      <c r="SQ34" t="inlineStr">
        <is>
          <t xml:space="preserve">/</t>
        </is>
      </c>
      <c r="SR34">
        <v>7</v>
      </c>
      <c r="SS34" t="inlineStr">
        <is>
          <t xml:space="preserve">{</t>
        </is>
      </c>
      <c r="ST34">
        <v>7</v>
      </c>
      <c r="SU34" t="inlineStr">
        <is>
          <t xml:space="preserve">/</t>
        </is>
      </c>
      <c r="SV34">
        <v>7</v>
      </c>
      <c r="SW34" t="inlineStr">
        <is>
          <t xml:space="preserve">{</t>
        </is>
      </c>
      <c r="SX34" t="inlineStr">
        <is>
          <t xml:space="preserve">BENGALI_09ED</t>
        </is>
      </c>
      <c r="SY34" t="inlineStr">
        <is>
          <t xml:space="preserve">&amp;</t>
        </is>
      </c>
      <c r="SZ34" t="inlineStr">
        <is>
          <t xml:space="preserve">BENGALI_09ED</t>
        </is>
      </c>
      <c r="TA34" t="inlineStr">
        <is>
          <t xml:space="preserve">7</t>
        </is>
      </c>
      <c r="TV34">
        <v>7</v>
      </c>
      <c r="TW34" t="inlineStr">
        <is>
          <t xml:space="preserve">?</t>
        </is>
      </c>
      <c r="TX34">
        <v>7</v>
      </c>
      <c r="TZ34">
        <v>7</v>
      </c>
      <c r="UA34" t="inlineStr">
        <is>
          <t xml:space="preserve">?</t>
        </is>
      </c>
      <c r="UB34">
        <v>7</v>
      </c>
      <c r="UT34" t="inlineStr">
        <is>
          <t xml:space="preserve">U"\f\f" E_WITH_GRAVE_SMALL</t>
        </is>
      </c>
      <c r="UU34">
        <v>7</v>
      </c>
      <c r="UW34" t="inlineStr">
        <is>
          <t xml:space="preserve">ACUTE_ACCENT</t>
        </is>
      </c>
      <c r="VB34">
        <v>7</v>
      </c>
      <c r="VC34" t="inlineStr">
        <is>
          <t xml:space="preserve">/</t>
        </is>
      </c>
      <c r="VD34">
        <v>7</v>
      </c>
      <c r="VF34">
        <v>7</v>
      </c>
      <c r="VG34" t="inlineStr">
        <is>
          <t xml:space="preserve">/</t>
        </is>
      </c>
      <c r="VH34">
        <v>7</v>
      </c>
      <c r="VJ34">
        <v>7</v>
      </c>
      <c r="VK34" t="inlineStr">
        <is>
          <t xml:space="preserve">/</t>
        </is>
      </c>
      <c r="VL34">
        <v>7</v>
      </c>
      <c r="VM34" t="inlineStr">
        <is>
          <t xml:space="preserve">|</t>
        </is>
      </c>
      <c r="VZ34">
        <v>7</v>
      </c>
      <c r="WA34" t="inlineStr">
        <is>
          <t xml:space="preserve">/</t>
        </is>
      </c>
      <c r="WB34">
        <v>7</v>
      </c>
      <c r="WC34" t="inlineStr">
        <is>
          <t xml:space="preserve">|</t>
        </is>
      </c>
      <c r="XB34" t="inlineStr">
        <is>
          <t xml:space="preserve">ARABIC_06F7</t>
        </is>
      </c>
      <c r="XD34" t="inlineStr">
        <is>
          <t xml:space="preserve">ARABIC_06F7</t>
        </is>
      </c>
      <c r="XE34" t="inlineStr">
        <is>
          <t xml:space="preserve">&amp;</t>
        </is>
      </c>
      <c r="XF34" t="inlineStr">
        <is>
          <t xml:space="preserve">UCAS_14BB</t>
        </is>
      </c>
      <c r="XG34">
        <v>7</v>
      </c>
      <c r="XH34" t="inlineStr">
        <is>
          <t xml:space="preserve">UCAS_14BB</t>
        </is>
      </c>
      <c r="XN34" t="inlineStr">
        <is>
          <t xml:space="preserve">CHEROKEE_13CB</t>
        </is>
      </c>
      <c r="XO34" t="inlineStr">
        <is>
          <t xml:space="preserve">CHEROKEE_13E1</t>
        </is>
      </c>
      <c r="XP34" t="inlineStr">
        <is>
          <t xml:space="preserve">CHEROKEE_13CB</t>
        </is>
      </c>
      <c r="XQ34">
        <v>7</v>
      </c>
    </row>
    <row r="35" s="116" customFormat="true" ht="15" hidden="false" customHeight="false" outlineLevel="0" collapsed="false">
      <c r="A35" s="93" t="s">
        <v>1271</v>
      </c>
      <c r="B35" s="94" t="n">
        <v>8</v>
      </c>
      <c r="C35" s="94" t="s">
        <v>1272</v>
      </c>
      <c r="D35" s="94" t="n">
        <v>8</v>
      </c>
      <c r="E35" s="94"/>
      <c r="F35" s="95" t="n">
        <v>8</v>
      </c>
      <c r="G35" s="95" t="s">
        <v>1257</v>
      </c>
      <c r="H35" s="95"/>
      <c r="I35" s="95" t="s">
        <v>1154</v>
      </c>
      <c r="J35" s="96" t="s">
        <v>1269</v>
      </c>
      <c r="K35" s="96" t="n">
        <v>8</v>
      </c>
      <c r="L35" s="96"/>
      <c r="M35" s="96" t="s">
        <v>16</v>
      </c>
      <c r="N35" s="97" t="n">
        <v>8</v>
      </c>
      <c r="O35" s="97" t="s">
        <v>1257</v>
      </c>
      <c r="P35" s="97" t="n">
        <v>8</v>
      </c>
      <c r="Q35" s="97"/>
      <c r="R35" s="98" t="n">
        <v>8</v>
      </c>
      <c r="S35" s="98" t="s">
        <v>1257</v>
      </c>
      <c r="T35" s="98" t="n">
        <v>8</v>
      </c>
      <c r="U35" s="98" t="s">
        <v>1154</v>
      </c>
      <c r="V35" s="99" t="n">
        <v>8</v>
      </c>
      <c r="W35" s="99" t="s">
        <v>1257</v>
      </c>
      <c r="X35" s="99" t="n">
        <v>8</v>
      </c>
      <c r="Y35" s="99"/>
      <c r="Z35" s="100" t="n">
        <v>8</v>
      </c>
      <c r="AA35" s="100" t="s">
        <v>1257</v>
      </c>
      <c r="AB35" s="100" t="n">
        <v>8</v>
      </c>
      <c r="AC35" s="100" t="s">
        <v>1154</v>
      </c>
      <c r="AD35" s="101" t="n">
        <v>8</v>
      </c>
      <c r="AE35" s="101" t="s">
        <v>1272</v>
      </c>
      <c r="AF35" s="101" t="n">
        <v>8</v>
      </c>
      <c r="AG35" s="101"/>
      <c r="AH35" t="inlineStr">
        <is>
          <t xml:space="preserve">8</t>
        </is>
      </c>
      <c r="AI35" t="inlineStr">
        <is>
          <t xml:space="preserve">(</t>
        </is>
      </c>
      <c r="AJ35" t="inlineStr">
        <is>
          <t xml:space="preserve">8</t>
        </is>
      </c>
      <c r="AK35" t="inlineStr">
        <is>
          <t xml:space="preserve">HIRAGANA_YU</t>
        </is>
      </c>
      <c r="AL35" s="103" t="n">
        <v>8</v>
      </c>
      <c r="AM35" s="103" t="s">
        <v>1272</v>
      </c>
      <c r="AN35" s="103" t="n">
        <v>8</v>
      </c>
      <c r="AO35" s="103" t="s">
        <v>633</v>
      </c>
      <c r="AP35" s="104" t="n">
        <v>8</v>
      </c>
      <c r="AQ35" s="104" t="s">
        <v>1272</v>
      </c>
      <c r="AR35" s="104" t="n">
        <v>8</v>
      </c>
      <c r="AS35" s="104" t="s">
        <v>51</v>
      </c>
      <c r="AT35" s="105" t="n">
        <v>8</v>
      </c>
      <c r="AU35" s="105" t="s">
        <v>1272</v>
      </c>
      <c r="AV35" s="105" t="n">
        <v>8</v>
      </c>
      <c r="AW35" s="105"/>
      <c r="AX35" s="106" t="n">
        <v>8</v>
      </c>
      <c r="AY35" s="106" t="s">
        <v>1272</v>
      </c>
      <c r="AZ35" s="106" t="n">
        <v>8</v>
      </c>
      <c r="BA35" t="inlineStr">
        <is>
          <t xml:space="preserve">RUBLE_SIGN</t>
        </is>
      </c>
      <c r="BB35" s="107" t="n">
        <v>8</v>
      </c>
      <c r="BC35" s="107" t="s">
        <v>1272</v>
      </c>
      <c r="BD35" s="107" t="n">
        <v>8</v>
      </c>
      <c r="BE35" s="107"/>
      <c r="BF35" t="inlineStr">
        <is>
          <t xml:space="preserve">U"\f\f\f" CYRILLIC_SM_STRAIGHT_U</t>
        </is>
      </c>
      <c r="BG35" t="inlineStr">
        <is>
          <t xml:space="preserve">CYRILLIC_STRAIGHT_U</t>
        </is>
      </c>
      <c r="BH35" s="108"/>
      <c r="BI35" s="108"/>
      <c r="BJ35" s="109" t="n">
        <v>8</v>
      </c>
      <c r="BK35" s="109" t="s">
        <v>1173</v>
      </c>
      <c r="BL35" s="109" t="n">
        <v>8</v>
      </c>
      <c r="BM35" s="109"/>
      <c r="BN35" s="95" t="n">
        <v>8</v>
      </c>
      <c r="BO35" s="95" t="s">
        <v>1257</v>
      </c>
      <c r="BP35" s="95"/>
      <c r="BQ35" s="128" t="s">
        <v>192</v>
      </c>
      <c r="BR35" s="110" t="n">
        <v>8</v>
      </c>
      <c r="BS35" s="110" t="s">
        <v>1272</v>
      </c>
      <c r="BT35" s="110"/>
      <c r="BU35" s="124" t="s">
        <v>192</v>
      </c>
      <c r="BZ35" s="111" t="n">
        <v>8</v>
      </c>
      <c r="CA35" s="111" t="s">
        <v>1257</v>
      </c>
      <c r="CB35" s="111" t="n">
        <v>8</v>
      </c>
      <c r="CC35" s="111" t="s">
        <v>1137</v>
      </c>
      <c r="CD35" s="95" t="n">
        <v>8</v>
      </c>
      <c r="CE35" s="95" t="s">
        <v>1272</v>
      </c>
      <c r="CF35" s="95"/>
      <c r="CG35" s="128" t="s">
        <v>470</v>
      </c>
      <c r="CH35" s="112" t="n">
        <v>8</v>
      </c>
      <c r="CI35" s="112" t="s">
        <v>1257</v>
      </c>
      <c r="CJ35" s="112" t="n">
        <v>8</v>
      </c>
      <c r="CK35" s="112" t="s">
        <v>1154</v>
      </c>
      <c r="CL35" s="113" t="n">
        <v>8</v>
      </c>
      <c r="CM35" s="113" t="s">
        <v>1257</v>
      </c>
      <c r="CN35" s="113" t="n">
        <v>8</v>
      </c>
      <c r="CO35" s="113" t="s">
        <v>1154</v>
      </c>
      <c r="CP35" s="84" t="n">
        <v>8</v>
      </c>
      <c r="CQ35" s="84" t="s">
        <v>1257</v>
      </c>
      <c r="CR35" s="84" t="n">
        <v>8</v>
      </c>
      <c r="CS35" s="84" t="s">
        <v>1154</v>
      </c>
      <c r="CT35" s="110" t="n">
        <v>8</v>
      </c>
      <c r="CU35" s="110" t="s">
        <v>1257</v>
      </c>
      <c r="CV35" s="110" t="n">
        <v>8</v>
      </c>
      <c r="CW35" s="110" t="s">
        <v>1154</v>
      </c>
      <c r="CX35" s="114" t="n">
        <v>8</v>
      </c>
      <c r="CY35" s="114" t="s">
        <v>1272</v>
      </c>
      <c r="CZ35" s="114" t="n">
        <v>8</v>
      </c>
      <c r="DA35" s="126" t="s">
        <v>192</v>
      </c>
      <c r="DB35" t="inlineStr">
        <is>
          <t xml:space="preserve">U"\f\f\f\f" LATIN_00E1</t>
        </is>
      </c>
      <c r="DC35" s="115" t="n">
        <v>8</v>
      </c>
      <c r="DD35" s="115" t="n">
        <v>8</v>
      </c>
      <c r="DE35" s="127" t="s">
        <v>192</v>
      </c>
      <c r="DF35">
        <v>8</v>
      </c>
      <c r="DG35" t="inlineStr">
        <is>
          <t xml:space="preserve">(</t>
        </is>
      </c>
      <c r="DH35">
        <v>8</v>
      </c>
      <c r="DI35" t="inlineStr">
        <is>
          <t xml:space="preserve">MOD_DOT_ACCENT</t>
        </is>
      </c>
      <c r="DJ35" t="inlineStr">
        <is>
          <t xml:space="preserve">LATIN_00E1</t>
        </is>
      </c>
      <c r="DK35">
        <v>8</v>
      </c>
      <c r="DL35">
        <v>8</v>
      </c>
      <c r="DM35" t="inlineStr">
        <is>
          <t xml:space="preserve">MOD_DOT_ACCENT</t>
        </is>
      </c>
      <c r="DN35" t="inlineStr">
        <is>
          <t xml:space="preserve">U"\f\f" LATIN_016B</t>
        </is>
      </c>
      <c r="DO35" t="inlineStr">
        <is>
          <t xml:space="preserve">LATIN_016A</t>
        </is>
      </c>
      <c r="DQ35">
        <v>8</v>
      </c>
      <c r="DU35" t="inlineStr">
        <is>
          <t xml:space="preserve">[</t>
        </is>
      </c>
      <c r="DV35">
        <v>8</v>
      </c>
      <c r="DW35" t="inlineStr">
        <is>
          <t xml:space="preserve">(</t>
        </is>
      </c>
      <c r="DX35">
        <v>8</v>
      </c>
      <c r="DY35" t="inlineStr">
        <is>
          <t xml:space="preserve">[</t>
        </is>
      </c>
      <c r="ED35">
        <v>8</v>
      </c>
      <c r="EE35" t="inlineStr">
        <is>
          <t xml:space="preserve">(</t>
        </is>
      </c>
      <c r="EF35">
        <v>8</v>
      </c>
      <c r="EH35">
        <v>8</v>
      </c>
      <c r="EI35" t="inlineStr">
        <is>
          <t xml:space="preserve">(</t>
        </is>
      </c>
      <c r="EJ35">
        <v>8</v>
      </c>
      <c r="EO35" t="inlineStr">
        <is>
          <t xml:space="preserve">ARABIC_EXT_INDIC_8</t>
        </is>
      </c>
      <c r="EP35" t="inlineStr">
        <is>
          <t xml:space="preserve">DEVANAGARI_096E</t>
        </is>
      </c>
      <c r="EQ35" t="inlineStr">
        <is>
          <t xml:space="preserve">*</t>
        </is>
      </c>
      <c r="ER35" t="inlineStr">
        <is>
          <t xml:space="preserve">DEVANAGARI_096E</t>
        </is>
      </c>
      <c r="ET35" t="inlineStr">
        <is>
          <t xml:space="preserve">DEVANAGARI_096E</t>
        </is>
      </c>
      <c r="EU35" t="inlineStr">
        <is>
          <t xml:space="preserve">*</t>
        </is>
      </c>
      <c r="EV35" t="inlineStr">
        <is>
          <t xml:space="preserve">DEVANAGARI_096E</t>
        </is>
      </c>
      <c r="EX35" t="inlineStr">
        <is>
          <t xml:space="preserve">DEVANAGARI_096E</t>
        </is>
      </c>
      <c r="EY35" t="inlineStr">
        <is>
          <t xml:space="preserve">*</t>
        </is>
      </c>
      <c r="EZ35" t="inlineStr">
        <is>
          <t xml:space="preserve">DEVANAGARI_096E</t>
        </is>
      </c>
      <c r="FB35">
        <v>8</v>
      </c>
      <c r="FC35" t="inlineStr">
        <is>
          <t xml:space="preserve">,</t>
        </is>
      </c>
      <c r="FD35">
        <v>8</v>
      </c>
      <c r="FF35">
        <v>8</v>
      </c>
      <c r="FH35">
        <v>8</v>
      </c>
      <c r="FI35" t="inlineStr">
        <is>
          <t xml:space="preserve">ARABIC_EXT_INDIC_8</t>
        </is>
      </c>
      <c r="FR35">
        <v>8</v>
      </c>
      <c r="FS35" t="inlineStr">
        <is>
          <t xml:space="preserve">(</t>
        </is>
      </c>
      <c r="FT35">
        <v>8</v>
      </c>
      <c r="FU35" t="inlineStr">
        <is>
          <t xml:space="preserve">CENT_SIGN</t>
        </is>
      </c>
      <c r="FV35" t="inlineStr">
        <is>
          <t xml:space="preserve">!</t>
        </is>
      </c>
      <c r="FW35">
        <v>8</v>
      </c>
      <c r="FX35" t="inlineStr">
        <is>
          <t xml:space="preserve">!</t>
        </is>
      </c>
      <c r="FY35" t="inlineStr">
        <is>
          <t xml:space="preserve">[</t>
        </is>
      </c>
      <c r="FZ35">
        <v>8</v>
      </c>
      <c r="GA35" t="inlineStr">
        <is>
          <t xml:space="preserve">*</t>
        </is>
      </c>
      <c r="GB35">
        <v>8</v>
      </c>
      <c r="GC35" t="inlineStr">
        <is>
          <t xml:space="preserve">SUPER_SCRIPT_2</t>
        </is>
      </c>
      <c r="GD35" t="inlineStr">
        <is>
          <t xml:space="preserve">THAI_0E04</t>
        </is>
      </c>
      <c r="GE35" t="inlineStr">
        <is>
          <t xml:space="preserve">THAI_0E55</t>
        </is>
      </c>
      <c r="GF35" t="inlineStr">
        <is>
          <t xml:space="preserve">THAI_0E04</t>
        </is>
      </c>
      <c r="GG35">
        <v>8</v>
      </c>
      <c r="GH35" t="inlineStr">
        <is>
          <t xml:space="preserve">BENGALI_09EE</t>
        </is>
      </c>
      <c r="GI35" t="inlineStr">
        <is>
          <t xml:space="preserve">*</t>
        </is>
      </c>
      <c r="GJ35" t="inlineStr">
        <is>
          <t xml:space="preserve">BENGALI_09EE</t>
        </is>
      </c>
      <c r="GL35" t="inlineStr">
        <is>
          <t xml:space="preserve">TELUGU_0C6E</t>
        </is>
      </c>
      <c r="GM35" t="inlineStr">
        <is>
          <t xml:space="preserve">*</t>
        </is>
      </c>
      <c r="GN35" t="inlineStr">
        <is>
          <t xml:space="preserve">TELUGU_0C6E</t>
        </is>
      </c>
      <c r="GP35" t="inlineStr">
        <is>
          <t xml:space="preserve">TAMIL_0BEE</t>
        </is>
      </c>
      <c r="GQ35" t="inlineStr">
        <is>
          <t xml:space="preserve">*</t>
        </is>
      </c>
      <c r="GR35" t="inlineStr">
        <is>
          <t xml:space="preserve">TAMIL_0BEE</t>
        </is>
      </c>
      <c r="GT35" t="inlineStr">
        <is>
          <t xml:space="preserve">ZHUYIN_311A</t>
        </is>
      </c>
      <c r="GV35" t="inlineStr">
        <is>
          <t xml:space="preserve">ZHUYIN_311A</t>
        </is>
      </c>
      <c r="GW35">
        <v>8</v>
      </c>
      <c r="HB35" t="inlineStr">
        <is>
          <t xml:space="preserve">ARMENIAN_055B</t>
        </is>
      </c>
      <c r="HC35" t="inlineStr">
        <is>
          <t xml:space="preserve">ARMENIAN_055A</t>
        </is>
      </c>
      <c r="HD35" t="inlineStr">
        <is>
          <t xml:space="preserve">ARMENIAN_055B</t>
        </is>
      </c>
      <c r="HE35">
        <v>8</v>
      </c>
      <c r="HR35" t="inlineStr">
        <is>
          <t xml:space="preserve">VIET_DC_0301</t>
        </is>
      </c>
      <c r="HS35" t="inlineStr">
        <is>
          <t xml:space="preserve">*</t>
        </is>
      </c>
      <c r="HT35" t="inlineStr">
        <is>
          <t xml:space="preserve">VIET_DC_0301</t>
        </is>
      </c>
      <c r="HU35">
        <v>8</v>
      </c>
      <c r="HV35">
        <v>8</v>
      </c>
      <c r="HW35" t="inlineStr">
        <is>
          <t xml:space="preserve">U". . ."</t>
        </is>
      </c>
      <c r="HX35">
        <v>8</v>
      </c>
      <c r="JJ35">
        <v>8</v>
      </c>
      <c r="JK35" t="inlineStr">
        <is>
          <t xml:space="preserve">*</t>
        </is>
      </c>
      <c r="JL35">
        <v>8</v>
      </c>
      <c r="JM35" t="inlineStr">
        <is>
          <t xml:space="preserve">ARABIC_INDIC_8</t>
        </is>
      </c>
      <c r="JR35">
        <v>8</v>
      </c>
      <c r="JS35" t="inlineStr">
        <is>
          <t xml:space="preserve">*</t>
        </is>
      </c>
      <c r="JT35">
        <v>8</v>
      </c>
      <c r="JU35" t="inlineStr">
        <is>
          <t xml:space="preserve">ETHIOPIC_1370</t>
        </is>
      </c>
      <c r="KD35">
        <v>8</v>
      </c>
      <c r="KE35" t="inlineStr">
        <is>
          <t xml:space="preserve">*</t>
        </is>
      </c>
      <c r="KF35">
        <v>8</v>
      </c>
      <c r="KG35" t="inlineStr">
        <is>
          <t xml:space="preserve">ARABIC_INDIC_8</t>
        </is>
      </c>
      <c r="KH35">
        <v>8</v>
      </c>
      <c r="KI35" t="inlineStr">
        <is>
          <t xml:space="preserve">*</t>
        </is>
      </c>
      <c r="KJ35">
        <v>8</v>
      </c>
      <c r="KK35" t="inlineStr">
        <is>
          <t xml:space="preserve">ARABIC_INDIC_8</t>
        </is>
      </c>
      <c r="KL35">
        <v>8</v>
      </c>
      <c r="KM35" t="inlineStr">
        <is>
          <t xml:space="preserve">*</t>
        </is>
      </c>
      <c r="KN35">
        <v>8</v>
      </c>
      <c r="KO35" t="inlineStr">
        <is>
          <t xml:space="preserve">ARABIC_INDIC_8</t>
        </is>
      </c>
      <c r="LA35" t="inlineStr">
        <is>
          <t xml:space="preserve">}</t>
        </is>
      </c>
      <c r="LJ35" t="inlineStr">
        <is>
          <t xml:space="preserve">_</t>
        </is>
      </c>
      <c r="LK35">
        <v>8</v>
      </c>
      <c r="LM35" t="inlineStr">
        <is>
          <t xml:space="preserve">BACKSLASH</t>
        </is>
      </c>
      <c r="NV35">
        <v>8</v>
      </c>
      <c r="NW35" t="inlineStr">
        <is>
          <t xml:space="preserve">(</t>
        </is>
      </c>
      <c r="NY35" t="inlineStr">
        <is>
          <t xml:space="preserve">[</t>
        </is>
      </c>
      <c r="NZ35" t="inlineStr">
        <is>
          <t xml:space="preserve">!</t>
        </is>
      </c>
      <c r="OA35">
        <v>8</v>
      </c>
      <c r="OB35" t="inlineStr">
        <is>
          <t xml:space="preserve">!</t>
        </is>
      </c>
      <c r="OC35" t="inlineStr">
        <is>
          <t xml:space="preserve">[</t>
        </is>
      </c>
      <c r="OD35">
        <v>8</v>
      </c>
      <c r="OE35" t="inlineStr">
        <is>
          <t xml:space="preserve">(</t>
        </is>
      </c>
      <c r="OF35">
        <v>8</v>
      </c>
      <c r="OL35">
        <v>8</v>
      </c>
      <c r="OM35" t="inlineStr">
        <is>
          <t xml:space="preserve">(</t>
        </is>
      </c>
      <c r="ON35">
        <v>8</v>
      </c>
      <c r="OO35" t="inlineStr">
        <is>
          <t xml:space="preserve">MOD_DOT_ACCENT</t>
        </is>
      </c>
      <c r="OP35">
        <v>8</v>
      </c>
      <c r="OQ35" t="inlineStr">
        <is>
          <t xml:space="preserve">(</t>
        </is>
      </c>
      <c r="OR35">
        <v>8</v>
      </c>
      <c r="OS35" t="inlineStr">
        <is>
          <t xml:space="preserve">CENT_SIGN</t>
        </is>
      </c>
      <c r="OT35">
        <v>8</v>
      </c>
      <c r="OU35" t="inlineStr">
        <is>
          <t xml:space="preserve">(</t>
        </is>
      </c>
      <c r="OV35">
        <v>8</v>
      </c>
      <c r="OW35" t="inlineStr">
        <is>
          <t xml:space="preserve">MOD_DOT_ACCENT</t>
        </is>
      </c>
      <c r="OX35">
        <v>8</v>
      </c>
      <c r="OY35" t="inlineStr">
        <is>
          <t xml:space="preserve">(</t>
        </is>
      </c>
      <c r="OZ35">
        <v>8</v>
      </c>
      <c r="PA35" t="inlineStr">
        <is>
          <t xml:space="preserve">[</t>
        </is>
      </c>
      <c r="PB35">
        <v>8</v>
      </c>
      <c r="PC35" t="inlineStr">
        <is>
          <t xml:space="preserve">*</t>
        </is>
      </c>
      <c r="PD35">
        <v>8</v>
      </c>
      <c r="PE35" t="inlineStr">
        <is>
          <t xml:space="preserve">ARABIC_INDIC_8</t>
        </is>
      </c>
      <c r="PF35">
        <v>8</v>
      </c>
      <c r="PG35" t="inlineStr">
        <is>
          <t xml:space="preserve">*</t>
        </is>
      </c>
      <c r="PH35">
        <v>8</v>
      </c>
      <c r="PI35" t="inlineStr">
        <is>
          <t xml:space="preserve">ARABIC_INDIC_8</t>
        </is>
      </c>
      <c r="PJ35">
        <v>8</v>
      </c>
      <c r="PK35" t="inlineStr">
        <is>
          <t xml:space="preserve">*</t>
        </is>
      </c>
      <c r="PL35">
        <v>8</v>
      </c>
      <c r="PM35" t="inlineStr">
        <is>
          <t xml:space="preserve">ARABIC_INDIC_8</t>
        </is>
      </c>
      <c r="PN35">
        <v>8</v>
      </c>
      <c r="PO35" t="inlineStr">
        <is>
          <t xml:space="preserve">*</t>
        </is>
      </c>
      <c r="PP35">
        <v>8</v>
      </c>
      <c r="PQ35" t="inlineStr">
        <is>
          <t xml:space="preserve">ARABIC_INDIC_8</t>
        </is>
      </c>
      <c r="PR35">
        <v>8</v>
      </c>
      <c r="PS35" t="inlineStr">
        <is>
          <t xml:space="preserve">*</t>
        </is>
      </c>
      <c r="PT35">
        <v>8</v>
      </c>
      <c r="PU35" t="inlineStr">
        <is>
          <t xml:space="preserve">ARABIC_INDIC_8</t>
        </is>
      </c>
      <c r="PV35">
        <v>8</v>
      </c>
      <c r="PW35" t="inlineStr">
        <is>
          <t xml:space="preserve">*</t>
        </is>
      </c>
      <c r="PX35">
        <v>8</v>
      </c>
      <c r="PY35" t="inlineStr">
        <is>
          <t xml:space="preserve">ARABIC_INDIC_8</t>
        </is>
      </c>
      <c r="PZ35">
        <v>8</v>
      </c>
      <c r="QA35" t="inlineStr">
        <is>
          <t xml:space="preserve">*</t>
        </is>
      </c>
      <c r="QB35">
        <v>8</v>
      </c>
      <c r="QC35" t="inlineStr">
        <is>
          <t xml:space="preserve">ARABIC_INDIC_8</t>
        </is>
      </c>
      <c r="QD35">
        <v>8</v>
      </c>
      <c r="QE35" t="inlineStr">
        <is>
          <t xml:space="preserve">*</t>
        </is>
      </c>
      <c r="QF35">
        <v>8</v>
      </c>
      <c r="QG35" t="inlineStr">
        <is>
          <t xml:space="preserve">ARABIC_INDIC_8</t>
        </is>
      </c>
      <c r="QH35">
        <v>8</v>
      </c>
      <c r="QI35" t="inlineStr">
        <is>
          <t xml:space="preserve">*</t>
        </is>
      </c>
      <c r="QJ35">
        <v>8</v>
      </c>
      <c r="QK35" t="inlineStr">
        <is>
          <t xml:space="preserve">ARABIC_INDIC_8</t>
        </is>
      </c>
      <c r="QL35">
        <v>8</v>
      </c>
      <c r="QM35" t="inlineStr">
        <is>
          <t xml:space="preserve">*</t>
        </is>
      </c>
      <c r="QN35">
        <v>8</v>
      </c>
      <c r="QO35" t="inlineStr">
        <is>
          <t xml:space="preserve">ARABIC_INDIC_8</t>
        </is>
      </c>
      <c r="QP35">
        <v>8</v>
      </c>
      <c r="QQ35" t="inlineStr">
        <is>
          <t xml:space="preserve">*</t>
        </is>
      </c>
      <c r="QR35">
        <v>8</v>
      </c>
      <c r="QS35" t="inlineStr">
        <is>
          <t xml:space="preserve">ARABIC_INDIC_8</t>
        </is>
      </c>
      <c r="QT35">
        <v>8</v>
      </c>
      <c r="QU35" t="inlineStr">
        <is>
          <t xml:space="preserve">*</t>
        </is>
      </c>
      <c r="QV35">
        <v>8</v>
      </c>
      <c r="QW35" t="inlineStr">
        <is>
          <t xml:space="preserve">ARABIC_INDIC_8</t>
        </is>
      </c>
      <c r="QX35">
        <v>8</v>
      </c>
      <c r="QY35" t="inlineStr">
        <is>
          <t xml:space="preserve">*</t>
        </is>
      </c>
      <c r="QZ35">
        <v>8</v>
      </c>
      <c r="RA35" t="inlineStr">
        <is>
          <t xml:space="preserve">ARABIC_INDIC_8</t>
        </is>
      </c>
      <c r="RB35">
        <v>8</v>
      </c>
      <c r="RC35" t="inlineStr">
        <is>
          <t xml:space="preserve">*</t>
        </is>
      </c>
      <c r="RD35">
        <v>8</v>
      </c>
      <c r="RE35" t="inlineStr">
        <is>
          <t xml:space="preserve">ARABIC_INDIC_8</t>
        </is>
      </c>
      <c r="RF35" t="inlineStr">
        <is>
          <t xml:space="preserve">_</t>
        </is>
      </c>
      <c r="RG35">
        <v>8</v>
      </c>
      <c r="RI35" t="inlineStr">
        <is>
          <t xml:space="preserve">BACKSLASH</t>
        </is>
      </c>
      <c r="RJ35" t="inlineStr">
        <is>
          <t xml:space="preserve">_</t>
        </is>
      </c>
      <c r="RK35">
        <v>8</v>
      </c>
      <c r="RM35" t="inlineStr">
        <is>
          <t xml:space="preserve">BACKSLASH</t>
        </is>
      </c>
      <c r="RN35" t="inlineStr">
        <is>
          <t xml:space="preserve">_</t>
        </is>
      </c>
      <c r="RO35">
        <v>8</v>
      </c>
      <c r="RQ35" t="inlineStr">
        <is>
          <t xml:space="preserve">BACKSLASH</t>
        </is>
      </c>
      <c r="RR35" t="inlineStr">
        <is>
          <t xml:space="preserve">_</t>
        </is>
      </c>
      <c r="RS35">
        <v>8</v>
      </c>
      <c r="RU35" t="inlineStr">
        <is>
          <t xml:space="preserve">BACKSLASH</t>
        </is>
      </c>
      <c r="RV35" t="inlineStr">
        <is>
          <t xml:space="preserve">_</t>
        </is>
      </c>
      <c r="RW35">
        <v>8</v>
      </c>
      <c r="RY35" t="inlineStr">
        <is>
          <t xml:space="preserve">BACKSLASH</t>
        </is>
      </c>
      <c r="SP35">
        <v>8</v>
      </c>
      <c r="SQ35" t="inlineStr">
        <is>
          <t xml:space="preserve">(</t>
        </is>
      </c>
      <c r="SR35">
        <v>8</v>
      </c>
      <c r="SS35" t="inlineStr">
        <is>
          <t xml:space="preserve">[</t>
        </is>
      </c>
      <c r="ST35">
        <v>8</v>
      </c>
      <c r="SU35" t="inlineStr">
        <is>
          <t xml:space="preserve">(</t>
        </is>
      </c>
      <c r="SV35">
        <v>8</v>
      </c>
      <c r="SW35" t="inlineStr">
        <is>
          <t xml:space="preserve">[</t>
        </is>
      </c>
      <c r="SX35" t="inlineStr">
        <is>
          <t xml:space="preserve">BENGALI_09EE</t>
        </is>
      </c>
      <c r="SY35" t="inlineStr">
        <is>
          <t xml:space="preserve">*</t>
        </is>
      </c>
      <c r="SZ35" t="inlineStr">
        <is>
          <t xml:space="preserve">BENGALI_09EE</t>
        </is>
      </c>
      <c r="TA35" t="inlineStr">
        <is>
          <t xml:space="preserve">8</t>
        </is>
      </c>
      <c r="TV35">
        <v>8</v>
      </c>
      <c r="TW35" t="inlineStr">
        <is>
          <t xml:space="preserve">*</t>
        </is>
      </c>
      <c r="TX35">
        <v>8</v>
      </c>
      <c r="TZ35">
        <v>8</v>
      </c>
      <c r="UA35" t="inlineStr">
        <is>
          <t xml:space="preserve">*</t>
        </is>
      </c>
      <c r="UB35">
        <v>8</v>
      </c>
      <c r="UT35" t="inlineStr">
        <is>
          <t xml:space="preserve">_</t>
        </is>
      </c>
      <c r="UU35">
        <v>8</v>
      </c>
      <c r="UW35" t="inlineStr">
        <is>
          <t xml:space="preserve">BACKSLASH</t>
        </is>
      </c>
      <c r="VB35">
        <v>8</v>
      </c>
      <c r="VC35" t="inlineStr">
        <is>
          <t xml:space="preserve">(</t>
        </is>
      </c>
      <c r="VD35">
        <v>8</v>
      </c>
      <c r="VF35">
        <v>8</v>
      </c>
      <c r="VG35" t="inlineStr">
        <is>
          <t xml:space="preserve">(</t>
        </is>
      </c>
      <c r="VH35">
        <v>8</v>
      </c>
      <c r="VJ35">
        <v>8</v>
      </c>
      <c r="VK35" t="inlineStr">
        <is>
          <t xml:space="preserve">(</t>
        </is>
      </c>
      <c r="VL35">
        <v>8</v>
      </c>
      <c r="VM35" t="inlineStr">
        <is>
          <t xml:space="preserve">CENT_SIGN</t>
        </is>
      </c>
      <c r="VZ35">
        <v>8</v>
      </c>
      <c r="WA35" t="inlineStr">
        <is>
          <t xml:space="preserve">(</t>
        </is>
      </c>
      <c r="WB35">
        <v>8</v>
      </c>
      <c r="WC35" t="inlineStr">
        <is>
          <t xml:space="preserve">CENT_SIGN</t>
        </is>
      </c>
      <c r="XB35" t="inlineStr">
        <is>
          <t xml:space="preserve">ARABIC_06F8</t>
        </is>
      </c>
      <c r="XD35" t="inlineStr">
        <is>
          <t xml:space="preserve">ARABIC_06F8</t>
        </is>
      </c>
      <c r="XF35" t="inlineStr">
        <is>
          <t xml:space="preserve">UCAS_14D0</t>
        </is>
      </c>
      <c r="XG35">
        <v>8</v>
      </c>
      <c r="XH35" t="inlineStr">
        <is>
          <t xml:space="preserve">UCAS_14D0</t>
        </is>
      </c>
      <c r="XN35" t="inlineStr">
        <is>
          <t xml:space="preserve">CHEROKEE_13D6</t>
        </is>
      </c>
      <c r="XO35" t="inlineStr">
        <is>
          <t xml:space="preserve">CHEROKEE_13BA</t>
        </is>
      </c>
      <c r="XP35" t="inlineStr">
        <is>
          <t xml:space="preserve">CHEROKEE_13D6</t>
        </is>
      </c>
      <c r="XQ35">
        <v>8</v>
      </c>
    </row>
    <row r="36" s="116" customFormat="true" ht="15" hidden="false" customHeight="false" outlineLevel="0" collapsed="false">
      <c r="A36" s="93" t="s">
        <v>1275</v>
      </c>
      <c r="B36" s="94" t="n">
        <v>9</v>
      </c>
      <c r="C36" s="94" t="s">
        <v>1257</v>
      </c>
      <c r="D36" s="94" t="n">
        <v>9</v>
      </c>
      <c r="E36" s="94"/>
      <c r="F36" s="95" t="n">
        <v>9</v>
      </c>
      <c r="G36" s="95" t="s">
        <v>1276</v>
      </c>
      <c r="H36" s="95"/>
      <c r="I36" s="95" t="s">
        <v>1145</v>
      </c>
      <c r="J36" t="inlineStr">
        <is>
          <t xml:space="preserve">U"\f\f" C_WITH_CEDILLA_SMALL</t>
        </is>
      </c>
      <c r="K36" s="96" t="n">
        <v>9</v>
      </c>
      <c r="L36" s="136"/>
      <c r="M36" s="136" t="s">
        <v>1245</v>
      </c>
      <c r="N36" s="97" t="n">
        <v>9</v>
      </c>
      <c r="O36" s="97" t="s">
        <v>1276</v>
      </c>
      <c r="P36" s="97" t="n">
        <v>9</v>
      </c>
      <c r="Q36" s="97"/>
      <c r="R36" s="98" t="n">
        <v>9</v>
      </c>
      <c r="S36" s="98" t="s">
        <v>1276</v>
      </c>
      <c r="T36" s="98" t="n">
        <v>9</v>
      </c>
      <c r="U36" s="98" t="s">
        <v>1145</v>
      </c>
      <c r="V36" s="99" t="n">
        <v>9</v>
      </c>
      <c r="W36" s="99" t="s">
        <v>1276</v>
      </c>
      <c r="X36" s="99" t="n">
        <v>9</v>
      </c>
      <c r="Y36" s="99"/>
      <c r="Z36" s="100" t="n">
        <v>9</v>
      </c>
      <c r="AA36" s="100" t="s">
        <v>1276</v>
      </c>
      <c r="AB36" s="100" t="n">
        <v>9</v>
      </c>
      <c r="AC36" s="100" t="s">
        <v>1145</v>
      </c>
      <c r="AD36" s="101" t="n">
        <v>9</v>
      </c>
      <c r="AE36" s="101" t="s">
        <v>1257</v>
      </c>
      <c r="AF36" s="101" t="n">
        <v>9</v>
      </c>
      <c r="AG36" s="101"/>
      <c r="AH36" t="inlineStr">
        <is>
          <t xml:space="preserve">9</t>
        </is>
      </c>
      <c r="AI36" t="inlineStr">
        <is>
          <t xml:space="preserve">)</t>
        </is>
      </c>
      <c r="AJ36" t="inlineStr">
        <is>
          <t xml:space="preserve">9</t>
        </is>
      </c>
      <c r="AK36" t="inlineStr">
        <is>
          <t xml:space="preserve">HIRAGANA_YO</t>
        </is>
      </c>
      <c r="AL36" s="103" t="n">
        <v>9</v>
      </c>
      <c r="AM36" s="103" t="s">
        <v>1257</v>
      </c>
      <c r="AN36" s="103" t="n">
        <v>9</v>
      </c>
      <c r="AO36" s="103" t="s">
        <v>634</v>
      </c>
      <c r="AP36" s="104" t="n">
        <v>9</v>
      </c>
      <c r="AQ36" s="104" t="s">
        <v>1257</v>
      </c>
      <c r="AR36" s="104" t="n">
        <v>9</v>
      </c>
      <c r="AS36" t="inlineStr">
        <is>
          <t xml:space="preserve">U"\f\f" BROKEN_BAR</t>
        </is>
      </c>
      <c r="AT36" s="105" t="n">
        <v>9</v>
      </c>
      <c r="AU36" s="105" t="s">
        <v>1257</v>
      </c>
      <c r="AV36" s="105" t="n">
        <v>9</v>
      </c>
      <c r="AW36" s="105"/>
      <c r="AX36" s="106" t="n">
        <v>9</v>
      </c>
      <c r="AY36" s="106" t="s">
        <v>1257</v>
      </c>
      <c r="AZ36" s="106" t="n">
        <v>9</v>
      </c>
      <c r="BA36" s="106"/>
      <c r="BB36" s="107" t="n">
        <v>9</v>
      </c>
      <c r="BC36" s="107" t="s">
        <v>1257</v>
      </c>
      <c r="BD36" s="107" t="n">
        <v>9</v>
      </c>
      <c r="BE36" s="107"/>
      <c r="BF36" t="inlineStr">
        <is>
          <t xml:space="preserve">U"\f\f\f" CYRILLIC_SM_STRAIGHT_U_W_STROKE</t>
        </is>
      </c>
      <c r="BG36" t="inlineStr">
        <is>
          <t xml:space="preserve">CYRILLIC_STRAIGHT_U_W_STROKE</t>
        </is>
      </c>
      <c r="BH36" s="108"/>
      <c r="BI36" s="108"/>
      <c r="BJ36" s="109" t="n">
        <v>9</v>
      </c>
      <c r="BK36" s="109" t="s">
        <v>1279</v>
      </c>
      <c r="BL36" s="109" t="n">
        <v>9</v>
      </c>
      <c r="BM36" s="109"/>
      <c r="BN36" s="95" t="n">
        <v>9</v>
      </c>
      <c r="BO36" s="95" t="s">
        <v>1276</v>
      </c>
      <c r="BP36" s="95"/>
      <c r="BQ36" s="128" t="s">
        <v>80</v>
      </c>
      <c r="BR36" s="110" t="n">
        <v>9</v>
      </c>
      <c r="BS36" s="110" t="s">
        <v>1257</v>
      </c>
      <c r="BT36" s="110"/>
      <c r="BU36" s="124" t="s">
        <v>80</v>
      </c>
      <c r="BZ36" s="111" t="n">
        <v>9</v>
      </c>
      <c r="CA36" s="111" t="s">
        <v>1276</v>
      </c>
      <c r="CB36" s="111" t="n">
        <v>9</v>
      </c>
      <c r="CC36" s="111" t="s">
        <v>1185</v>
      </c>
      <c r="CD36" s="95" t="n">
        <v>9</v>
      </c>
      <c r="CE36" s="95" t="s">
        <v>1257</v>
      </c>
      <c r="CF36" s="95"/>
      <c r="CG36" s="128" t="s">
        <v>454</v>
      </c>
      <c r="CH36" s="112" t="n">
        <v>9</v>
      </c>
      <c r="CI36" s="112" t="s">
        <v>1276</v>
      </c>
      <c r="CJ36" s="112" t="n">
        <v>9</v>
      </c>
      <c r="CK36" s="112" t="s">
        <v>1145</v>
      </c>
      <c r="CL36" s="113" t="n">
        <v>9</v>
      </c>
      <c r="CM36" s="113" t="s">
        <v>1276</v>
      </c>
      <c r="CN36" s="113" t="n">
        <v>9</v>
      </c>
      <c r="CO36" s="113" t="s">
        <v>1145</v>
      </c>
      <c r="CP36" s="84" t="n">
        <v>9</v>
      </c>
      <c r="CQ36" s="84" t="s">
        <v>1276</v>
      </c>
      <c r="CR36" s="84" t="n">
        <v>9</v>
      </c>
      <c r="CS36" s="84" t="s">
        <v>1145</v>
      </c>
      <c r="CT36" s="110" t="n">
        <v>9</v>
      </c>
      <c r="CU36" s="110" t="s">
        <v>1276</v>
      </c>
      <c r="CV36" s="110" t="n">
        <v>9</v>
      </c>
      <c r="CW36" s="110" t="s">
        <v>1145</v>
      </c>
      <c r="CX36" s="114" t="n">
        <v>9</v>
      </c>
      <c r="CY36" s="114" t="s">
        <v>1257</v>
      </c>
      <c r="CZ36" s="114" t="n">
        <v>9</v>
      </c>
      <c r="DA36" s="126" t="s">
        <v>80</v>
      </c>
      <c r="DB36" t="inlineStr">
        <is>
          <t xml:space="preserve">U"\f\f\f\f" LATIN_00ED</t>
        </is>
      </c>
      <c r="DC36" s="115" t="n">
        <v>9</v>
      </c>
      <c r="DD36" s="115" t="n">
        <v>9</v>
      </c>
      <c r="DE36" s="127" t="s">
        <v>80</v>
      </c>
      <c r="DF36">
        <v>9</v>
      </c>
      <c r="DG36" t="inlineStr">
        <is>
          <t xml:space="preserve">)</t>
        </is>
      </c>
      <c r="DH36">
        <v>9</v>
      </c>
      <c r="DI36" t="inlineStr">
        <is>
          <t xml:space="preserve">ACUTE_ACCENT</t>
        </is>
      </c>
      <c r="DJ36" t="inlineStr">
        <is>
          <t xml:space="preserve">LATIN_00ED</t>
        </is>
      </c>
      <c r="DK36">
        <v>9</v>
      </c>
      <c r="DL36">
        <v>9</v>
      </c>
      <c r="DM36" t="inlineStr">
        <is>
          <t xml:space="preserve">ACUTE_ACCENT</t>
        </is>
      </c>
      <c r="DN36">
        <v>9</v>
      </c>
      <c r="DO36" t="inlineStr">
        <is>
          <t xml:space="preserve">(</t>
        </is>
      </c>
      <c r="DP36">
        <v>9</v>
      </c>
      <c r="DU36" t="inlineStr">
        <is>
          <t xml:space="preserve">]</t>
        </is>
      </c>
      <c r="DV36">
        <v>9</v>
      </c>
      <c r="DW36" t="inlineStr">
        <is>
          <t xml:space="preserve">)</t>
        </is>
      </c>
      <c r="DX36">
        <v>9</v>
      </c>
      <c r="DY36" t="inlineStr">
        <is>
          <t xml:space="preserve">]</t>
        </is>
      </c>
      <c r="ED36">
        <v>9</v>
      </c>
      <c r="EE36" t="inlineStr">
        <is>
          <t xml:space="preserve">)</t>
        </is>
      </c>
      <c r="EF36">
        <v>9</v>
      </c>
      <c r="EH36">
        <v>9</v>
      </c>
      <c r="EI36" t="inlineStr">
        <is>
          <t xml:space="preserve">)</t>
        </is>
      </c>
      <c r="EJ36">
        <v>9</v>
      </c>
      <c r="EO36" t="inlineStr">
        <is>
          <t xml:space="preserve">ARABIC_EXT_INDIC_9</t>
        </is>
      </c>
      <c r="EP36" t="inlineStr">
        <is>
          <t xml:space="preserve">DEVANAGARI_096F</t>
        </is>
      </c>
      <c r="EQ36" t="inlineStr">
        <is>
          <t xml:space="preserve">(</t>
        </is>
      </c>
      <c r="ER36" t="inlineStr">
        <is>
          <t xml:space="preserve">DEVANAGARI_096F</t>
        </is>
      </c>
      <c r="ET36" t="inlineStr">
        <is>
          <t xml:space="preserve">DEVANAGARI_096F</t>
        </is>
      </c>
      <c r="EU36" t="inlineStr">
        <is>
          <t xml:space="preserve">(</t>
        </is>
      </c>
      <c r="EV36" t="inlineStr">
        <is>
          <t xml:space="preserve">DEVANAGARI_096F</t>
        </is>
      </c>
      <c r="EX36" t="inlineStr">
        <is>
          <t xml:space="preserve">DEVANAGARI_096F</t>
        </is>
      </c>
      <c r="EY36" t="inlineStr">
        <is>
          <t xml:space="preserve">(</t>
        </is>
      </c>
      <c r="EZ36" t="inlineStr">
        <is>
          <t xml:space="preserve">DEVANAGARI_096F</t>
        </is>
      </c>
      <c r="FB36">
        <v>9</v>
      </c>
      <c r="FC36" t="inlineStr">
        <is>
          <t xml:space="preserve">%</t>
        </is>
      </c>
      <c r="FD36">
        <v>9</v>
      </c>
      <c r="FF36">
        <v>9</v>
      </c>
      <c r="FG36" t="inlineStr">
        <is>
          <t xml:space="preserve">)</t>
        </is>
      </c>
      <c r="FH36">
        <v>9</v>
      </c>
      <c r="FI36" t="inlineStr">
        <is>
          <t xml:space="preserve">ARABIC_EXT_INDIC_9</t>
        </is>
      </c>
      <c r="FR36">
        <v>9</v>
      </c>
      <c r="FS36" t="inlineStr">
        <is>
          <t xml:space="preserve">)</t>
        </is>
      </c>
      <c r="FT36">
        <v>9</v>
      </c>
      <c r="FV36" t="inlineStr">
        <is>
          <t xml:space="preserve">C_WITH_CEDILLA_SMALL</t>
        </is>
      </c>
      <c r="FW36">
        <v>9</v>
      </c>
      <c r="FX36" t="inlineStr">
        <is>
          <t xml:space="preserve">C_WITH_CEDILLA_SMALL</t>
        </is>
      </c>
      <c r="FY36" t="inlineStr">
        <is>
          <t xml:space="preserve">{</t>
        </is>
      </c>
      <c r="FZ36">
        <v>9</v>
      </c>
      <c r="GA36" t="inlineStr">
        <is>
          <t xml:space="preserve">(</t>
        </is>
      </c>
      <c r="GB36">
        <v>9</v>
      </c>
      <c r="GC36" t="inlineStr">
        <is>
          <t xml:space="preserve">SUPER_SCRIPT_3</t>
        </is>
      </c>
      <c r="GD36" t="inlineStr">
        <is>
          <t xml:space="preserve">THAI_0E15</t>
        </is>
      </c>
      <c r="GE36" t="inlineStr">
        <is>
          <t xml:space="preserve">THAI_0E56</t>
        </is>
      </c>
      <c r="GF36" t="inlineStr">
        <is>
          <t xml:space="preserve">THAI_0E15</t>
        </is>
      </c>
      <c r="GG36">
        <v>9</v>
      </c>
      <c r="GH36" t="inlineStr">
        <is>
          <t xml:space="preserve">BENGALI_09EF</t>
        </is>
      </c>
      <c r="GI36" t="inlineStr">
        <is>
          <t xml:space="preserve">(</t>
        </is>
      </c>
      <c r="GJ36" t="inlineStr">
        <is>
          <t xml:space="preserve">BENGALI_09EF</t>
        </is>
      </c>
      <c r="GL36" t="inlineStr">
        <is>
          <t xml:space="preserve">TELUGU_0C6F</t>
        </is>
      </c>
      <c r="GM36" t="inlineStr">
        <is>
          <t xml:space="preserve">(</t>
        </is>
      </c>
      <c r="GN36" t="inlineStr">
        <is>
          <t xml:space="preserve">TELUGU_0C6F</t>
        </is>
      </c>
      <c r="GP36" t="inlineStr">
        <is>
          <t xml:space="preserve">TAMIL_0BEF</t>
        </is>
      </c>
      <c r="GQ36" t="inlineStr">
        <is>
          <t xml:space="preserve">(</t>
        </is>
      </c>
      <c r="GR36" t="inlineStr">
        <is>
          <t xml:space="preserve">TAMIL_0BEF</t>
        </is>
      </c>
      <c r="GT36" t="inlineStr">
        <is>
          <t xml:space="preserve">ZHUYIN_311E</t>
        </is>
      </c>
      <c r="GV36" t="inlineStr">
        <is>
          <t xml:space="preserve">ZHUYIN_311E</t>
        </is>
      </c>
      <c r="GW36">
        <v>9</v>
      </c>
      <c r="HB36" t="inlineStr">
        <is>
          <t xml:space="preserve">)</t>
        </is>
      </c>
      <c r="HC36" t="inlineStr">
        <is>
          <t xml:space="preserve">(</t>
        </is>
      </c>
      <c r="HD36" t="inlineStr">
        <is>
          <t xml:space="preserve">)</t>
        </is>
      </c>
      <c r="HE36">
        <v>9</v>
      </c>
      <c r="HR36" t="inlineStr">
        <is>
          <t xml:space="preserve">VIET_DC_0323</t>
        </is>
      </c>
      <c r="HS36" t="inlineStr">
        <is>
          <t xml:space="preserve">(</t>
        </is>
      </c>
      <c r="HT36" t="inlineStr">
        <is>
          <t xml:space="preserve">VIET_DC_0323</t>
        </is>
      </c>
      <c r="HU36">
        <v>9</v>
      </c>
      <c r="HV36">
        <v>9</v>
      </c>
      <c r="HW36" t="inlineStr">
        <is>
          <t xml:space="preserve">(</t>
        </is>
      </c>
      <c r="HX36">
        <v>9</v>
      </c>
      <c r="JJ36">
        <v>9</v>
      </c>
      <c r="JK36" t="inlineStr">
        <is>
          <t xml:space="preserve">(</t>
        </is>
      </c>
      <c r="JL36">
        <v>9</v>
      </c>
      <c r="JM36" t="inlineStr">
        <is>
          <t xml:space="preserve">ARABIC_INDIC_9</t>
        </is>
      </c>
      <c r="JR36">
        <v>9</v>
      </c>
      <c r="JS36" t="inlineStr">
        <is>
          <t xml:space="preserve">(</t>
        </is>
      </c>
      <c r="JT36">
        <v>9</v>
      </c>
      <c r="JU36" t="inlineStr">
        <is>
          <t xml:space="preserve">ETHIOPIC_1371</t>
        </is>
      </c>
      <c r="KD36">
        <v>9</v>
      </c>
      <c r="KE36" t="inlineStr">
        <is>
          <t xml:space="preserve">(</t>
        </is>
      </c>
      <c r="KF36">
        <v>9</v>
      </c>
      <c r="KG36" t="inlineStr">
        <is>
          <t xml:space="preserve">ARABIC_INDIC_9</t>
        </is>
      </c>
      <c r="KH36">
        <v>9</v>
      </c>
      <c r="KI36" t="inlineStr">
        <is>
          <t xml:space="preserve">(</t>
        </is>
      </c>
      <c r="KJ36">
        <v>9</v>
      </c>
      <c r="KK36" t="inlineStr">
        <is>
          <t xml:space="preserve">ARABIC_INDIC_9</t>
        </is>
      </c>
      <c r="KL36">
        <v>9</v>
      </c>
      <c r="KM36" t="inlineStr">
        <is>
          <t xml:space="preserve">)</t>
        </is>
      </c>
      <c r="KN36">
        <v>9</v>
      </c>
      <c r="KO36" t="inlineStr">
        <is>
          <t xml:space="preserve">ARABIC_INDIC_9</t>
        </is>
      </c>
      <c r="LA36" t="inlineStr">
        <is>
          <t xml:space="preserve">[</t>
        </is>
      </c>
      <c r="LJ36" t="inlineStr">
        <is>
          <t xml:space="preserve">U"\f\f" C_WITH_CEDILLA_SMALL</t>
        </is>
      </c>
      <c r="LK36">
        <v>9</v>
      </c>
      <c r="LM36" t="inlineStr">
        <is>
          <t xml:space="preserve">^</t>
        </is>
      </c>
      <c r="NV36">
        <v>9</v>
      </c>
      <c r="NW36" t="inlineStr">
        <is>
          <t xml:space="preserve">)</t>
        </is>
      </c>
      <c r="NY36" t="inlineStr">
        <is>
          <t xml:space="preserve">]</t>
        </is>
      </c>
      <c r="NZ36" t="inlineStr">
        <is>
          <t xml:space="preserve">U"\f\f\f" C_WITH_CEDILLA_SMALL</t>
        </is>
      </c>
      <c r="OA36">
        <v>9</v>
      </c>
      <c r="OB36" t="inlineStr">
        <is>
          <t xml:space="preserve">C_WITH_CEDILLA_SMALL</t>
        </is>
      </c>
      <c r="OC36" t="inlineStr">
        <is>
          <t xml:space="preserve">{</t>
        </is>
      </c>
      <c r="OD36">
        <v>9</v>
      </c>
      <c r="OE36" t="inlineStr">
        <is>
          <t xml:space="preserve">)</t>
        </is>
      </c>
      <c r="OF36">
        <v>9</v>
      </c>
      <c r="OL36">
        <v>9</v>
      </c>
      <c r="OM36" t="inlineStr">
        <is>
          <t xml:space="preserve">)</t>
        </is>
      </c>
      <c r="ON36">
        <v>9</v>
      </c>
      <c r="OO36" t="inlineStr">
        <is>
          <t xml:space="preserve">ACUTE_ACCENT</t>
        </is>
      </c>
      <c r="OP36">
        <v>9</v>
      </c>
      <c r="OQ36" t="inlineStr">
        <is>
          <t xml:space="preserve">)</t>
        </is>
      </c>
      <c r="OR36">
        <v>9</v>
      </c>
      <c r="OT36">
        <v>9</v>
      </c>
      <c r="OU36" t="inlineStr">
        <is>
          <t xml:space="preserve">)</t>
        </is>
      </c>
      <c r="OV36">
        <v>9</v>
      </c>
      <c r="OW36" t="inlineStr">
        <is>
          <t xml:space="preserve">ACUTE_ACCENT</t>
        </is>
      </c>
      <c r="OX36">
        <v>9</v>
      </c>
      <c r="OY36" t="inlineStr">
        <is>
          <t xml:space="preserve">)</t>
        </is>
      </c>
      <c r="OZ36">
        <v>9</v>
      </c>
      <c r="PA36" t="inlineStr">
        <is>
          <t xml:space="preserve">]</t>
        </is>
      </c>
      <c r="PB36">
        <v>9</v>
      </c>
      <c r="PC36" t="inlineStr">
        <is>
          <t xml:space="preserve">(</t>
        </is>
      </c>
      <c r="PD36">
        <v>9</v>
      </c>
      <c r="PE36" t="inlineStr">
        <is>
          <t xml:space="preserve">ARABIC_INDIC_9</t>
        </is>
      </c>
      <c r="PF36">
        <v>9</v>
      </c>
      <c r="PG36" t="inlineStr">
        <is>
          <t xml:space="preserve">(</t>
        </is>
      </c>
      <c r="PH36">
        <v>9</v>
      </c>
      <c r="PI36" t="inlineStr">
        <is>
          <t xml:space="preserve">ARABIC_INDIC_9</t>
        </is>
      </c>
      <c r="PJ36">
        <v>9</v>
      </c>
      <c r="PK36" t="inlineStr">
        <is>
          <t xml:space="preserve">(</t>
        </is>
      </c>
      <c r="PL36">
        <v>9</v>
      </c>
      <c r="PM36" t="inlineStr">
        <is>
          <t xml:space="preserve">ARABIC_INDIC_9</t>
        </is>
      </c>
      <c r="PN36">
        <v>9</v>
      </c>
      <c r="PO36" t="inlineStr">
        <is>
          <t xml:space="preserve">(</t>
        </is>
      </c>
      <c r="PP36">
        <v>9</v>
      </c>
      <c r="PQ36" t="inlineStr">
        <is>
          <t xml:space="preserve">ARABIC_INDIC_9</t>
        </is>
      </c>
      <c r="PR36">
        <v>9</v>
      </c>
      <c r="PS36" t="inlineStr">
        <is>
          <t xml:space="preserve">(</t>
        </is>
      </c>
      <c r="PT36">
        <v>9</v>
      </c>
      <c r="PU36" t="inlineStr">
        <is>
          <t xml:space="preserve">ARABIC_INDIC_9</t>
        </is>
      </c>
      <c r="PV36">
        <v>9</v>
      </c>
      <c r="PW36" t="inlineStr">
        <is>
          <t xml:space="preserve">(</t>
        </is>
      </c>
      <c r="PX36">
        <v>9</v>
      </c>
      <c r="PY36" t="inlineStr">
        <is>
          <t xml:space="preserve">ARABIC_INDIC_9</t>
        </is>
      </c>
      <c r="PZ36">
        <v>9</v>
      </c>
      <c r="QA36" t="inlineStr">
        <is>
          <t xml:space="preserve">(</t>
        </is>
      </c>
      <c r="QB36">
        <v>9</v>
      </c>
      <c r="QC36" t="inlineStr">
        <is>
          <t xml:space="preserve">ARABIC_INDIC_9</t>
        </is>
      </c>
      <c r="QD36">
        <v>9</v>
      </c>
      <c r="QE36" t="inlineStr">
        <is>
          <t xml:space="preserve">(</t>
        </is>
      </c>
      <c r="QF36">
        <v>9</v>
      </c>
      <c r="QG36" t="inlineStr">
        <is>
          <t xml:space="preserve">ARABIC_INDIC_9</t>
        </is>
      </c>
      <c r="QH36">
        <v>9</v>
      </c>
      <c r="QI36" t="inlineStr">
        <is>
          <t xml:space="preserve">(</t>
        </is>
      </c>
      <c r="QJ36">
        <v>9</v>
      </c>
      <c r="QK36" t="inlineStr">
        <is>
          <t xml:space="preserve">ARABIC_INDIC_9</t>
        </is>
      </c>
      <c r="QL36">
        <v>9</v>
      </c>
      <c r="QM36" t="inlineStr">
        <is>
          <t xml:space="preserve">(</t>
        </is>
      </c>
      <c r="QN36">
        <v>9</v>
      </c>
      <c r="QO36" t="inlineStr">
        <is>
          <t xml:space="preserve">ARABIC_INDIC_9</t>
        </is>
      </c>
      <c r="QP36">
        <v>9</v>
      </c>
      <c r="QQ36" t="inlineStr">
        <is>
          <t xml:space="preserve">(</t>
        </is>
      </c>
      <c r="QR36">
        <v>9</v>
      </c>
      <c r="QS36" t="inlineStr">
        <is>
          <t xml:space="preserve">ARABIC_INDIC_9</t>
        </is>
      </c>
      <c r="QT36">
        <v>9</v>
      </c>
      <c r="QU36" t="inlineStr">
        <is>
          <t xml:space="preserve">(</t>
        </is>
      </c>
      <c r="QV36">
        <v>9</v>
      </c>
      <c r="QW36" t="inlineStr">
        <is>
          <t xml:space="preserve">ARABIC_INDIC_9</t>
        </is>
      </c>
      <c r="QX36">
        <v>9</v>
      </c>
      <c r="QY36" t="inlineStr">
        <is>
          <t xml:space="preserve">(</t>
        </is>
      </c>
      <c r="QZ36">
        <v>9</v>
      </c>
      <c r="RA36" t="inlineStr">
        <is>
          <t xml:space="preserve">ARABIC_INDIC_9</t>
        </is>
      </c>
      <c r="RB36">
        <v>9</v>
      </c>
      <c r="RC36" t="inlineStr">
        <is>
          <t xml:space="preserve">(</t>
        </is>
      </c>
      <c r="RD36">
        <v>9</v>
      </c>
      <c r="RE36" t="inlineStr">
        <is>
          <t xml:space="preserve">ARABIC_INDIC_9</t>
        </is>
      </c>
      <c r="RF36" t="inlineStr">
        <is>
          <t xml:space="preserve">U"\f\f" C_WITH_CEDILLA_SMALL</t>
        </is>
      </c>
      <c r="RG36">
        <v>9</v>
      </c>
      <c r="RI36" t="inlineStr">
        <is>
          <t xml:space="preserve">^</t>
        </is>
      </c>
      <c r="RJ36" t="inlineStr">
        <is>
          <t xml:space="preserve">U"\f\f" C_WITH_CEDILLA_SMALL</t>
        </is>
      </c>
      <c r="RK36">
        <v>9</v>
      </c>
      <c r="RM36" t="inlineStr">
        <is>
          <t xml:space="preserve">^</t>
        </is>
      </c>
      <c r="RN36" t="inlineStr">
        <is>
          <t xml:space="preserve">U"\f\f" C_WITH_CEDILLA_SMALL</t>
        </is>
      </c>
      <c r="RO36">
        <v>9</v>
      </c>
      <c r="RQ36" t="inlineStr">
        <is>
          <t xml:space="preserve">^</t>
        </is>
      </c>
      <c r="RR36" t="inlineStr">
        <is>
          <t xml:space="preserve">U"\f\f" C_WITH_CEDILLA_SMALL</t>
        </is>
      </c>
      <c r="RS36">
        <v>9</v>
      </c>
      <c r="RU36" t="inlineStr">
        <is>
          <t xml:space="preserve">^</t>
        </is>
      </c>
      <c r="RV36" t="inlineStr">
        <is>
          <t xml:space="preserve">U"\f\f" C_WITH_CEDILLA_SMALL</t>
        </is>
      </c>
      <c r="RW36">
        <v>9</v>
      </c>
      <c r="RY36" t="inlineStr">
        <is>
          <t xml:space="preserve">^</t>
        </is>
      </c>
      <c r="SP36">
        <v>9</v>
      </c>
      <c r="SQ36" t="inlineStr">
        <is>
          <t xml:space="preserve">)</t>
        </is>
      </c>
      <c r="SR36">
        <v>9</v>
      </c>
      <c r="SS36" t="inlineStr">
        <is>
          <t xml:space="preserve">]</t>
        </is>
      </c>
      <c r="ST36">
        <v>9</v>
      </c>
      <c r="SU36" t="inlineStr">
        <is>
          <t xml:space="preserve">)</t>
        </is>
      </c>
      <c r="SV36">
        <v>9</v>
      </c>
      <c r="SW36" t="inlineStr">
        <is>
          <t xml:space="preserve">]</t>
        </is>
      </c>
      <c r="SX36" t="inlineStr">
        <is>
          <t xml:space="preserve">BENGALI_09EF</t>
        </is>
      </c>
      <c r="SY36" t="inlineStr">
        <is>
          <t xml:space="preserve">(</t>
        </is>
      </c>
      <c r="SZ36" t="inlineStr">
        <is>
          <t xml:space="preserve">BENGALI_09EF</t>
        </is>
      </c>
      <c r="TA36" t="inlineStr">
        <is>
          <t xml:space="preserve">9</t>
        </is>
      </c>
      <c r="TV36">
        <v>9</v>
      </c>
      <c r="TW36" t="inlineStr">
        <is>
          <t xml:space="preserve">(</t>
        </is>
      </c>
      <c r="TX36">
        <v>9</v>
      </c>
      <c r="TZ36">
        <v>9</v>
      </c>
      <c r="UA36" t="inlineStr">
        <is>
          <t xml:space="preserve">(</t>
        </is>
      </c>
      <c r="UB36">
        <v>9</v>
      </c>
      <c r="UT36" t="inlineStr">
        <is>
          <t xml:space="preserve">U"\f\f" C_WITH_CEDILLA_SMALL</t>
        </is>
      </c>
      <c r="UU36">
        <v>9</v>
      </c>
      <c r="UW36" t="inlineStr">
        <is>
          <t xml:space="preserve">^</t>
        </is>
      </c>
      <c r="VB36">
        <v>9</v>
      </c>
      <c r="VC36" t="inlineStr">
        <is>
          <t xml:space="preserve">)</t>
        </is>
      </c>
      <c r="VD36">
        <v>9</v>
      </c>
      <c r="VF36">
        <v>9</v>
      </c>
      <c r="VG36" t="inlineStr">
        <is>
          <t xml:space="preserve">)</t>
        </is>
      </c>
      <c r="VH36">
        <v>9</v>
      </c>
      <c r="VJ36">
        <v>9</v>
      </c>
      <c r="VK36" t="inlineStr">
        <is>
          <t xml:space="preserve">)</t>
        </is>
      </c>
      <c r="VL36">
        <v>9</v>
      </c>
      <c r="VZ36">
        <v>9</v>
      </c>
      <c r="WA36" t="inlineStr">
        <is>
          <t xml:space="preserve">)</t>
        </is>
      </c>
      <c r="WB36">
        <v>9</v>
      </c>
      <c r="XB36" t="inlineStr">
        <is>
          <t xml:space="preserve">ARABIC_06F9</t>
        </is>
      </c>
      <c r="XC36" t="inlineStr">
        <is>
          <t xml:space="preserve">)</t>
        </is>
      </c>
      <c r="XD36" t="inlineStr">
        <is>
          <t xml:space="preserve">ARABIC_06F9</t>
        </is>
      </c>
      <c r="XF36" t="inlineStr">
        <is>
          <t xml:space="preserve">UCAS_14EA</t>
        </is>
      </c>
      <c r="XG36">
        <v>9</v>
      </c>
      <c r="XH36" t="inlineStr">
        <is>
          <t xml:space="preserve">UCAS_14EA</t>
        </is>
      </c>
      <c r="XN36" t="inlineStr">
        <is>
          <t xml:space="preserve">CHEROKEE_13D2</t>
        </is>
      </c>
      <c r="XO36" t="inlineStr">
        <is>
          <t xml:space="preserve">(</t>
        </is>
      </c>
      <c r="XP36" t="inlineStr">
        <is>
          <t xml:space="preserve">CHEROKEE_13D2</t>
        </is>
      </c>
      <c r="XQ36">
        <v>9</v>
      </c>
    </row>
    <row r="37" s="116" customFormat="true" ht="15" hidden="false" customHeight="false" outlineLevel="0" collapsed="false">
      <c r="A37" s="93" t="s">
        <v>1281</v>
      </c>
      <c r="B37" s="94" t="s">
        <v>12</v>
      </c>
      <c r="C37" s="94" t="s">
        <v>1276</v>
      </c>
      <c r="D37" s="94" t="s">
        <v>12</v>
      </c>
      <c r="E37" s="94"/>
      <c r="F37" s="95" t="s">
        <v>12</v>
      </c>
      <c r="G37" s="95" t="s">
        <v>14</v>
      </c>
      <c r="H37" s="95"/>
      <c r="I37" s="95" t="s">
        <v>1185</v>
      </c>
      <c r="J37" t="inlineStr">
        <is>
          <t xml:space="preserve">U"\f\f" A_WITH_GRAVE_SMALL</t>
        </is>
      </c>
      <c r="K37" s="96" t="s">
        <v>12</v>
      </c>
      <c r="L37" s="136"/>
      <c r="M37" s="136" t="s">
        <v>1195</v>
      </c>
      <c r="N37" s="97" t="s">
        <v>12</v>
      </c>
      <c r="O37" s="97" t="s">
        <v>14</v>
      </c>
      <c r="P37" s="97" t="s">
        <v>12</v>
      </c>
      <c r="Q37" s="97"/>
      <c r="R37" s="98" t="s">
        <v>12</v>
      </c>
      <c r="S37" s="98" t="s">
        <v>14</v>
      </c>
      <c r="T37" s="98" t="s">
        <v>12</v>
      </c>
      <c r="U37" s="98" t="s">
        <v>1185</v>
      </c>
      <c r="V37" s="99" t="s">
        <v>12</v>
      </c>
      <c r="W37" s="99" t="s">
        <v>14</v>
      </c>
      <c r="X37" s="99" t="s">
        <v>12</v>
      </c>
      <c r="Y37" s="99"/>
      <c r="Z37" s="100" t="s">
        <v>12</v>
      </c>
      <c r="AA37" s="100" t="s">
        <v>14</v>
      </c>
      <c r="AB37" s="100" t="s">
        <v>12</v>
      </c>
      <c r="AC37" s="100" t="s">
        <v>1185</v>
      </c>
      <c r="AD37" s="101" t="s">
        <v>12</v>
      </c>
      <c r="AE37" s="101" t="s">
        <v>1276</v>
      </c>
      <c r="AF37" s="101" t="s">
        <v>12</v>
      </c>
      <c r="AG37" s="101"/>
      <c r="AH37" t="inlineStr">
        <is>
          <t xml:space="preserve">ZERO</t>
        </is>
      </c>
      <c r="AJ37" t="inlineStr">
        <is>
          <t xml:space="preserve">ZERO</t>
        </is>
      </c>
      <c r="AK37" t="inlineStr">
        <is>
          <t xml:space="preserve">HIRAGANA_WA</t>
        </is>
      </c>
      <c r="AL37" s="103" t="s">
        <v>12</v>
      </c>
      <c r="AM37" s="103" t="s">
        <v>1276</v>
      </c>
      <c r="AN37" s="103" t="s">
        <v>12</v>
      </c>
      <c r="AO37" s="103" t="s">
        <v>625</v>
      </c>
      <c r="AP37" s="104" t="s">
        <v>12</v>
      </c>
      <c r="AQ37" s="104" t="s">
        <v>1276</v>
      </c>
      <c r="AR37" s="104" t="s">
        <v>12</v>
      </c>
      <c r="AS37" s="104" t="s">
        <v>72</v>
      </c>
      <c r="AT37" s="105" t="s">
        <v>12</v>
      </c>
      <c r="AU37" s="105" t="s">
        <v>1276</v>
      </c>
      <c r="AV37" s="105" t="s">
        <v>12</v>
      </c>
      <c r="AW37" s="105"/>
      <c r="AX37" s="106" t="s">
        <v>12</v>
      </c>
      <c r="AY37" s="106" t="s">
        <v>1276</v>
      </c>
      <c r="AZ37" s="106" t="s">
        <v>12</v>
      </c>
      <c r="BA37" s="106"/>
      <c r="BB37" s="107" t="s">
        <v>12</v>
      </c>
      <c r="BC37" s="107" t="s">
        <v>1276</v>
      </c>
      <c r="BD37" s="107" t="s">
        <v>12</v>
      </c>
      <c r="BE37" s="107"/>
      <c r="BF37" t="inlineStr">
        <is>
          <t xml:space="preserve">U"\f\f" CYRILLIC_SM_KA_W_DESC</t>
        </is>
      </c>
      <c r="BG37" t="inlineStr">
        <is>
          <t xml:space="preserve">CYRILLIC_KA_W_DESC</t>
        </is>
      </c>
      <c r="BH37" s="108"/>
      <c r="BI37" s="108"/>
      <c r="BJ37" s="109" t="s">
        <v>12</v>
      </c>
      <c r="BK37" s="109" t="s">
        <v>686</v>
      </c>
      <c r="BL37" s="109" t="s">
        <v>12</v>
      </c>
      <c r="BM37" s="109"/>
      <c r="BN37" s="95" t="s">
        <v>12</v>
      </c>
      <c r="BO37" s="95" t="s">
        <v>14</v>
      </c>
      <c r="BP37" s="95"/>
      <c r="BQ37" s="128" t="s">
        <v>200</v>
      </c>
      <c r="BR37" s="110" t="s">
        <v>12</v>
      </c>
      <c r="BS37" s="110" t="s">
        <v>1276</v>
      </c>
      <c r="BT37" s="110"/>
      <c r="BU37" s="124" t="s">
        <v>200</v>
      </c>
      <c r="BZ37" s="111" t="s">
        <v>12</v>
      </c>
      <c r="CA37" s="111" t="s">
        <v>1222</v>
      </c>
      <c r="CB37" s="111" t="s">
        <v>12</v>
      </c>
      <c r="CC37" s="111"/>
      <c r="CD37" s="95" t="s">
        <v>12</v>
      </c>
      <c r="CE37" s="95" t="s">
        <v>1276</v>
      </c>
      <c r="CF37" s="95"/>
      <c r="CG37" s="128" t="s">
        <v>458</v>
      </c>
      <c r="CH37" s="112" t="s">
        <v>12</v>
      </c>
      <c r="CI37" s="112" t="s">
        <v>14</v>
      </c>
      <c r="CJ37" s="112" t="s">
        <v>12</v>
      </c>
      <c r="CK37" s="112" t="s">
        <v>1185</v>
      </c>
      <c r="CL37" s="113" t="s">
        <v>12</v>
      </c>
      <c r="CM37" s="113" t="s">
        <v>14</v>
      </c>
      <c r="CN37" s="113" t="s">
        <v>12</v>
      </c>
      <c r="CO37" s="113" t="s">
        <v>1185</v>
      </c>
      <c r="CP37" s="84" t="s">
        <v>12</v>
      </c>
      <c r="CQ37" s="84" t="s">
        <v>14</v>
      </c>
      <c r="CR37" s="84" t="s">
        <v>12</v>
      </c>
      <c r="CS37" s="84" t="s">
        <v>1185</v>
      </c>
      <c r="CT37" s="110" t="s">
        <v>12</v>
      </c>
      <c r="CU37" s="110" t="s">
        <v>14</v>
      </c>
      <c r="CV37" s="110" t="s">
        <v>12</v>
      </c>
      <c r="CW37" s="110" t="s">
        <v>1185</v>
      </c>
      <c r="CX37" s="114" t="s">
        <v>161</v>
      </c>
      <c r="CY37" s="114" t="s">
        <v>125</v>
      </c>
      <c r="CZ37" s="114" t="s">
        <v>161</v>
      </c>
      <c r="DA37" s="126" t="s">
        <v>200</v>
      </c>
      <c r="DB37" t="inlineStr">
        <is>
          <t xml:space="preserve">U"\f\f\f\f" LATIN_00E9</t>
        </is>
      </c>
      <c r="DC37" s="115" t="s">
        <v>12</v>
      </c>
      <c r="DD37" s="115" t="s">
        <v>161</v>
      </c>
      <c r="DE37" s="127" t="s">
        <v>200</v>
      </c>
      <c r="DF37" t="inlineStr">
        <is>
          <t xml:space="preserve">ZERO</t>
        </is>
      </c>
      <c r="DG37" t="inlineStr">
        <is>
          <t xml:space="preserve">=</t>
        </is>
      </c>
      <c r="DH37" t="inlineStr">
        <is>
          <t xml:space="preserve">ZERO</t>
        </is>
      </c>
      <c r="DI37" t="inlineStr">
        <is>
          <t xml:space="preserve">MOD_HUNGARUMLAUT</t>
        </is>
      </c>
      <c r="DJ37" t="inlineStr">
        <is>
          <t xml:space="preserve">LATIN_00E9</t>
        </is>
      </c>
      <c r="DK37" t="inlineStr">
        <is>
          <t xml:space="preserve">ZERO</t>
        </is>
      </c>
      <c r="DL37" t="inlineStr">
        <is>
          <t xml:space="preserve">ZERO</t>
        </is>
      </c>
      <c r="DM37" t="inlineStr">
        <is>
          <t xml:space="preserve">MOD_HUNGARUMLAUT</t>
        </is>
      </c>
      <c r="DN37" t="inlineStr">
        <is>
          <t xml:space="preserve">ZERO</t>
        </is>
      </c>
      <c r="DO37" t="inlineStr">
        <is>
          <t xml:space="preserve">)</t>
        </is>
      </c>
      <c r="DP37" t="inlineStr">
        <is>
          <t xml:space="preserve">ZERO</t>
        </is>
      </c>
      <c r="DU37" t="inlineStr">
        <is>
          <t xml:space="preserve">}</t>
        </is>
      </c>
      <c r="DV37" t="inlineStr">
        <is>
          <t xml:space="preserve">ZERO</t>
        </is>
      </c>
      <c r="DW37" t="inlineStr">
        <is>
          <t xml:space="preserve">=</t>
        </is>
      </c>
      <c r="DX37" t="inlineStr">
        <is>
          <t xml:space="preserve">ZERO</t>
        </is>
      </c>
      <c r="DY37" t="inlineStr">
        <is>
          <t xml:space="preserve">}</t>
        </is>
      </c>
      <c r="ED37" t="inlineStr">
        <is>
          <t xml:space="preserve">ZERO</t>
        </is>
      </c>
      <c r="EE37" t="inlineStr">
        <is>
          <t xml:space="preserve">=</t>
        </is>
      </c>
      <c r="EF37" t="inlineStr">
        <is>
          <t xml:space="preserve">ZERO</t>
        </is>
      </c>
      <c r="EH37" t="inlineStr">
        <is>
          <t xml:space="preserve">ZERO</t>
        </is>
      </c>
      <c r="EI37" t="inlineStr">
        <is>
          <t xml:space="preserve">=</t>
        </is>
      </c>
      <c r="EJ37" t="inlineStr">
        <is>
          <t xml:space="preserve">ZERO</t>
        </is>
      </c>
      <c r="EO37" t="inlineStr">
        <is>
          <t xml:space="preserve">ARABIC_EXT_INDIC_0</t>
        </is>
      </c>
      <c r="EP37" t="inlineStr">
        <is>
          <t xml:space="preserve">DEVANAGARI_0966</t>
        </is>
      </c>
      <c r="EQ37" t="inlineStr">
        <is>
          <t xml:space="preserve">)</t>
        </is>
      </c>
      <c r="ER37" t="inlineStr">
        <is>
          <t xml:space="preserve">DEVANAGARI_0966</t>
        </is>
      </c>
      <c r="ET37" t="inlineStr">
        <is>
          <t xml:space="preserve">DEVANAGARI_0966</t>
        </is>
      </c>
      <c r="EU37" t="inlineStr">
        <is>
          <t xml:space="preserve">)</t>
        </is>
      </c>
      <c r="EV37" t="inlineStr">
        <is>
          <t xml:space="preserve">DEVANAGARI_0966</t>
        </is>
      </c>
      <c r="EX37" t="inlineStr">
        <is>
          <t xml:space="preserve">DEVANAGARI_0966</t>
        </is>
      </c>
      <c r="EY37" t="inlineStr">
        <is>
          <t xml:space="preserve">)</t>
        </is>
      </c>
      <c r="EZ37" t="inlineStr">
        <is>
          <t xml:space="preserve">DEVANAGARI_0966</t>
        </is>
      </c>
      <c r="FB37" t="inlineStr">
        <is>
          <t xml:space="preserve">ZERO</t>
        </is>
      </c>
      <c r="FC37" t="inlineStr">
        <is>
          <t xml:space="preserve">?</t>
        </is>
      </c>
      <c r="FD37" t="inlineStr">
        <is>
          <t xml:space="preserve">ZERO</t>
        </is>
      </c>
      <c r="FF37" t="inlineStr">
        <is>
          <t xml:space="preserve">ZERO</t>
        </is>
      </c>
      <c r="FG37" t="inlineStr">
        <is>
          <t xml:space="preserve">(</t>
        </is>
      </c>
      <c r="FH37" t="inlineStr">
        <is>
          <t xml:space="preserve">ZERO</t>
        </is>
      </c>
      <c r="FI37" t="inlineStr">
        <is>
          <t xml:space="preserve">ARABIC_EXT_INDIC_0</t>
        </is>
      </c>
      <c r="FR37" t="inlineStr">
        <is>
          <t xml:space="preserve">ZERO</t>
        </is>
      </c>
      <c r="FS37" t="inlineStr">
        <is>
          <t xml:space="preserve">EQUALS</t>
        </is>
      </c>
      <c r="FT37" t="inlineStr">
        <is>
          <t xml:space="preserve">ZERO</t>
        </is>
      </c>
      <c r="FV37" t="inlineStr">
        <is>
          <t xml:space="preserve">A_WITH_GRAVE_SMALL</t>
        </is>
      </c>
      <c r="FW37" t="inlineStr">
        <is>
          <t xml:space="preserve">ZERO</t>
        </is>
      </c>
      <c r="FX37" t="inlineStr">
        <is>
          <t xml:space="preserve">A_WITH_GRAVE_SMALL</t>
        </is>
      </c>
      <c r="FY37" t="inlineStr">
        <is>
          <t xml:space="preserve">}</t>
        </is>
      </c>
      <c r="FZ37" t="inlineStr">
        <is>
          <t xml:space="preserve">ZERO</t>
        </is>
      </c>
      <c r="GA37" t="inlineStr">
        <is>
          <t xml:space="preserve">)</t>
        </is>
      </c>
      <c r="GB37" t="inlineStr">
        <is>
          <t xml:space="preserve">ZERO</t>
        </is>
      </c>
      <c r="GC37" t="inlineStr">
        <is>
          <t xml:space="preserve">QUATER_SIGN</t>
        </is>
      </c>
      <c r="GD37" t="inlineStr">
        <is>
          <t xml:space="preserve">THAI_0E08</t>
        </is>
      </c>
      <c r="GE37" t="inlineStr">
        <is>
          <t xml:space="preserve">THAI_0E57</t>
        </is>
      </c>
      <c r="GF37" t="inlineStr">
        <is>
          <t xml:space="preserve">THAI_0E08</t>
        </is>
      </c>
      <c r="GG37" t="inlineStr">
        <is>
          <t xml:space="preserve">ZERO</t>
        </is>
      </c>
      <c r="GH37" t="inlineStr">
        <is>
          <t xml:space="preserve">BENGALI_09E6</t>
        </is>
      </c>
      <c r="GI37" t="inlineStr">
        <is>
          <t xml:space="preserve">)</t>
        </is>
      </c>
      <c r="GJ37" t="inlineStr">
        <is>
          <t xml:space="preserve">BENGALI_09E6</t>
        </is>
      </c>
      <c r="GL37" t="inlineStr">
        <is>
          <t xml:space="preserve">TELUGU_0C66</t>
        </is>
      </c>
      <c r="GM37" t="inlineStr">
        <is>
          <t xml:space="preserve">)</t>
        </is>
      </c>
      <c r="GN37" t="inlineStr">
        <is>
          <t xml:space="preserve">TELUGU_0C66</t>
        </is>
      </c>
      <c r="GP37" t="inlineStr">
        <is>
          <t xml:space="preserve">TAMIL_0BE6</t>
        </is>
      </c>
      <c r="GQ37" t="inlineStr">
        <is>
          <t xml:space="preserve">)</t>
        </is>
      </c>
      <c r="GR37" t="inlineStr">
        <is>
          <t xml:space="preserve">TAMIL_0BE6</t>
        </is>
      </c>
      <c r="GT37" t="inlineStr">
        <is>
          <t xml:space="preserve">ZHUYIN_3122</t>
        </is>
      </c>
      <c r="GV37" t="inlineStr">
        <is>
          <t xml:space="preserve">ZHUYIN_3122</t>
        </is>
      </c>
      <c r="GW37" t="inlineStr">
        <is>
          <t xml:space="preserve">ZERO</t>
        </is>
      </c>
      <c r="HB37" t="inlineStr">
        <is>
          <t xml:space="preserve">ARMENIAN_0585</t>
        </is>
      </c>
      <c r="HC37" t="inlineStr">
        <is>
          <t xml:space="preserve">ARMENIAN_0555</t>
        </is>
      </c>
      <c r="HE37" t="inlineStr">
        <is>
          <t xml:space="preserve">ZERO</t>
        </is>
      </c>
      <c r="HR37" t="inlineStr">
        <is>
          <t xml:space="preserve">LATIN_0111</t>
        </is>
      </c>
      <c r="HS37" t="inlineStr">
        <is>
          <t xml:space="preserve">LATIN_0110</t>
        </is>
      </c>
      <c r="HU37" t="inlineStr">
        <is>
          <t xml:space="preserve">ZERO</t>
        </is>
      </c>
      <c r="HV37">
        <v>0</v>
      </c>
      <c r="HW37" t="inlineStr">
        <is>
          <t xml:space="preserve">)</t>
        </is>
      </c>
      <c r="HX37">
        <v>0</v>
      </c>
      <c r="JJ37" t="inlineStr">
        <is>
          <t xml:space="preserve">ZERO</t>
        </is>
      </c>
      <c r="JK37" t="inlineStr">
        <is>
          <t xml:space="preserve">)</t>
        </is>
      </c>
      <c r="JL37" t="inlineStr">
        <is>
          <t xml:space="preserve">ZERO</t>
        </is>
      </c>
      <c r="JM37" t="inlineStr">
        <is>
          <t xml:space="preserve">ARABIC_INDIC_0</t>
        </is>
      </c>
      <c r="JR37" t="inlineStr">
        <is>
          <t xml:space="preserve">ZERO</t>
        </is>
      </c>
      <c r="JS37" t="inlineStr">
        <is>
          <t xml:space="preserve">)</t>
        </is>
      </c>
      <c r="JT37" t="inlineStr">
        <is>
          <t xml:space="preserve">ZERO</t>
        </is>
      </c>
      <c r="JU37" t="inlineStr">
        <is>
          <t xml:space="preserve">ETHIOPIC_137B</t>
        </is>
      </c>
      <c r="KD37" t="inlineStr">
        <is>
          <t xml:space="preserve">ZERO</t>
        </is>
      </c>
      <c r="KE37" t="inlineStr">
        <is>
          <t xml:space="preserve">)</t>
        </is>
      </c>
      <c r="KF37" t="inlineStr">
        <is>
          <t xml:space="preserve">ZERO</t>
        </is>
      </c>
      <c r="KG37" t="inlineStr">
        <is>
          <t xml:space="preserve">ARABIC_INDIC_0</t>
        </is>
      </c>
      <c r="KH37" t="inlineStr">
        <is>
          <t xml:space="preserve">ZERO</t>
        </is>
      </c>
      <c r="KI37" t="inlineStr">
        <is>
          <t xml:space="preserve">)</t>
        </is>
      </c>
      <c r="KJ37" t="inlineStr">
        <is>
          <t xml:space="preserve">ZERO</t>
        </is>
      </c>
      <c r="KK37" t="inlineStr">
        <is>
          <t xml:space="preserve">ARABIC_INDIC_0</t>
        </is>
      </c>
      <c r="KL37" t="inlineStr">
        <is>
          <t xml:space="preserve">ZERO</t>
        </is>
      </c>
      <c r="KM37" t="inlineStr">
        <is>
          <t xml:space="preserve">(</t>
        </is>
      </c>
      <c r="KN37" t="inlineStr">
        <is>
          <t xml:space="preserve">ZERO</t>
        </is>
      </c>
      <c r="KO37" t="inlineStr">
        <is>
          <t xml:space="preserve">ARABIC_INDIC_0</t>
        </is>
      </c>
      <c r="LA37" t="inlineStr">
        <is>
          <t xml:space="preserve">]</t>
        </is>
      </c>
      <c r="LJ37" t="inlineStr">
        <is>
          <t xml:space="preserve">U"\f\f" A_WITH_GRAVE_SMALL</t>
        </is>
      </c>
      <c r="LK37" t="inlineStr">
        <is>
          <t xml:space="preserve">ZERO</t>
        </is>
      </c>
      <c r="LM37" t="inlineStr">
        <is>
          <t xml:space="preserve">@</t>
        </is>
      </c>
      <c r="NV37" t="inlineStr">
        <is>
          <t xml:space="preserve">ZERO</t>
        </is>
      </c>
      <c r="NW37" t="inlineStr">
        <is>
          <t xml:space="preserve">EQUALS</t>
        </is>
      </c>
      <c r="NY37" t="inlineStr">
        <is>
          <t xml:space="preserve">}</t>
        </is>
      </c>
      <c r="NZ37" t="inlineStr">
        <is>
          <t xml:space="preserve">U"\f\f\f" A_WITH_GRAVE_SMALL</t>
        </is>
      </c>
      <c r="OA37" t="inlineStr">
        <is>
          <t xml:space="preserve">ZERO</t>
        </is>
      </c>
      <c r="OB37" t="inlineStr">
        <is>
          <t xml:space="preserve">A_WITH_GRAVE_SMALL</t>
        </is>
      </c>
      <c r="OC37" t="inlineStr">
        <is>
          <t xml:space="preserve">}</t>
        </is>
      </c>
      <c r="OD37" t="inlineStr">
        <is>
          <t xml:space="preserve">ZERO</t>
        </is>
      </c>
      <c r="OE37" t="inlineStr">
        <is>
          <t xml:space="preserve">EQUALS</t>
        </is>
      </c>
      <c r="OF37" t="inlineStr">
        <is>
          <t xml:space="preserve">ZERO</t>
        </is>
      </c>
      <c r="OL37" t="inlineStr">
        <is>
          <t xml:space="preserve">ZERO</t>
        </is>
      </c>
      <c r="OM37" t="inlineStr">
        <is>
          <t xml:space="preserve">=</t>
        </is>
      </c>
      <c r="ON37" t="inlineStr">
        <is>
          <t xml:space="preserve">ZERO</t>
        </is>
      </c>
      <c r="OO37" t="inlineStr">
        <is>
          <t xml:space="preserve">MOD_HUNGARUMLAUT</t>
        </is>
      </c>
      <c r="OP37" t="inlineStr">
        <is>
          <t xml:space="preserve">ZERO</t>
        </is>
      </c>
      <c r="OQ37" t="inlineStr">
        <is>
          <t xml:space="preserve">EQUALS</t>
        </is>
      </c>
      <c r="OR37" t="inlineStr">
        <is>
          <t xml:space="preserve">ZERO</t>
        </is>
      </c>
      <c r="OT37" t="inlineStr">
        <is>
          <t xml:space="preserve">ZERO</t>
        </is>
      </c>
      <c r="OU37" t="inlineStr">
        <is>
          <t xml:space="preserve">=</t>
        </is>
      </c>
      <c r="OV37" t="inlineStr">
        <is>
          <t xml:space="preserve">ZERO</t>
        </is>
      </c>
      <c r="OW37" t="inlineStr">
        <is>
          <t xml:space="preserve">MOD_HUNGARUMLAUT</t>
        </is>
      </c>
      <c r="OX37" t="inlineStr">
        <is>
          <t xml:space="preserve">ZERO</t>
        </is>
      </c>
      <c r="OY37" t="inlineStr">
        <is>
          <t xml:space="preserve">EQUALS</t>
        </is>
      </c>
      <c r="OZ37" t="inlineStr">
        <is>
          <t xml:space="preserve">ZERO</t>
        </is>
      </c>
      <c r="PA37" t="inlineStr">
        <is>
          <t xml:space="preserve">}</t>
        </is>
      </c>
      <c r="PB37" t="inlineStr">
        <is>
          <t xml:space="preserve">ZERO</t>
        </is>
      </c>
      <c r="PC37" t="inlineStr">
        <is>
          <t xml:space="preserve">)</t>
        </is>
      </c>
      <c r="PD37" t="inlineStr">
        <is>
          <t xml:space="preserve">ZERO</t>
        </is>
      </c>
      <c r="PE37" t="inlineStr">
        <is>
          <t xml:space="preserve">ARABIC_INDIC_0</t>
        </is>
      </c>
      <c r="PF37" t="inlineStr">
        <is>
          <t xml:space="preserve">ZERO</t>
        </is>
      </c>
      <c r="PG37" t="inlineStr">
        <is>
          <t xml:space="preserve">)</t>
        </is>
      </c>
      <c r="PH37" t="inlineStr">
        <is>
          <t xml:space="preserve">ZERO</t>
        </is>
      </c>
      <c r="PI37" t="inlineStr">
        <is>
          <t xml:space="preserve">ARABIC_INDIC_0</t>
        </is>
      </c>
      <c r="PJ37" t="inlineStr">
        <is>
          <t xml:space="preserve">ZERO</t>
        </is>
      </c>
      <c r="PK37" t="inlineStr">
        <is>
          <t xml:space="preserve">)</t>
        </is>
      </c>
      <c r="PL37" t="inlineStr">
        <is>
          <t xml:space="preserve">ZERO</t>
        </is>
      </c>
      <c r="PM37" t="inlineStr">
        <is>
          <t xml:space="preserve">ARABIC_INDIC_0</t>
        </is>
      </c>
      <c r="PN37" t="inlineStr">
        <is>
          <t xml:space="preserve">ZERO</t>
        </is>
      </c>
      <c r="PO37" t="inlineStr">
        <is>
          <t xml:space="preserve">)</t>
        </is>
      </c>
      <c r="PP37" t="inlineStr">
        <is>
          <t xml:space="preserve">ZERO</t>
        </is>
      </c>
      <c r="PQ37" t="inlineStr">
        <is>
          <t xml:space="preserve">ARABIC_INDIC_0</t>
        </is>
      </c>
      <c r="PR37" t="inlineStr">
        <is>
          <t xml:space="preserve">ZERO</t>
        </is>
      </c>
      <c r="PS37" t="inlineStr">
        <is>
          <t xml:space="preserve">)</t>
        </is>
      </c>
      <c r="PT37" t="inlineStr">
        <is>
          <t xml:space="preserve">ZERO</t>
        </is>
      </c>
      <c r="PU37" t="inlineStr">
        <is>
          <t xml:space="preserve">ARABIC_INDIC_0</t>
        </is>
      </c>
      <c r="PV37" t="inlineStr">
        <is>
          <t xml:space="preserve">ZERO</t>
        </is>
      </c>
      <c r="PW37" t="inlineStr">
        <is>
          <t xml:space="preserve">)</t>
        </is>
      </c>
      <c r="PX37" t="inlineStr">
        <is>
          <t xml:space="preserve">ZERO</t>
        </is>
      </c>
      <c r="PY37" t="inlineStr">
        <is>
          <t xml:space="preserve">ARABIC_INDIC_0</t>
        </is>
      </c>
      <c r="PZ37" t="inlineStr">
        <is>
          <t xml:space="preserve">ZERO</t>
        </is>
      </c>
      <c r="QA37" t="inlineStr">
        <is>
          <t xml:space="preserve">)</t>
        </is>
      </c>
      <c r="QB37" t="inlineStr">
        <is>
          <t xml:space="preserve">ZERO</t>
        </is>
      </c>
      <c r="QC37" t="inlineStr">
        <is>
          <t xml:space="preserve">ARABIC_INDIC_0</t>
        </is>
      </c>
      <c r="QD37" t="inlineStr">
        <is>
          <t xml:space="preserve">ZERO</t>
        </is>
      </c>
      <c r="QE37" t="inlineStr">
        <is>
          <t xml:space="preserve">)</t>
        </is>
      </c>
      <c r="QF37" t="inlineStr">
        <is>
          <t xml:space="preserve">ZERO</t>
        </is>
      </c>
      <c r="QG37" t="inlineStr">
        <is>
          <t xml:space="preserve">ARABIC_INDIC_0</t>
        </is>
      </c>
      <c r="QH37" t="inlineStr">
        <is>
          <t xml:space="preserve">ZERO</t>
        </is>
      </c>
      <c r="QI37" t="inlineStr">
        <is>
          <t xml:space="preserve">)</t>
        </is>
      </c>
      <c r="QJ37" t="inlineStr">
        <is>
          <t xml:space="preserve">ZERO</t>
        </is>
      </c>
      <c r="QK37" t="inlineStr">
        <is>
          <t xml:space="preserve">ARABIC_INDIC_0</t>
        </is>
      </c>
      <c r="QL37" t="inlineStr">
        <is>
          <t xml:space="preserve">ZERO</t>
        </is>
      </c>
      <c r="QM37" t="inlineStr">
        <is>
          <t xml:space="preserve">)</t>
        </is>
      </c>
      <c r="QN37" t="inlineStr">
        <is>
          <t xml:space="preserve">ZERO</t>
        </is>
      </c>
      <c r="QO37" t="inlineStr">
        <is>
          <t xml:space="preserve">ARABIC_INDIC_0</t>
        </is>
      </c>
      <c r="QP37" t="inlineStr">
        <is>
          <t xml:space="preserve">ZERO</t>
        </is>
      </c>
      <c r="QQ37" t="inlineStr">
        <is>
          <t xml:space="preserve">)</t>
        </is>
      </c>
      <c r="QR37" t="inlineStr">
        <is>
          <t xml:space="preserve">ZERO</t>
        </is>
      </c>
      <c r="QS37" t="inlineStr">
        <is>
          <t xml:space="preserve">ARABIC_INDIC_0</t>
        </is>
      </c>
      <c r="QT37" t="inlineStr">
        <is>
          <t xml:space="preserve">ZERO</t>
        </is>
      </c>
      <c r="QU37" t="inlineStr">
        <is>
          <t xml:space="preserve">)</t>
        </is>
      </c>
      <c r="QV37" t="inlineStr">
        <is>
          <t xml:space="preserve">ZERO</t>
        </is>
      </c>
      <c r="QW37" t="inlineStr">
        <is>
          <t xml:space="preserve">ARABIC_INDIC_0</t>
        </is>
      </c>
      <c r="QX37" t="inlineStr">
        <is>
          <t xml:space="preserve">ZERO</t>
        </is>
      </c>
      <c r="QY37" t="inlineStr">
        <is>
          <t xml:space="preserve">)</t>
        </is>
      </c>
      <c r="QZ37" t="inlineStr">
        <is>
          <t xml:space="preserve">ZERO</t>
        </is>
      </c>
      <c r="RA37" t="inlineStr">
        <is>
          <t xml:space="preserve">ARABIC_INDIC_0</t>
        </is>
      </c>
      <c r="RB37" t="inlineStr">
        <is>
          <t xml:space="preserve">ZERO</t>
        </is>
      </c>
      <c r="RC37" t="inlineStr">
        <is>
          <t xml:space="preserve">)</t>
        </is>
      </c>
      <c r="RD37" t="inlineStr">
        <is>
          <t xml:space="preserve">ZERO</t>
        </is>
      </c>
      <c r="RE37" t="inlineStr">
        <is>
          <t xml:space="preserve">ARABIC_INDIC_0</t>
        </is>
      </c>
      <c r="RF37" t="inlineStr">
        <is>
          <t xml:space="preserve">U"\f\f" A_WITH_GRAVE_SMALL</t>
        </is>
      </c>
      <c r="RG37" t="inlineStr">
        <is>
          <t xml:space="preserve">ZERO</t>
        </is>
      </c>
      <c r="RI37" t="inlineStr">
        <is>
          <t xml:space="preserve">@</t>
        </is>
      </c>
      <c r="RJ37" t="inlineStr">
        <is>
          <t xml:space="preserve">U"\f\f" A_WITH_GRAVE_SMALL</t>
        </is>
      </c>
      <c r="RK37" t="inlineStr">
        <is>
          <t xml:space="preserve">ZERO</t>
        </is>
      </c>
      <c r="RM37" t="inlineStr">
        <is>
          <t xml:space="preserve">@</t>
        </is>
      </c>
      <c r="RN37" t="inlineStr">
        <is>
          <t xml:space="preserve">U"\f\f" A_WITH_GRAVE_SMALL</t>
        </is>
      </c>
      <c r="RO37" t="inlineStr">
        <is>
          <t xml:space="preserve">ZERO</t>
        </is>
      </c>
      <c r="RQ37" t="inlineStr">
        <is>
          <t xml:space="preserve">@</t>
        </is>
      </c>
      <c r="RR37" t="inlineStr">
        <is>
          <t xml:space="preserve">U"\f\f" A_WITH_GRAVE_SMALL</t>
        </is>
      </c>
      <c r="RS37" t="inlineStr">
        <is>
          <t xml:space="preserve">ZERO</t>
        </is>
      </c>
      <c r="RU37" t="inlineStr">
        <is>
          <t xml:space="preserve">@</t>
        </is>
      </c>
      <c r="RV37" t="inlineStr">
        <is>
          <t xml:space="preserve">U"\f\f" A_WITH_GRAVE_SMALL</t>
        </is>
      </c>
      <c r="RW37" t="inlineStr">
        <is>
          <t xml:space="preserve">ZERO</t>
        </is>
      </c>
      <c r="RY37" t="inlineStr">
        <is>
          <t xml:space="preserve">@</t>
        </is>
      </c>
      <c r="SP37" t="inlineStr">
        <is>
          <t xml:space="preserve">ZERO</t>
        </is>
      </c>
      <c r="SQ37" t="inlineStr">
        <is>
          <t xml:space="preserve">EQUALS</t>
        </is>
      </c>
      <c r="SR37" t="inlineStr">
        <is>
          <t xml:space="preserve">ZERO</t>
        </is>
      </c>
      <c r="SS37" t="inlineStr">
        <is>
          <t xml:space="preserve">}</t>
        </is>
      </c>
      <c r="ST37" t="inlineStr">
        <is>
          <t xml:space="preserve">ZERO</t>
        </is>
      </c>
      <c r="SU37" t="inlineStr">
        <is>
          <t xml:space="preserve">EQUALS</t>
        </is>
      </c>
      <c r="SV37" t="inlineStr">
        <is>
          <t xml:space="preserve">ZERO</t>
        </is>
      </c>
      <c r="SW37" t="inlineStr">
        <is>
          <t xml:space="preserve">}</t>
        </is>
      </c>
      <c r="SX37" t="inlineStr">
        <is>
          <t xml:space="preserve">BENGALI_09E6</t>
        </is>
      </c>
      <c r="SY37" t="inlineStr">
        <is>
          <t xml:space="preserve">)</t>
        </is>
      </c>
      <c r="SZ37" t="inlineStr">
        <is>
          <t xml:space="preserve">BENGALI_09E6</t>
        </is>
      </c>
      <c r="TA37" t="inlineStr">
        <is>
          <t xml:space="preserve">0</t>
        </is>
      </c>
      <c r="TV37" t="inlineStr">
        <is>
          <t xml:space="preserve">ZERO</t>
        </is>
      </c>
      <c r="TW37" t="inlineStr">
        <is>
          <t xml:space="preserve">)</t>
        </is>
      </c>
      <c r="TX37" t="inlineStr">
        <is>
          <t xml:space="preserve">ZERO</t>
        </is>
      </c>
      <c r="TZ37" t="inlineStr">
        <is>
          <t xml:space="preserve">ZERO</t>
        </is>
      </c>
      <c r="UA37" t="inlineStr">
        <is>
          <t xml:space="preserve">)</t>
        </is>
      </c>
      <c r="UB37" t="inlineStr">
        <is>
          <t xml:space="preserve">ZERO</t>
        </is>
      </c>
      <c r="UT37" t="inlineStr">
        <is>
          <t xml:space="preserve">U"\f\f" A_WITH_GRAVE_SMALL</t>
        </is>
      </c>
      <c r="UU37" t="inlineStr">
        <is>
          <t xml:space="preserve">ZERO</t>
        </is>
      </c>
      <c r="UW37" t="inlineStr">
        <is>
          <t xml:space="preserve">@</t>
        </is>
      </c>
      <c r="VB37" t="inlineStr">
        <is>
          <t xml:space="preserve">ZERO</t>
        </is>
      </c>
      <c r="VC37" t="inlineStr">
        <is>
          <t xml:space="preserve">EQUALS</t>
        </is>
      </c>
      <c r="VD37" t="inlineStr">
        <is>
          <t xml:space="preserve">ZERO</t>
        </is>
      </c>
      <c r="VF37" t="inlineStr">
        <is>
          <t xml:space="preserve">ZERO</t>
        </is>
      </c>
      <c r="VG37" t="inlineStr">
        <is>
          <t xml:space="preserve">EQUALS</t>
        </is>
      </c>
      <c r="VH37" t="inlineStr">
        <is>
          <t xml:space="preserve">ZERO</t>
        </is>
      </c>
      <c r="VJ37" t="inlineStr">
        <is>
          <t xml:space="preserve">ZERO</t>
        </is>
      </c>
      <c r="VK37" t="inlineStr">
        <is>
          <t xml:space="preserve">EQUALS</t>
        </is>
      </c>
      <c r="VL37" t="inlineStr">
        <is>
          <t xml:space="preserve">ZERO</t>
        </is>
      </c>
      <c r="VZ37" t="inlineStr">
        <is>
          <t xml:space="preserve">ZERO</t>
        </is>
      </c>
      <c r="WA37" t="inlineStr">
        <is>
          <t xml:space="preserve">EQUALS</t>
        </is>
      </c>
      <c r="WB37" t="inlineStr">
        <is>
          <t xml:space="preserve">ZERO</t>
        </is>
      </c>
      <c r="XB37" t="inlineStr">
        <is>
          <t xml:space="preserve">ARABIC_06F0</t>
        </is>
      </c>
      <c r="XC37" t="inlineStr">
        <is>
          <t xml:space="preserve">(</t>
        </is>
      </c>
      <c r="XD37" t="inlineStr">
        <is>
          <t xml:space="preserve">ARABIC_06F0</t>
        </is>
      </c>
      <c r="XF37" t="inlineStr">
        <is>
          <t xml:space="preserve">UCAS_153E</t>
        </is>
      </c>
      <c r="XG37">
        <v>0</v>
      </c>
      <c r="XH37" t="inlineStr">
        <is>
          <t xml:space="preserve">UCAS_153E</t>
        </is>
      </c>
      <c r="XN37" t="inlineStr">
        <is>
          <t xml:space="preserve">CHEROKEE_13C4</t>
        </is>
      </c>
      <c r="XO37" t="inlineStr">
        <is>
          <t xml:space="preserve">)</t>
        </is>
      </c>
      <c r="XP37" t="inlineStr">
        <is>
          <t xml:space="preserve">CHEROKEE_13C4</t>
        </is>
      </c>
      <c r="XQ37">
        <v>0</v>
      </c>
    </row>
    <row r="38" s="116" customFormat="true" ht="15" hidden="false" customHeight="false" outlineLevel="0" collapsed="false">
      <c r="A38" s="93" t="s">
        <v>1284</v>
      </c>
      <c r="B38" s="137" t="s">
        <v>737</v>
      </c>
      <c r="C38" s="94"/>
      <c r="D38" s="94"/>
      <c r="E38" s="94"/>
      <c r="F38" s="95"/>
      <c r="G38" s="95"/>
      <c r="H38" s="95"/>
      <c r="I38" s="95"/>
      <c r="J38" s="96"/>
      <c r="K38" s="96"/>
      <c r="L38" s="96"/>
      <c r="M38" s="96"/>
      <c r="N38" s="97"/>
      <c r="O38" s="97"/>
      <c r="P38" s="97"/>
      <c r="Q38" s="97"/>
      <c r="R38" s="98"/>
      <c r="S38" s="98"/>
      <c r="T38" s="98"/>
      <c r="U38" s="98"/>
      <c r="V38" s="99"/>
      <c r="W38" s="99"/>
      <c r="X38" s="99"/>
      <c r="Y38" s="99"/>
      <c r="Z38" s="100"/>
      <c r="AA38" s="100"/>
      <c r="AB38" s="100"/>
      <c r="AC38" s="100"/>
      <c r="AD38" s="101"/>
      <c r="AE38" s="101"/>
      <c r="AF38" s="101"/>
      <c r="AG38" s="101"/>
      <c r="AH38" s="102"/>
      <c r="AI38" s="102"/>
      <c r="AJ38" s="102"/>
      <c r="AK38" s="102"/>
      <c r="AL38" s="103"/>
      <c r="AM38" s="103"/>
      <c r="AN38" s="103"/>
      <c r="AO38" s="103"/>
      <c r="AP38" s="104"/>
      <c r="AQ38" s="104"/>
      <c r="AR38" s="104"/>
      <c r="AS38" s="104"/>
      <c r="AT38" s="105"/>
      <c r="AU38" s="105"/>
      <c r="AV38" s="105"/>
      <c r="AW38" s="105"/>
      <c r="AX38" s="106"/>
      <c r="AY38" s="106"/>
      <c r="AZ38" s="106"/>
      <c r="BA38" s="106"/>
      <c r="BB38" s="107"/>
      <c r="BC38" s="107"/>
      <c r="BD38" s="107"/>
      <c r="BE38" s="107"/>
      <c r="BF38" s="108"/>
      <c r="BG38" s="108"/>
      <c r="BH38" s="108"/>
      <c r="BI38" s="108"/>
      <c r="BJ38" s="109"/>
      <c r="BK38" s="109"/>
      <c r="BL38" s="109"/>
      <c r="BM38" s="109"/>
      <c r="BN38" s="95"/>
      <c r="BO38" s="95"/>
      <c r="BP38" s="95"/>
      <c r="BQ38" s="95"/>
      <c r="BR38" s="110"/>
      <c r="BS38" s="110"/>
      <c r="BT38" s="110"/>
      <c r="BU38" s="110"/>
      <c r="BZ38" s="111"/>
      <c r="CA38" s="111"/>
      <c r="CB38" s="111"/>
      <c r="CC38" s="111"/>
      <c r="CD38" s="95"/>
      <c r="CE38" s="95"/>
      <c r="CF38" s="95"/>
      <c r="CG38" s="95"/>
      <c r="CH38" s="112"/>
      <c r="CI38" s="112"/>
      <c r="CJ38" s="112"/>
      <c r="CK38" s="112"/>
      <c r="CL38" s="113"/>
      <c r="CM38" s="113"/>
      <c r="CN38" s="113"/>
      <c r="CO38" s="113"/>
      <c r="CP38" s="84"/>
      <c r="CQ38" s="84"/>
      <c r="CR38" s="84"/>
      <c r="CS38" s="84"/>
      <c r="CT38" s="110"/>
      <c r="CU38" s="110"/>
      <c r="CV38" s="110"/>
      <c r="CW38" s="110"/>
      <c r="CX38" s="114"/>
      <c r="CY38" s="114"/>
      <c r="CZ38" s="114"/>
      <c r="DA38" s="114"/>
      <c r="DB38" s="115"/>
      <c r="DC38" s="115"/>
      <c r="DD38" s="115"/>
      <c r="DE38" s="115"/>
    </row>
    <row r="39" s="116" customFormat="true" ht="15" hidden="false" customHeight="false" outlineLevel="0" collapsed="false">
      <c r="A39" s="93" t="s">
        <v>1285</v>
      </c>
      <c r="B39" s="94" t="s">
        <v>1286</v>
      </c>
      <c r="C39" s="94"/>
      <c r="D39" s="94"/>
      <c r="E39" s="94"/>
      <c r="F39" s="95"/>
      <c r="G39" s="95"/>
      <c r="H39" s="95"/>
      <c r="I39" s="95"/>
      <c r="J39" s="96"/>
      <c r="K39" s="96"/>
      <c r="L39" s="96"/>
      <c r="M39" s="96"/>
      <c r="N39" s="97"/>
      <c r="O39" s="97"/>
      <c r="P39" s="97"/>
      <c r="Q39" s="97"/>
      <c r="R39" s="98"/>
      <c r="S39" s="98"/>
      <c r="T39" s="98"/>
      <c r="U39" s="98"/>
      <c r="V39" s="99"/>
      <c r="W39" s="99"/>
      <c r="X39" s="99"/>
      <c r="Y39" s="99"/>
      <c r="Z39" s="100"/>
      <c r="AA39" s="100"/>
      <c r="AB39" s="100"/>
      <c r="AC39" s="100"/>
      <c r="AD39" s="101"/>
      <c r="AE39" s="101"/>
      <c r="AF39" s="101"/>
      <c r="AG39" s="101"/>
      <c r="AH39" s="102"/>
      <c r="AI39" s="102"/>
      <c r="AJ39" s="102"/>
      <c r="AK39" s="102"/>
      <c r="AL39" s="103"/>
      <c r="AM39" s="103"/>
      <c r="AN39" s="103"/>
      <c r="AO39" s="103"/>
      <c r="AP39" s="104"/>
      <c r="AQ39" s="104"/>
      <c r="AR39" s="104"/>
      <c r="AS39" s="104"/>
      <c r="AT39" s="105"/>
      <c r="AU39" s="105"/>
      <c r="AV39" s="105"/>
      <c r="AW39" s="105"/>
      <c r="AX39" s="106"/>
      <c r="AY39" s="106"/>
      <c r="AZ39" s="106"/>
      <c r="BA39" s="106"/>
      <c r="BB39" s="107"/>
      <c r="BC39" s="107"/>
      <c r="BD39" s="107"/>
      <c r="BE39" s="107"/>
      <c r="BF39" s="108"/>
      <c r="BG39" s="108"/>
      <c r="BH39" s="108"/>
      <c r="BI39" s="108"/>
      <c r="BJ39" s="109"/>
      <c r="BK39" s="109"/>
      <c r="BL39" s="109"/>
      <c r="BM39" s="109"/>
      <c r="BN39" s="95"/>
      <c r="BO39" s="95"/>
      <c r="BP39" s="95"/>
      <c r="BQ39" s="95"/>
      <c r="BR39" s="110"/>
      <c r="BS39" s="110"/>
      <c r="BT39" s="110"/>
      <c r="BU39" s="110"/>
      <c r="BZ39" s="111"/>
      <c r="CA39" s="111"/>
      <c r="CB39" s="111"/>
      <c r="CC39" s="111"/>
      <c r="CD39" s="95"/>
      <c r="CE39" s="95"/>
      <c r="CF39" s="95"/>
      <c r="CG39" s="95"/>
      <c r="CH39" s="112"/>
      <c r="CI39" s="112"/>
      <c r="CJ39" s="112"/>
      <c r="CK39" s="112"/>
      <c r="CL39" s="113"/>
      <c r="CM39" s="113"/>
      <c r="CN39" s="113"/>
      <c r="CO39" s="113"/>
      <c r="CP39" s="84"/>
      <c r="CQ39" s="84"/>
      <c r="CR39" s="84"/>
      <c r="CS39" s="84"/>
      <c r="CT39" s="110"/>
      <c r="CU39" s="110"/>
      <c r="CV39" s="110"/>
      <c r="CW39" s="110"/>
      <c r="CX39" s="114"/>
      <c r="CY39" s="114"/>
      <c r="CZ39" s="114"/>
      <c r="DA39" s="114"/>
      <c r="DB39" s="115"/>
      <c r="DC39" s="115"/>
      <c r="DD39" s="115"/>
      <c r="DE39" s="115"/>
    </row>
    <row r="40" s="116" customFormat="true" ht="15" hidden="false" customHeight="false" outlineLevel="0" collapsed="false">
      <c r="A40" s="93" t="s">
        <v>1287</v>
      </c>
      <c r="B40" s="94" t="s">
        <v>691</v>
      </c>
      <c r="C40" s="94"/>
      <c r="D40" s="94"/>
      <c r="E40" s="94"/>
      <c r="F40" s="95"/>
      <c r="G40" s="95"/>
      <c r="H40" s="95"/>
      <c r="I40" s="95"/>
      <c r="J40" s="96"/>
      <c r="K40" s="96"/>
      <c r="L40" s="96"/>
      <c r="M40" s="96"/>
      <c r="N40" s="97"/>
      <c r="O40" s="97"/>
      <c r="P40" s="97"/>
      <c r="Q40" s="97"/>
      <c r="R40" s="98"/>
      <c r="S40" s="98"/>
      <c r="T40" s="98"/>
      <c r="U40" s="98"/>
      <c r="V40" s="99"/>
      <c r="W40" s="99"/>
      <c r="X40" s="99"/>
      <c r="Y40" s="99"/>
      <c r="Z40" s="100"/>
      <c r="AA40" s="100"/>
      <c r="AB40" s="100"/>
      <c r="AC40" s="100"/>
      <c r="AD40" s="101"/>
      <c r="AE40" s="101"/>
      <c r="AF40" s="101"/>
      <c r="AG40" s="101"/>
      <c r="AH40" s="102"/>
      <c r="AI40" s="102"/>
      <c r="AJ40" s="102"/>
      <c r="AK40" s="102"/>
      <c r="AL40" s="103"/>
      <c r="AM40" s="103"/>
      <c r="AN40" s="103"/>
      <c r="AO40" s="103"/>
      <c r="AP40" s="104"/>
      <c r="AQ40" s="104"/>
      <c r="AR40" s="104"/>
      <c r="AS40" s="104"/>
      <c r="AT40" s="105"/>
      <c r="AU40" s="105"/>
      <c r="AV40" s="105"/>
      <c r="AW40" s="105"/>
      <c r="AX40" s="106"/>
      <c r="AY40" s="106"/>
      <c r="AZ40" s="106"/>
      <c r="BA40" s="106"/>
      <c r="BB40" s="107"/>
      <c r="BC40" s="107"/>
      <c r="BD40" s="107"/>
      <c r="BE40" s="107"/>
      <c r="BF40" s="108"/>
      <c r="BG40" s="108"/>
      <c r="BH40" s="108"/>
      <c r="BI40" s="108"/>
      <c r="BJ40" s="109"/>
      <c r="BK40" s="109"/>
      <c r="BL40" s="109"/>
      <c r="BM40" s="109"/>
      <c r="BN40" s="95"/>
      <c r="BO40" s="95"/>
      <c r="BP40" s="95"/>
      <c r="BQ40" s="95"/>
      <c r="BR40" s="110"/>
      <c r="BS40" s="110"/>
      <c r="BT40" s="110"/>
      <c r="BU40" s="110"/>
      <c r="BZ40" s="111"/>
      <c r="CA40" s="111"/>
      <c r="CB40" s="111"/>
      <c r="CC40" s="111"/>
      <c r="CD40" s="95"/>
      <c r="CE40" s="95"/>
      <c r="CF40" s="95"/>
      <c r="CG40" s="95"/>
      <c r="CH40" s="112"/>
      <c r="CI40" s="112"/>
      <c r="CJ40" s="112"/>
      <c r="CK40" s="112"/>
      <c r="CL40" s="113"/>
      <c r="CM40" s="113"/>
      <c r="CN40" s="113"/>
      <c r="CO40" s="113"/>
      <c r="CP40" s="84"/>
      <c r="CQ40" s="84"/>
      <c r="CR40" s="84"/>
      <c r="CS40" s="84"/>
      <c r="CT40" s="110"/>
      <c r="CU40" s="110"/>
      <c r="CV40" s="110"/>
      <c r="CW40" s="110"/>
      <c r="CX40" s="114"/>
      <c r="CY40" s="114"/>
      <c r="CZ40" s="114"/>
      <c r="DA40" s="114"/>
      <c r="DB40" s="115"/>
      <c r="DC40" s="115"/>
      <c r="DD40" s="115"/>
      <c r="DE40" s="115"/>
    </row>
    <row r="41" s="116" customFormat="true" ht="15" hidden="false" customHeight="false" outlineLevel="0" collapsed="false">
      <c r="A41" s="93" t="s">
        <v>1288</v>
      </c>
      <c r="B41" s="137" t="s">
        <v>731</v>
      </c>
      <c r="C41" s="94"/>
      <c r="D41" s="94"/>
      <c r="E41" s="94"/>
      <c r="F41" s="95"/>
      <c r="G41" s="95"/>
      <c r="H41" s="95"/>
      <c r="I41" s="95"/>
      <c r="J41" s="96"/>
      <c r="K41" s="96"/>
      <c r="L41" s="96"/>
      <c r="M41" s="96"/>
      <c r="N41" s="97"/>
      <c r="O41" s="97"/>
      <c r="P41" s="97"/>
      <c r="Q41" s="97"/>
      <c r="R41" s="98"/>
      <c r="S41" s="98"/>
      <c r="T41" s="98"/>
      <c r="U41" s="98"/>
      <c r="V41" s="99"/>
      <c r="W41" s="99"/>
      <c r="X41" s="99"/>
      <c r="Y41" s="99"/>
      <c r="Z41" s="100"/>
      <c r="AA41" s="100"/>
      <c r="AB41" s="100"/>
      <c r="AC41" s="100"/>
      <c r="AD41" s="101"/>
      <c r="AE41" s="101"/>
      <c r="AF41" s="101"/>
      <c r="AG41" s="101"/>
      <c r="AH41" s="102"/>
      <c r="AI41" s="102"/>
      <c r="AJ41" s="102"/>
      <c r="AK41" s="102"/>
      <c r="AL41" s="103"/>
      <c r="AM41" s="103"/>
      <c r="AN41" s="103"/>
      <c r="AO41" s="103"/>
      <c r="AP41" s="104"/>
      <c r="AQ41" s="104"/>
      <c r="AR41" s="104"/>
      <c r="AS41" s="104"/>
      <c r="AT41" s="105"/>
      <c r="AU41" s="105"/>
      <c r="AV41" s="105"/>
      <c r="AW41" s="105"/>
      <c r="AX41" s="106"/>
      <c r="AY41" s="106"/>
      <c r="AZ41" s="106"/>
      <c r="BA41" s="106"/>
      <c r="BB41" s="107"/>
      <c r="BC41" s="107"/>
      <c r="BD41" s="107"/>
      <c r="BE41" s="107"/>
      <c r="BF41" s="108"/>
      <c r="BG41" s="108"/>
      <c r="BH41" s="108"/>
      <c r="BI41" s="108"/>
      <c r="BJ41" s="109"/>
      <c r="BK41" s="109"/>
      <c r="BL41" s="109"/>
      <c r="BM41" s="109"/>
      <c r="BN41" s="95"/>
      <c r="BO41" s="95"/>
      <c r="BP41" s="95"/>
      <c r="BQ41" s="95"/>
      <c r="BR41" s="110"/>
      <c r="BS41" s="110"/>
      <c r="BT41" s="110"/>
      <c r="BU41" s="110"/>
      <c r="BZ41" s="111"/>
      <c r="CA41" s="111"/>
      <c r="CB41" s="111"/>
      <c r="CC41" s="111"/>
      <c r="CD41" s="95"/>
      <c r="CE41" s="95"/>
      <c r="CF41" s="95"/>
      <c r="CG41" s="95"/>
      <c r="CH41" s="112"/>
      <c r="CI41" s="112"/>
      <c r="CJ41" s="112"/>
      <c r="CK41" s="112"/>
      <c r="CL41" s="113"/>
      <c r="CM41" s="113"/>
      <c r="CN41" s="113"/>
      <c r="CO41" s="113"/>
      <c r="CP41" s="84"/>
      <c r="CQ41" s="84"/>
      <c r="CR41" s="84"/>
      <c r="CS41" s="84"/>
      <c r="CT41" s="110"/>
      <c r="CU41" s="110"/>
      <c r="CV41" s="110"/>
      <c r="CW41" s="110"/>
      <c r="CX41" s="114"/>
      <c r="CY41" s="114"/>
      <c r="CZ41" s="114"/>
      <c r="DA41" s="114"/>
      <c r="DB41" s="115"/>
      <c r="DC41" s="115"/>
      <c r="DD41" s="115"/>
      <c r="DE41" s="115"/>
    </row>
    <row r="42" s="116" customFormat="true" ht="15" hidden="false" customHeight="false" outlineLevel="0" collapsed="false">
      <c r="A42" s="93" t="s">
        <v>1289</v>
      </c>
      <c r="B42" s="94" t="s">
        <v>24</v>
      </c>
      <c r="C42" s="94"/>
      <c r="D42" s="94"/>
      <c r="E42" s="94"/>
      <c r="F42" s="95"/>
      <c r="G42" s="95"/>
      <c r="H42" s="95"/>
      <c r="I42" s="95"/>
      <c r="J42" s="96"/>
      <c r="K42" s="96"/>
      <c r="L42" s="96"/>
      <c r="M42" s="96"/>
      <c r="N42" s="97"/>
      <c r="O42" s="97"/>
      <c r="P42" s="97"/>
      <c r="Q42" s="97"/>
      <c r="R42" s="98"/>
      <c r="S42" s="98"/>
      <c r="T42" s="98"/>
      <c r="U42" s="98"/>
      <c r="V42" s="99"/>
      <c r="W42" s="99"/>
      <c r="X42" s="99"/>
      <c r="Y42" s="99"/>
      <c r="Z42" s="100"/>
      <c r="AA42" s="100"/>
      <c r="AB42" s="100"/>
      <c r="AC42" s="100"/>
      <c r="AD42" s="101"/>
      <c r="AE42" s="101"/>
      <c r="AF42" s="101"/>
      <c r="AG42" s="101"/>
      <c r="AH42" s="102"/>
      <c r="AI42" s="102"/>
      <c r="AJ42" s="102"/>
      <c r="AK42" s="102"/>
      <c r="AL42" s="103"/>
      <c r="AM42" s="103"/>
      <c r="AN42" s="103"/>
      <c r="AO42" s="103"/>
      <c r="AP42" s="104"/>
      <c r="AQ42" s="104"/>
      <c r="AR42" s="104"/>
      <c r="AS42" s="104"/>
      <c r="AT42" s="105"/>
      <c r="AU42" s="105"/>
      <c r="AV42" s="105"/>
      <c r="AW42" s="105"/>
      <c r="AX42" s="106"/>
      <c r="AY42" s="106"/>
      <c r="AZ42" s="106"/>
      <c r="BA42" s="106"/>
      <c r="BB42" s="107"/>
      <c r="BC42" s="107"/>
      <c r="BD42" s="107"/>
      <c r="BE42" s="107"/>
      <c r="BF42" s="108"/>
      <c r="BG42" s="108"/>
      <c r="BH42" s="108"/>
      <c r="BI42" s="108"/>
      <c r="BJ42" s="109"/>
      <c r="BK42" s="109"/>
      <c r="BL42" s="109"/>
      <c r="BM42" s="109"/>
      <c r="BN42" s="95"/>
      <c r="BO42" s="95"/>
      <c r="BP42" s="95"/>
      <c r="BQ42" s="95"/>
      <c r="BR42" s="110"/>
      <c r="BS42" s="110"/>
      <c r="BT42" s="110"/>
      <c r="BU42" s="110"/>
      <c r="BZ42" s="111"/>
      <c r="CA42" s="111"/>
      <c r="CB42" s="111"/>
      <c r="CC42" s="111"/>
      <c r="CD42" s="95"/>
      <c r="CE42" s="95"/>
      <c r="CF42" s="95"/>
      <c r="CG42" s="95"/>
      <c r="CH42" s="112"/>
      <c r="CI42" s="112"/>
      <c r="CJ42" s="112"/>
      <c r="CK42" s="112"/>
      <c r="CL42" s="113"/>
      <c r="CM42" s="113"/>
      <c r="CN42" s="113"/>
      <c r="CO42" s="113"/>
      <c r="CP42" s="84"/>
      <c r="CQ42" s="84"/>
      <c r="CR42" s="84"/>
      <c r="CS42" s="84"/>
      <c r="CT42" s="110"/>
      <c r="CU42" s="110"/>
      <c r="CV42" s="110"/>
      <c r="CW42" s="110"/>
      <c r="CX42" s="114"/>
      <c r="CY42" s="114"/>
      <c r="CZ42" s="114"/>
      <c r="DA42" s="114"/>
      <c r="DB42" s="115"/>
      <c r="DC42" s="115"/>
      <c r="DD42" s="115"/>
      <c r="DE42" s="115"/>
    </row>
    <row r="43" s="116" customFormat="true" ht="15" hidden="false" customHeight="false" outlineLevel="0" collapsed="false">
      <c r="A43" s="93" t="s">
        <v>1290</v>
      </c>
      <c r="B43" s="94" t="s">
        <v>1262</v>
      </c>
      <c r="C43" s="94" t="s">
        <v>1269</v>
      </c>
      <c r="D43" s="94" t="s">
        <v>1262</v>
      </c>
      <c r="E43" s="94"/>
      <c r="F43" t="inlineStr">
        <is>
          <t xml:space="preserve">U"\f\f" ESZETT</t>
        </is>
      </c>
      <c r="G43" s="95" t="s">
        <v>1180</v>
      </c>
      <c r="H43" s="95" t="s">
        <v>135</v>
      </c>
      <c r="I43" s="95" t="s">
        <v>16</v>
      </c>
      <c r="J43" s="96" t="s">
        <v>1276</v>
      </c>
      <c r="K43" s="136" t="s">
        <v>72</v>
      </c>
      <c r="L43" s="96"/>
      <c r="M43" s="96" t="s">
        <v>1145</v>
      </c>
      <c r="N43" s="97" t="s">
        <v>1222</v>
      </c>
      <c r="O43" s="97" t="s">
        <v>1180</v>
      </c>
      <c r="P43" s="97" t="s">
        <v>1222</v>
      </c>
      <c r="Q43" s="97"/>
      <c r="R43" s="98" t="s">
        <v>1222</v>
      </c>
      <c r="S43" s="98" t="s">
        <v>1180</v>
      </c>
      <c r="T43" s="98" t="s">
        <v>1222</v>
      </c>
      <c r="U43" s="98"/>
      <c r="V43" s="99" t="s">
        <v>1222</v>
      </c>
      <c r="W43" s="99" t="s">
        <v>1180</v>
      </c>
      <c r="X43" s="99" t="s">
        <v>1222</v>
      </c>
      <c r="Y43" s="99" t="s">
        <v>1245</v>
      </c>
      <c r="Z43" s="100" t="s">
        <v>1272</v>
      </c>
      <c r="AA43" s="100" t="s">
        <v>1180</v>
      </c>
      <c r="AB43" s="100" t="s">
        <v>1272</v>
      </c>
      <c r="AC43" s="100" t="s">
        <v>16</v>
      </c>
      <c r="AD43" s="101"/>
      <c r="AE43" s="101"/>
      <c r="AF43" s="101"/>
      <c r="AG43" s="101"/>
      <c r="AH43" t="inlineStr">
        <is>
          <t xml:space="preserve">-</t>
        </is>
      </c>
      <c r="AI43" t="inlineStr">
        <is>
          <t xml:space="preserve">EQUALS</t>
        </is>
      </c>
      <c r="AJ43" t="inlineStr">
        <is>
          <t xml:space="preserve">-</t>
        </is>
      </c>
      <c r="AK43" t="inlineStr">
        <is>
          <t xml:space="preserve">HIRAGANA_HO</t>
        </is>
      </c>
      <c r="AL43" s="103"/>
      <c r="AM43" s="103"/>
      <c r="AN43" s="103"/>
      <c r="AO43" s="103"/>
      <c r="AP43" s="104" t="s">
        <v>1262</v>
      </c>
      <c r="AQ43" s="104" t="s">
        <v>1269</v>
      </c>
      <c r="AR43" s="104" t="s">
        <v>1262</v>
      </c>
      <c r="AS43" t="inlineStr">
        <is>
          <t xml:space="preserve">U"\f\f\f" PLUS_MINUS</t>
        </is>
      </c>
      <c r="AT43" s="105"/>
      <c r="AU43" s="105"/>
      <c r="AV43" s="105"/>
      <c r="AW43" s="105"/>
      <c r="AX43" s="106"/>
      <c r="AY43" s="106"/>
      <c r="AZ43" s="106"/>
      <c r="BA43" s="106"/>
      <c r="BB43" s="107"/>
      <c r="BC43" s="107"/>
      <c r="BD43" s="107"/>
      <c r="BE43" s="107"/>
      <c r="BF43" t="inlineStr">
        <is>
          <t xml:space="preserve">U"\f\f" CYRILLIC_SM_BARRED_O</t>
        </is>
      </c>
      <c r="BG43" t="inlineStr">
        <is>
          <t xml:space="preserve">CYRILLIC_BARRED_O</t>
        </is>
      </c>
      <c r="BH43" s="108"/>
      <c r="BI43" s="108"/>
      <c r="BJ43" s="109" t="s">
        <v>1262</v>
      </c>
      <c r="BK43" s="109" t="s">
        <v>1249</v>
      </c>
      <c r="BL43" s="109" t="s">
        <v>1262</v>
      </c>
      <c r="BM43" s="109"/>
      <c r="BN43" s="95" t="s">
        <v>1237</v>
      </c>
      <c r="BO43" s="95" t="s">
        <v>1180</v>
      </c>
      <c r="BP43" s="95" t="s">
        <v>1237</v>
      </c>
      <c r="BQ43" s="128" t="s">
        <v>59</v>
      </c>
      <c r="BR43" s="110" t="s">
        <v>1262</v>
      </c>
      <c r="BS43" s="110" t="s">
        <v>1269</v>
      </c>
      <c r="BT43" s="110" t="s">
        <v>1262</v>
      </c>
      <c r="BU43" t="inlineStr">
        <is>
          <t xml:space="preserve">DIAERESIS U"--"</t>
        </is>
      </c>
      <c r="BZ43" s="111" t="s">
        <v>1173</v>
      </c>
      <c r="CA43" s="111" t="s">
        <v>1180</v>
      </c>
      <c r="CB43" s="111" t="s">
        <v>1173</v>
      </c>
      <c r="CC43" s="111" t="s">
        <v>16</v>
      </c>
      <c r="CD43" s="95" t="s">
        <v>1262</v>
      </c>
      <c r="CE43" s="95" t="s">
        <v>1269</v>
      </c>
      <c r="CF43" s="95" t="s">
        <v>1262</v>
      </c>
      <c r="CG43" s="128" t="s">
        <v>462</v>
      </c>
      <c r="CH43" s="112" t="s">
        <v>1237</v>
      </c>
      <c r="CI43" s="112" t="s">
        <v>1180</v>
      </c>
      <c r="CJ43" s="112" t="s">
        <v>16</v>
      </c>
      <c r="CK43" s="112" t="s">
        <v>16</v>
      </c>
      <c r="CL43" s="113" t="s">
        <v>1237</v>
      </c>
      <c r="CM43" s="113" t="s">
        <v>1180</v>
      </c>
      <c r="CN43" s="113" t="s">
        <v>16</v>
      </c>
      <c r="CO43" s="113" t="s">
        <v>16</v>
      </c>
      <c r="CP43" s="84" t="s">
        <v>1237</v>
      </c>
      <c r="CQ43" s="84" t="s">
        <v>1180</v>
      </c>
      <c r="CR43" s="84" t="s">
        <v>1237</v>
      </c>
      <c r="CS43" s="84"/>
      <c r="CT43" s="110" t="s">
        <v>1237</v>
      </c>
      <c r="CU43" s="110" t="s">
        <v>1180</v>
      </c>
      <c r="CV43" s="110" t="s">
        <v>1237</v>
      </c>
      <c r="CW43" s="110"/>
      <c r="CX43" t="inlineStr">
        <is>
          <t xml:space="preserve">U"\f\f" UMLAUT_U_SMALL</t>
        </is>
      </c>
      <c r="CY43" t="inlineStr">
        <is>
          <t xml:space="preserve">UMLAUT_U_SMALL</t>
        </is>
      </c>
      <c r="CZ43" s="114" t="s">
        <v>169</v>
      </c>
      <c r="DA43" s="126" t="s">
        <v>59</v>
      </c>
      <c r="DB43" s="115" t="s">
        <v>80</v>
      </c>
      <c r="DC43" s="127" t="s">
        <v>184</v>
      </c>
      <c r="DD43" s="115" t="s">
        <v>80</v>
      </c>
      <c r="DE43" s="127" t="s">
        <v>59</v>
      </c>
      <c r="DF43" t="inlineStr">
        <is>
          <t xml:space="preserve">'</t>
        </is>
      </c>
      <c r="DG43" t="inlineStr">
        <is>
          <t xml:space="preserve">?</t>
        </is>
      </c>
      <c r="DH43" t="inlineStr">
        <is>
          <t xml:space="preserve">'</t>
        </is>
      </c>
      <c r="DI43" t="inlineStr">
        <is>
          <t xml:space="preserve">DIAERESIS</t>
        </is>
      </c>
      <c r="DJ43" t="inlineStr">
        <is>
          <t xml:space="preserve">=</t>
        </is>
      </c>
      <c r="DK43" t="inlineStr">
        <is>
          <t xml:space="preserve">%</t>
        </is>
      </c>
      <c r="DL43" t="inlineStr">
        <is>
          <t xml:space="preserve">=</t>
        </is>
      </c>
      <c r="DN43" t="inlineStr">
        <is>
          <t xml:space="preserve">-</t>
        </is>
      </c>
      <c r="DO43" t="inlineStr">
        <is>
          <t xml:space="preserve">_</t>
        </is>
      </c>
      <c r="DP43" t="inlineStr">
        <is>
          <t xml:space="preserve">-</t>
        </is>
      </c>
      <c r="DV43" t="inlineStr">
        <is>
          <t xml:space="preserve">+</t>
        </is>
      </c>
      <c r="DW43" t="inlineStr">
        <is>
          <t xml:space="preserve">?</t>
        </is>
      </c>
      <c r="DX43" t="inlineStr">
        <is>
          <t xml:space="preserve">+</t>
        </is>
      </c>
      <c r="DY43" t="inlineStr">
        <is>
          <t xml:space="preserve">BACKSLASH</t>
        </is>
      </c>
      <c r="ED43" t="inlineStr">
        <is>
          <t xml:space="preserve">'</t>
        </is>
      </c>
      <c r="EE43" t="inlineStr">
        <is>
          <t xml:space="preserve">?</t>
        </is>
      </c>
      <c r="EF43" t="inlineStr">
        <is>
          <t xml:space="preserve">'</t>
        </is>
      </c>
      <c r="EH43" t="inlineStr">
        <is>
          <t xml:space="preserve">'</t>
        </is>
      </c>
      <c r="EI43" t="inlineStr">
        <is>
          <t xml:space="preserve">?</t>
        </is>
      </c>
      <c r="EJ43" t="inlineStr">
        <is>
          <t xml:space="preserve">'</t>
        </is>
      </c>
      <c r="EP43" t="inlineStr">
        <is>
          <t xml:space="preserve">-</t>
        </is>
      </c>
      <c r="EQ43" t="inlineStr">
        <is>
          <t xml:space="preserve">DEVA_DC_0903</t>
        </is>
      </c>
      <c r="ER43" t="inlineStr">
        <is>
          <t xml:space="preserve">-</t>
        </is>
      </c>
      <c r="ET43" t="inlineStr">
        <is>
          <t xml:space="preserve">-</t>
        </is>
      </c>
      <c r="EU43" t="inlineStr">
        <is>
          <t xml:space="preserve">DEVA_DC_0903</t>
        </is>
      </c>
      <c r="EV43" t="inlineStr">
        <is>
          <t xml:space="preserve">-</t>
        </is>
      </c>
      <c r="EX43" t="inlineStr">
        <is>
          <t xml:space="preserve">-</t>
        </is>
      </c>
      <c r="EY43" t="inlineStr">
        <is>
          <t xml:space="preserve">DEVA_DC_0903</t>
        </is>
      </c>
      <c r="EZ43" t="inlineStr">
        <is>
          <t xml:space="preserve">-</t>
        </is>
      </c>
      <c r="FB43" t="inlineStr">
        <is>
          <t xml:space="preserve">CYRILLIC_SM_IE</t>
        </is>
      </c>
      <c r="FC43" t="inlineStr">
        <is>
          <t xml:space="preserve">CYRILLIC_IE</t>
        </is>
      </c>
      <c r="FF43" t="inlineStr">
        <is>
          <t xml:space="preserve">-</t>
        </is>
      </c>
      <c r="FG43" t="inlineStr">
        <is>
          <t xml:space="preserve">_</t>
        </is>
      </c>
      <c r="FH43" t="inlineStr">
        <is>
          <t xml:space="preserve">-</t>
        </is>
      </c>
      <c r="FN43" t="inlineStr">
        <is>
          <t xml:space="preserve">'</t>
        </is>
      </c>
      <c r="FO43" t="inlineStr">
        <is>
          <t xml:space="preserve">?</t>
        </is>
      </c>
      <c r="FP43" t="inlineStr">
        <is>
          <t xml:space="preserve">'</t>
        </is>
      </c>
      <c r="FQ43" t="inlineStr">
        <is>
          <t xml:space="preserve">BACKSLASH</t>
        </is>
      </c>
      <c r="FR43" t="inlineStr">
        <is>
          <t xml:space="preserve">'</t>
        </is>
      </c>
      <c r="FS43" t="inlineStr">
        <is>
          <t xml:space="preserve">?</t>
        </is>
      </c>
      <c r="FT43" t="inlineStr">
        <is>
          <t xml:space="preserve">'</t>
        </is>
      </c>
      <c r="FU43" t="inlineStr">
        <is>
          <t xml:space="preserve">ACUTE_ACCENT</t>
        </is>
      </c>
      <c r="FV43" t="inlineStr">
        <is>
          <t xml:space="preserve">)</t>
        </is>
      </c>
      <c r="FW43" t="inlineStr">
        <is>
          <t xml:space="preserve">DEGREE</t>
        </is>
      </c>
      <c r="FX43" t="inlineStr">
        <is>
          <t xml:space="preserve">)</t>
        </is>
      </c>
      <c r="FY43" t="inlineStr">
        <is>
          <t xml:space="preserve">BACKSLASH</t>
        </is>
      </c>
      <c r="FZ43" t="inlineStr">
        <is>
          <t xml:space="preserve">-</t>
        </is>
      </c>
      <c r="GA43" t="inlineStr">
        <is>
          <t xml:space="preserve">_</t>
        </is>
      </c>
      <c r="GB43" t="inlineStr">
        <is>
          <t xml:space="preserve">-</t>
        </is>
      </c>
      <c r="GC43" t="inlineStr">
        <is>
          <t xml:space="preserve">HALF_SIGN</t>
        </is>
      </c>
      <c r="GD43" t="inlineStr">
        <is>
          <t xml:space="preserve">THAI_0E02</t>
        </is>
      </c>
      <c r="GE43" t="inlineStr">
        <is>
          <t xml:space="preserve">THAI_0E58</t>
        </is>
      </c>
      <c r="GF43" t="inlineStr">
        <is>
          <t xml:space="preserve">THAI_0E02</t>
        </is>
      </c>
      <c r="GH43" t="inlineStr">
        <is>
          <t xml:space="preserve">-</t>
        </is>
      </c>
      <c r="GI43" t="inlineStr">
        <is>
          <t xml:space="preserve">BENG_DC_0983</t>
        </is>
      </c>
      <c r="GJ43" t="inlineStr">
        <is>
          <t xml:space="preserve">-</t>
        </is>
      </c>
      <c r="GL43" t="inlineStr">
        <is>
          <t xml:space="preserve">-</t>
        </is>
      </c>
      <c r="GM43" t="inlineStr">
        <is>
          <t xml:space="preserve">TELU_DC_0C03</t>
        </is>
      </c>
      <c r="GN43" t="inlineStr">
        <is>
          <t xml:space="preserve">-</t>
        </is>
      </c>
      <c r="GP43" t="inlineStr">
        <is>
          <t xml:space="preserve">-</t>
        </is>
      </c>
      <c r="GQ43" t="inlineStr">
        <is>
          <t xml:space="preserve">TAML_DC_0B83</t>
        </is>
      </c>
      <c r="GR43" t="inlineStr">
        <is>
          <t xml:space="preserve">-</t>
        </is>
      </c>
      <c r="GT43" t="inlineStr">
        <is>
          <t xml:space="preserve">ZHUYIN_3126</t>
        </is>
      </c>
      <c r="GV43" t="inlineStr">
        <is>
          <t xml:space="preserve">ZHUYIN_3126</t>
        </is>
      </c>
      <c r="HB43" t="inlineStr">
        <is>
          <t xml:space="preserve">ARMENIAN_0567</t>
        </is>
      </c>
      <c r="HC43" t="inlineStr">
        <is>
          <t xml:space="preserve">ARMENIAN_0537</t>
        </is>
      </c>
      <c r="HN43" t="inlineStr">
        <is>
          <t xml:space="preserve">U"\f\f" UMLAUT_O_SMALL</t>
        </is>
      </c>
      <c r="HO43" t="inlineStr">
        <is>
          <t xml:space="preserve">UMLAUT_O</t>
        </is>
      </c>
      <c r="HV43" t="inlineStr">
        <is>
          <t xml:space="preserve">ICON_LEFT</t>
        </is>
      </c>
      <c r="HW43" t="inlineStr">
        <is>
          <t xml:space="preserve">LCORNER_BRKT</t>
        </is>
      </c>
      <c r="HX43" t="inlineStr">
        <is>
          <t xml:space="preserve">ICON_LEFT</t>
        </is>
      </c>
      <c r="KL43" t="inlineStr">
        <is>
          <t xml:space="preserve">-</t>
        </is>
      </c>
      <c r="KM43" t="inlineStr">
        <is>
          <t xml:space="preserve">ARABIC_TATWEEL</t>
        </is>
      </c>
      <c r="KN43" t="inlineStr">
        <is>
          <t xml:space="preserve">-</t>
        </is>
      </c>
      <c r="LA43" t="inlineStr">
        <is>
          <t xml:space="preserve">HALF_SIGN</t>
        </is>
      </c>
      <c r="LB43" t="inlineStr">
        <is>
          <t xml:space="preserve">'</t>
        </is>
      </c>
      <c r="LC43" t="inlineStr">
        <is>
          <t xml:space="preserve">?</t>
        </is>
      </c>
      <c r="LD43" t="inlineStr">
        <is>
          <t xml:space="preserve">'</t>
        </is>
      </c>
      <c r="LE43" t="inlineStr">
        <is>
          <t xml:space="preserve">BACKSLASH</t>
        </is>
      </c>
      <c r="LJ43" t="inlineStr">
        <is>
          <t xml:space="preserve">)</t>
        </is>
      </c>
      <c r="LK43" t="inlineStr">
        <is>
          <t xml:space="preserve">DEGREE</t>
        </is>
      </c>
      <c r="LM43" t="inlineStr">
        <is>
          <t xml:space="preserve">]</t>
        </is>
      </c>
      <c r="LN43" t="inlineStr">
        <is>
          <t xml:space="preserve">'</t>
        </is>
      </c>
      <c r="LO43" t="inlineStr">
        <is>
          <t xml:space="preserve">?</t>
        </is>
      </c>
      <c r="LP43" t="inlineStr">
        <is>
          <t xml:space="preserve">'</t>
        </is>
      </c>
      <c r="LQ43" t="inlineStr">
        <is>
          <t xml:space="preserve">BACKSLASH</t>
        </is>
      </c>
      <c r="LR43" t="inlineStr">
        <is>
          <t xml:space="preserve">'</t>
        </is>
      </c>
      <c r="LS43" t="inlineStr">
        <is>
          <t xml:space="preserve">?</t>
        </is>
      </c>
      <c r="LT43" t="inlineStr">
        <is>
          <t xml:space="preserve">'</t>
        </is>
      </c>
      <c r="LU43" t="inlineStr">
        <is>
          <t xml:space="preserve">BACKSLASH</t>
        </is>
      </c>
      <c r="LV43" t="inlineStr">
        <is>
          <t xml:space="preserve">'</t>
        </is>
      </c>
      <c r="LW43" t="inlineStr">
        <is>
          <t xml:space="preserve">?</t>
        </is>
      </c>
      <c r="LX43" t="inlineStr">
        <is>
          <t xml:space="preserve">'</t>
        </is>
      </c>
      <c r="LY43" t="inlineStr">
        <is>
          <t xml:space="preserve">BACKSLASH</t>
        </is>
      </c>
      <c r="LZ43" t="inlineStr">
        <is>
          <t xml:space="preserve">'</t>
        </is>
      </c>
      <c r="MA43" t="inlineStr">
        <is>
          <t xml:space="preserve">?</t>
        </is>
      </c>
      <c r="MB43" t="inlineStr">
        <is>
          <t xml:space="preserve">'</t>
        </is>
      </c>
      <c r="MC43" t="inlineStr">
        <is>
          <t xml:space="preserve">BACKSLASH</t>
        </is>
      </c>
      <c r="MD43" t="inlineStr">
        <is>
          <t xml:space="preserve">'</t>
        </is>
      </c>
      <c r="ME43" t="inlineStr">
        <is>
          <t xml:space="preserve">?</t>
        </is>
      </c>
      <c r="MF43" t="inlineStr">
        <is>
          <t xml:space="preserve">'</t>
        </is>
      </c>
      <c r="MG43" t="inlineStr">
        <is>
          <t xml:space="preserve">BACKSLASH</t>
        </is>
      </c>
      <c r="MH43" t="inlineStr">
        <is>
          <t xml:space="preserve">'</t>
        </is>
      </c>
      <c r="MI43" t="inlineStr">
        <is>
          <t xml:space="preserve">?</t>
        </is>
      </c>
      <c r="MJ43" t="inlineStr">
        <is>
          <t xml:space="preserve">'</t>
        </is>
      </c>
      <c r="MK43" t="inlineStr">
        <is>
          <t xml:space="preserve">BACKSLASH</t>
        </is>
      </c>
      <c r="ML43" t="inlineStr">
        <is>
          <t xml:space="preserve">'</t>
        </is>
      </c>
      <c r="MM43" t="inlineStr">
        <is>
          <t xml:space="preserve">?</t>
        </is>
      </c>
      <c r="MN43" t="inlineStr">
        <is>
          <t xml:space="preserve">'</t>
        </is>
      </c>
      <c r="MO43" t="inlineStr">
        <is>
          <t xml:space="preserve">BACKSLASH</t>
        </is>
      </c>
      <c r="MP43" t="inlineStr">
        <is>
          <t xml:space="preserve">'</t>
        </is>
      </c>
      <c r="MQ43" t="inlineStr">
        <is>
          <t xml:space="preserve">?</t>
        </is>
      </c>
      <c r="MR43" t="inlineStr">
        <is>
          <t xml:space="preserve">'</t>
        </is>
      </c>
      <c r="MS43" t="inlineStr">
        <is>
          <t xml:space="preserve">BACKSLASH</t>
        </is>
      </c>
      <c r="MT43" t="inlineStr">
        <is>
          <t xml:space="preserve">'</t>
        </is>
      </c>
      <c r="MU43" t="inlineStr">
        <is>
          <t xml:space="preserve">?</t>
        </is>
      </c>
      <c r="MV43" t="inlineStr">
        <is>
          <t xml:space="preserve">'</t>
        </is>
      </c>
      <c r="MW43" t="inlineStr">
        <is>
          <t xml:space="preserve">BACKSLASH</t>
        </is>
      </c>
      <c r="MX43" t="inlineStr">
        <is>
          <t xml:space="preserve">'</t>
        </is>
      </c>
      <c r="MY43" t="inlineStr">
        <is>
          <t xml:space="preserve">?</t>
        </is>
      </c>
      <c r="MZ43" t="inlineStr">
        <is>
          <t xml:space="preserve">'</t>
        </is>
      </c>
      <c r="NA43" t="inlineStr">
        <is>
          <t xml:space="preserve">BACKSLASH</t>
        </is>
      </c>
      <c r="NB43" t="inlineStr">
        <is>
          <t xml:space="preserve">'</t>
        </is>
      </c>
      <c r="NC43" t="inlineStr">
        <is>
          <t xml:space="preserve">?</t>
        </is>
      </c>
      <c r="ND43" t="inlineStr">
        <is>
          <t xml:space="preserve">'</t>
        </is>
      </c>
      <c r="NE43" t="inlineStr">
        <is>
          <t xml:space="preserve">BACKSLASH</t>
        </is>
      </c>
      <c r="NF43" t="inlineStr">
        <is>
          <t xml:space="preserve">'</t>
        </is>
      </c>
      <c r="NG43" t="inlineStr">
        <is>
          <t xml:space="preserve">?</t>
        </is>
      </c>
      <c r="NH43" t="inlineStr">
        <is>
          <t xml:space="preserve">'</t>
        </is>
      </c>
      <c r="NI43" t="inlineStr">
        <is>
          <t xml:space="preserve">BACKSLASH</t>
        </is>
      </c>
      <c r="NJ43" t="inlineStr">
        <is>
          <t xml:space="preserve">'</t>
        </is>
      </c>
      <c r="NK43" t="inlineStr">
        <is>
          <t xml:space="preserve">?</t>
        </is>
      </c>
      <c r="NL43" t="inlineStr">
        <is>
          <t xml:space="preserve">'</t>
        </is>
      </c>
      <c r="NM43" t="inlineStr">
        <is>
          <t xml:space="preserve">BACKSLASH</t>
        </is>
      </c>
      <c r="NN43" t="inlineStr">
        <is>
          <t xml:space="preserve">'</t>
        </is>
      </c>
      <c r="NO43" t="inlineStr">
        <is>
          <t xml:space="preserve">?</t>
        </is>
      </c>
      <c r="NP43" t="inlineStr">
        <is>
          <t xml:space="preserve">'</t>
        </is>
      </c>
      <c r="NQ43" t="inlineStr">
        <is>
          <t xml:space="preserve">BACKSLASH</t>
        </is>
      </c>
      <c r="NR43" t="inlineStr">
        <is>
          <t xml:space="preserve">'</t>
        </is>
      </c>
      <c r="NS43" t="inlineStr">
        <is>
          <t xml:space="preserve">?</t>
        </is>
      </c>
      <c r="NT43" t="inlineStr">
        <is>
          <t xml:space="preserve">'</t>
        </is>
      </c>
      <c r="NU43" t="inlineStr">
        <is>
          <t xml:space="preserve">BACKSLASH</t>
        </is>
      </c>
      <c r="NV43" t="inlineStr">
        <is>
          <t xml:space="preserve">U"\f\f" ESZETT</t>
        </is>
      </c>
      <c r="NW43" t="inlineStr">
        <is>
          <t xml:space="preserve">?</t>
        </is>
      </c>
      <c r="NX43" t="inlineStr">
        <is>
          <t xml:space="preserve">ESZETT</t>
        </is>
      </c>
      <c r="NY43" t="inlineStr">
        <is>
          <t xml:space="preserve">BACKSLASH</t>
        </is>
      </c>
      <c r="NZ43" t="inlineStr">
        <is>
          <t xml:space="preserve">)</t>
        </is>
      </c>
      <c r="OA43" t="inlineStr">
        <is>
          <t xml:space="preserve">DEGREE</t>
        </is>
      </c>
      <c r="OB43" t="inlineStr">
        <is>
          <t xml:space="preserve">)</t>
        </is>
      </c>
      <c r="OC43" t="inlineStr">
        <is>
          <t xml:space="preserve">BACKSLASH</t>
        </is>
      </c>
      <c r="OD43" t="inlineStr">
        <is>
          <t xml:space="preserve">'</t>
        </is>
      </c>
      <c r="OE43" t="inlineStr">
        <is>
          <t xml:space="preserve">?</t>
        </is>
      </c>
      <c r="OF43" t="inlineStr">
        <is>
          <t xml:space="preserve">'</t>
        </is>
      </c>
      <c r="OL43" t="inlineStr">
        <is>
          <t xml:space="preserve">'</t>
        </is>
      </c>
      <c r="OM43" t="inlineStr">
        <is>
          <t xml:space="preserve">?</t>
        </is>
      </c>
      <c r="ON43" t="inlineStr">
        <is>
          <t xml:space="preserve">'</t>
        </is>
      </c>
      <c r="OO43" t="inlineStr">
        <is>
          <t xml:space="preserve">DIAERESIS</t>
        </is>
      </c>
      <c r="OP43" t="inlineStr">
        <is>
          <t xml:space="preserve">'</t>
        </is>
      </c>
      <c r="OQ43" t="inlineStr">
        <is>
          <t xml:space="preserve">?</t>
        </is>
      </c>
      <c r="OR43" t="inlineStr">
        <is>
          <t xml:space="preserve">'</t>
        </is>
      </c>
      <c r="OS43" t="inlineStr">
        <is>
          <t xml:space="preserve">ACUTE_ACCENT</t>
        </is>
      </c>
      <c r="OT43" t="inlineStr">
        <is>
          <t xml:space="preserve">'</t>
        </is>
      </c>
      <c r="OU43" t="inlineStr">
        <is>
          <t xml:space="preserve">?</t>
        </is>
      </c>
      <c r="OV43" t="inlineStr">
        <is>
          <t xml:space="preserve">'</t>
        </is>
      </c>
      <c r="OW43" t="inlineStr">
        <is>
          <t xml:space="preserve">DIAERESIS</t>
        </is>
      </c>
      <c r="OX43" t="inlineStr">
        <is>
          <t xml:space="preserve">+</t>
        </is>
      </c>
      <c r="OY43" t="inlineStr">
        <is>
          <t xml:space="preserve">?</t>
        </is>
      </c>
      <c r="OZ43" t="inlineStr">
        <is>
          <t xml:space="preserve">+</t>
        </is>
      </c>
      <c r="RF43" t="inlineStr">
        <is>
          <t xml:space="preserve">)</t>
        </is>
      </c>
      <c r="RG43" t="inlineStr">
        <is>
          <t xml:space="preserve">DEGREE</t>
        </is>
      </c>
      <c r="RI43" t="inlineStr">
        <is>
          <t xml:space="preserve">]</t>
        </is>
      </c>
      <c r="RJ43" t="inlineStr">
        <is>
          <t xml:space="preserve">)</t>
        </is>
      </c>
      <c r="RK43" t="inlineStr">
        <is>
          <t xml:space="preserve">DEGREE</t>
        </is>
      </c>
      <c r="RM43" t="inlineStr">
        <is>
          <t xml:space="preserve">]</t>
        </is>
      </c>
      <c r="RN43" t="inlineStr">
        <is>
          <t xml:space="preserve">)</t>
        </is>
      </c>
      <c r="RO43" t="inlineStr">
        <is>
          <t xml:space="preserve">DEGREE</t>
        </is>
      </c>
      <c r="RQ43" t="inlineStr">
        <is>
          <t xml:space="preserve">]</t>
        </is>
      </c>
      <c r="RR43" t="inlineStr">
        <is>
          <t xml:space="preserve">)</t>
        </is>
      </c>
      <c r="RS43" t="inlineStr">
        <is>
          <t xml:space="preserve">DEGREE</t>
        </is>
      </c>
      <c r="RU43" t="inlineStr">
        <is>
          <t xml:space="preserve">]</t>
        </is>
      </c>
      <c r="RV43" t="inlineStr">
        <is>
          <t xml:space="preserve">)</t>
        </is>
      </c>
      <c r="RW43" t="inlineStr">
        <is>
          <t xml:space="preserve">DEGREE</t>
        </is>
      </c>
      <c r="RY43" t="inlineStr">
        <is>
          <t xml:space="preserve">]</t>
        </is>
      </c>
      <c r="SP43" t="inlineStr">
        <is>
          <t xml:space="preserve">'</t>
        </is>
      </c>
      <c r="SQ43" t="inlineStr">
        <is>
          <t xml:space="preserve">?</t>
        </is>
      </c>
      <c r="SR43" t="inlineStr">
        <is>
          <t xml:space="preserve">'</t>
        </is>
      </c>
      <c r="ST43" t="inlineStr">
        <is>
          <t xml:space="preserve">'</t>
        </is>
      </c>
      <c r="SU43" t="inlineStr">
        <is>
          <t xml:space="preserve">?</t>
        </is>
      </c>
      <c r="SV43" t="inlineStr">
        <is>
          <t xml:space="preserve">'</t>
        </is>
      </c>
      <c r="SX43" t="inlineStr">
        <is>
          <t xml:space="preserve">-</t>
        </is>
      </c>
      <c r="SY43" t="inlineStr">
        <is>
          <t xml:space="preserve">BENG_DC_0983</t>
        </is>
      </c>
      <c r="SZ43" t="inlineStr">
        <is>
          <t xml:space="preserve">-</t>
        </is>
      </c>
      <c r="UT43" t="inlineStr">
        <is>
          <t xml:space="preserve">)</t>
        </is>
      </c>
      <c r="UU43" t="inlineStr">
        <is>
          <t xml:space="preserve">DEGREE</t>
        </is>
      </c>
      <c r="UW43" t="inlineStr">
        <is>
          <t xml:space="preserve">]</t>
        </is>
      </c>
      <c r="VB43" t="inlineStr">
        <is>
          <t xml:space="preserve">'</t>
        </is>
      </c>
      <c r="VC43" t="inlineStr">
        <is>
          <t xml:space="preserve">?</t>
        </is>
      </c>
      <c r="VD43" t="inlineStr">
        <is>
          <t xml:space="preserve">'</t>
        </is>
      </c>
      <c r="VF43" t="inlineStr">
        <is>
          <t xml:space="preserve">'</t>
        </is>
      </c>
      <c r="VG43" t="inlineStr">
        <is>
          <t xml:space="preserve">?</t>
        </is>
      </c>
      <c r="VH43" t="inlineStr">
        <is>
          <t xml:space="preserve">'</t>
        </is>
      </c>
      <c r="VJ43" t="inlineStr">
        <is>
          <t xml:space="preserve">'</t>
        </is>
      </c>
      <c r="VK43" t="inlineStr">
        <is>
          <t xml:space="preserve">?</t>
        </is>
      </c>
      <c r="VL43" t="inlineStr">
        <is>
          <t xml:space="preserve">'</t>
        </is>
      </c>
      <c r="VM43" t="inlineStr">
        <is>
          <t xml:space="preserve">ACUTE_ACCENT</t>
        </is>
      </c>
      <c r="VZ43" t="inlineStr">
        <is>
          <t xml:space="preserve">'</t>
        </is>
      </c>
      <c r="WA43" t="inlineStr">
        <is>
          <t xml:space="preserve">?</t>
        </is>
      </c>
      <c r="WB43" t="inlineStr">
        <is>
          <t xml:space="preserve">'</t>
        </is>
      </c>
      <c r="WC43" t="inlineStr">
        <is>
          <t xml:space="preserve">ACUTE_ACCENT</t>
        </is>
      </c>
      <c r="WH43" t="inlineStr">
        <is>
          <t xml:space="preserve">'</t>
        </is>
      </c>
      <c r="WI43" t="inlineStr">
        <is>
          <t xml:space="preserve">?</t>
        </is>
      </c>
      <c r="WJ43" t="inlineStr">
        <is>
          <t xml:space="preserve">'</t>
        </is>
      </c>
      <c r="WK43" t="inlineStr">
        <is>
          <t xml:space="preserve">BACKSLASH</t>
        </is>
      </c>
      <c r="WL43" t="inlineStr">
        <is>
          <t xml:space="preserve">'</t>
        </is>
      </c>
      <c r="WM43" t="inlineStr">
        <is>
          <t xml:space="preserve">?</t>
        </is>
      </c>
      <c r="WN43" t="inlineStr">
        <is>
          <t xml:space="preserve">'</t>
        </is>
      </c>
      <c r="WO43" t="inlineStr">
        <is>
          <t xml:space="preserve">BACKSLASH</t>
        </is>
      </c>
      <c r="WP43" t="inlineStr">
        <is>
          <t xml:space="preserve">'</t>
        </is>
      </c>
      <c r="WQ43" t="inlineStr">
        <is>
          <t xml:space="preserve">?</t>
        </is>
      </c>
      <c r="WR43" t="inlineStr">
        <is>
          <t xml:space="preserve">'</t>
        </is>
      </c>
      <c r="WS43" t="inlineStr">
        <is>
          <t xml:space="preserve">BACKSLASH</t>
        </is>
      </c>
      <c r="WX43" t="inlineStr">
        <is>
          <t xml:space="preserve">'</t>
        </is>
      </c>
      <c r="WY43" t="inlineStr">
        <is>
          <t xml:space="preserve">?</t>
        </is>
      </c>
      <c r="WZ43" t="inlineStr">
        <is>
          <t xml:space="preserve">'</t>
        </is>
      </c>
      <c r="XA43" t="inlineStr">
        <is>
          <t xml:space="preserve">BACKSLASH</t>
        </is>
      </c>
      <c r="XB43" t="inlineStr">
        <is>
          <t xml:space="preserve">-</t>
        </is>
      </c>
      <c r="XC43" t="inlineStr">
        <is>
          <t xml:space="preserve">U"\b\b\b\b\b\b" ARABIC_TATWEEL</t>
        </is>
      </c>
      <c r="XD43" t="inlineStr">
        <is>
          <t xml:space="preserve">-</t>
        </is>
      </c>
      <c r="XE43" t="inlineStr">
        <is>
          <t xml:space="preserve">_</t>
        </is>
      </c>
      <c r="XF43" t="inlineStr">
        <is>
          <t xml:space="preserve">-</t>
        </is>
      </c>
      <c r="XG43" t="inlineStr">
        <is>
          <t xml:space="preserve">_</t>
        </is>
      </c>
      <c r="XH43" t="inlineStr">
        <is>
          <t xml:space="preserve">-</t>
        </is>
      </c>
      <c r="XN43" t="inlineStr">
        <is>
          <t xml:space="preserve">CHEROKEE_13BF</t>
        </is>
      </c>
      <c r="XO43" t="inlineStr">
        <is>
          <t xml:space="preserve">CHEROKEE_13BC</t>
        </is>
      </c>
      <c r="XP43" t="inlineStr">
        <is>
          <t xml:space="preserve">CHEROKEE_13BF</t>
        </is>
      </c>
      <c r="XQ43" t="inlineStr">
        <is>
          <t xml:space="preserve">-</t>
        </is>
      </c>
    </row>
    <row r="44" s="116" customFormat="true" ht="15" hidden="false" customHeight="false" outlineLevel="0" collapsed="false">
      <c r="A44" s="93" t="s">
        <v>1292</v>
      </c>
      <c r="B44" s="94" t="s">
        <v>14</v>
      </c>
      <c r="C44" s="94" t="s">
        <v>1237</v>
      </c>
      <c r="D44" s="94" t="s">
        <v>14</v>
      </c>
      <c r="E44" s="94"/>
      <c r="F44" s="95" t="s">
        <v>18</v>
      </c>
      <c r="G44" s="95" t="s">
        <v>80</v>
      </c>
      <c r="H44" s="95" t="s">
        <v>18</v>
      </c>
      <c r="I44" s="95"/>
      <c r="J44" s="96" t="s">
        <v>14</v>
      </c>
      <c r="K44" s="96" t="s">
        <v>1237</v>
      </c>
      <c r="L44" s="96"/>
      <c r="M44" s="96" t="s">
        <v>1185</v>
      </c>
      <c r="N44" t="inlineStr">
        <is>
          <t xml:space="preserve">U"\f\f\f" INVERTED_EMARK</t>
        </is>
      </c>
      <c r="O44" t="inlineStr">
        <is>
          <t xml:space="preserve">U"\f\f\f" INVERTED_QMARK</t>
        </is>
      </c>
      <c r="P44" s="97" t="s">
        <v>45</v>
      </c>
      <c r="Q44" s="97"/>
      <c r="R44" s="138" t="s">
        <v>66</v>
      </c>
      <c r="S44" s="138" t="s">
        <v>94</v>
      </c>
      <c r="T44" s="138" t="s">
        <v>66</v>
      </c>
      <c r="U44" s="138"/>
      <c r="V44" t="inlineStr">
        <is>
          <t xml:space="preserve">U"\f\f" I_WITH_GRAVE_SMALL</t>
        </is>
      </c>
      <c r="W44" t="inlineStr">
        <is>
          <t xml:space="preserve">U"\f\f" I_WITH_ACUTE_SMALL</t>
        </is>
      </c>
      <c r="X44" s="139" t="s">
        <v>114</v>
      </c>
      <c r="Y44" s="99" t="s">
        <v>153</v>
      </c>
      <c r="Z44" s="130" t="s">
        <v>1262</v>
      </c>
      <c r="AA44" s="130" t="s">
        <v>1269</v>
      </c>
      <c r="AB44" s="130" t="s">
        <v>1262</v>
      </c>
      <c r="AC44" s="100" t="s">
        <v>1224</v>
      </c>
      <c r="AD44" s="101"/>
      <c r="AE44" s="101"/>
      <c r="AF44" s="101"/>
      <c r="AG44" s="101"/>
      <c r="AH44" t="inlineStr">
        <is>
          <t xml:space="preserve">^</t>
        </is>
      </c>
      <c r="AI44" t="inlineStr">
        <is>
          <t xml:space="preserve">~</t>
        </is>
      </c>
      <c r="AJ44" t="inlineStr">
        <is>
          <t xml:space="preserve">^</t>
        </is>
      </c>
      <c r="AK44" t="inlineStr">
        <is>
          <t xml:space="preserve">HIRAGANA_HE</t>
        </is>
      </c>
      <c r="AL44" s="103"/>
      <c r="AM44" s="103"/>
      <c r="AN44" s="103"/>
      <c r="AO44" s="103"/>
      <c r="AP44" s="104" t="s">
        <v>14</v>
      </c>
      <c r="AQ44" s="104" t="s">
        <v>1237</v>
      </c>
      <c r="AR44" s="104" t="s">
        <v>14</v>
      </c>
      <c r="AS44" s="118" t="s">
        <v>98</v>
      </c>
      <c r="AT44" s="105" t="s">
        <v>14</v>
      </c>
      <c r="AU44" s="105" t="s">
        <v>1237</v>
      </c>
      <c r="AV44" s="105" t="s">
        <v>14</v>
      </c>
      <c r="AW44" s="105"/>
      <c r="AX44" s="106" t="s">
        <v>14</v>
      </c>
      <c r="AY44" s="106" t="s">
        <v>1237</v>
      </c>
      <c r="AZ44" s="106" t="s">
        <v>14</v>
      </c>
      <c r="BA44" s="106"/>
      <c r="BB44" s="107" t="s">
        <v>14</v>
      </c>
      <c r="BC44" s="107" t="s">
        <v>1237</v>
      </c>
      <c r="BD44" s="107" t="s">
        <v>14</v>
      </c>
      <c r="BE44" s="107"/>
      <c r="BF44" t="inlineStr">
        <is>
          <t xml:space="preserve">U"\f\f" CYRILLIC_SM_SHHA</t>
        </is>
      </c>
      <c r="BG44" t="inlineStr">
        <is>
          <t xml:space="preserve">CYRILLIC_SHHA</t>
        </is>
      </c>
      <c r="BH44" s="108"/>
      <c r="BI44" s="108"/>
      <c r="BJ44" s="109" t="s">
        <v>1267</v>
      </c>
      <c r="BK44" s="109" t="s">
        <v>682</v>
      </c>
      <c r="BL44" s="109" t="s">
        <v>1267</v>
      </c>
      <c r="BM44" s="109"/>
      <c r="BN44" s="95" t="s">
        <v>1222</v>
      </c>
      <c r="BO44" s="95" t="s">
        <v>1272</v>
      </c>
      <c r="BP44" s="95" t="s">
        <v>1222</v>
      </c>
      <c r="BQ44" t="inlineStr">
        <is>
          <t xml:space="preserve">U"\f\f\f\f" CEDILLA</t>
        </is>
      </c>
      <c r="BR44" s="110" t="s">
        <v>1293</v>
      </c>
      <c r="BS44" t="inlineStr">
        <is>
          <t xml:space="preserve">U"\x06\x06+"</t>
        </is>
      </c>
      <c r="BT44" s="110" t="s">
        <v>1293</v>
      </c>
      <c r="BU44" t="inlineStr">
        <is>
          <t xml:space="preserve">\xb8\xb1</t>
        </is>
      </c>
      <c r="BZ44" s="125" t="s">
        <v>72</v>
      </c>
      <c r="CA44" s="111" t="s">
        <v>1234</v>
      </c>
      <c r="CB44" s="125" t="s">
        <v>72</v>
      </c>
      <c r="CC44" t="inlineStr">
        <is>
          <t xml:space="preserve">U"\f\f\f" CEDILLA</t>
        </is>
      </c>
      <c r="CD44" s="95" t="s">
        <v>14</v>
      </c>
      <c r="CE44" s="95" t="s">
        <v>1237</v>
      </c>
      <c r="CF44" s="95" t="s">
        <v>14</v>
      </c>
      <c r="CG44" s="128" t="s">
        <v>461</v>
      </c>
      <c r="CH44" s="112" t="s">
        <v>18</v>
      </c>
      <c r="CI44" s="112" t="s">
        <v>80</v>
      </c>
      <c r="CJ44" s="112" t="s">
        <v>18</v>
      </c>
      <c r="CK44" s="112"/>
      <c r="CL44" s="113" t="s">
        <v>18</v>
      </c>
      <c r="CM44" s="113" t="s">
        <v>80</v>
      </c>
      <c r="CN44" s="113" t="s">
        <v>18</v>
      </c>
      <c r="CO44" s="113"/>
      <c r="CP44" s="84" t="s">
        <v>16</v>
      </c>
      <c r="CQ44" s="84" t="s">
        <v>18</v>
      </c>
      <c r="CR44" s="84" t="s">
        <v>16</v>
      </c>
      <c r="CS44" s="84" t="s">
        <v>80</v>
      </c>
      <c r="CT44" s="110" t="s">
        <v>80</v>
      </c>
      <c r="CU44" s="110" t="s">
        <v>18</v>
      </c>
      <c r="CV44" s="110" t="s">
        <v>80</v>
      </c>
      <c r="CW44" s="110" t="s">
        <v>1224</v>
      </c>
      <c r="CX44" t="inlineStr">
        <is>
          <t xml:space="preserve">U"\f\f" O_WITH_ACUTE_SMALL</t>
        </is>
      </c>
      <c r="CY44" t="inlineStr">
        <is>
          <t xml:space="preserve">O_WITH_ACUTE</t>
        </is>
      </c>
      <c r="CZ44" s="126" t="s">
        <v>159</v>
      </c>
      <c r="DA44" t="inlineStr">
        <is>
          <t xml:space="preserve">U"\f\f\f\f" CEDILLA</t>
        </is>
      </c>
      <c r="DB44" s="127" t="s">
        <v>14</v>
      </c>
      <c r="DC44" s="127" t="s">
        <v>1256</v>
      </c>
      <c r="DD44" s="127" t="s">
        <v>14</v>
      </c>
      <c r="DE44" t="inlineStr">
        <is>
          <t xml:space="preserve">U"\f\f\f\f" CEDILLA</t>
        </is>
      </c>
      <c r="DF44" t="inlineStr">
        <is>
          <t xml:space="preserve">+</t>
        </is>
      </c>
      <c r="DG44" t="inlineStr">
        <is>
          <t xml:space="preserve">*</t>
        </is>
      </c>
      <c r="DH44" t="inlineStr">
        <is>
          <t xml:space="preserve">+</t>
        </is>
      </c>
      <c r="DI44" t="inlineStr">
        <is>
          <t xml:space="preserve">CEDILLA</t>
        </is>
      </c>
      <c r="DJ44" t="inlineStr">
        <is>
          <t xml:space="preserve">ACUTE_ACCENT</t>
        </is>
      </c>
      <c r="DK44" t="inlineStr">
        <is>
          <t xml:space="preserve">MOD_CARON</t>
        </is>
      </c>
      <c r="DL44" t="inlineStr">
        <is>
          <t xml:space="preserve">ACUTE_ACCENT</t>
        </is>
      </c>
      <c r="DN44" t="inlineStr">
        <is>
          <t xml:space="preserve">U"\f\f" LATIN_017E</t>
        </is>
      </c>
      <c r="DO44" t="inlineStr">
        <is>
          <t xml:space="preserve">LATIN_017D</t>
        </is>
      </c>
      <c r="DV44" t="inlineStr">
        <is>
          <t xml:space="preserve">ACUTE_ACCENT</t>
        </is>
      </c>
      <c r="DW44" t="inlineStr">
        <is>
          <t xml:space="preserve">`</t>
        </is>
      </c>
      <c r="DX44" t="inlineStr">
        <is>
          <t xml:space="preserve">ACUTE_ACCENT</t>
        </is>
      </c>
      <c r="EC44" t="inlineStr">
        <is>
          <t xml:space="preserve">U"\f\f\f" SECTION</t>
        </is>
      </c>
      <c r="ED44" t="inlineStr">
        <is>
          <t xml:space="preserve">+</t>
        </is>
      </c>
      <c r="EE44" t="inlineStr">
        <is>
          <t xml:space="preserve">*</t>
        </is>
      </c>
      <c r="EF44" t="inlineStr">
        <is>
          <t xml:space="preserve">+</t>
        </is>
      </c>
      <c r="EH44" t="inlineStr">
        <is>
          <t xml:space="preserve">+</t>
        </is>
      </c>
      <c r="EI44" t="inlineStr">
        <is>
          <t xml:space="preserve">*</t>
        </is>
      </c>
      <c r="EJ44" t="inlineStr">
        <is>
          <t xml:space="preserve">+</t>
        </is>
      </c>
      <c r="EP44" t="inlineStr">
        <is>
          <t xml:space="preserve">DEVA_DC_0943</t>
        </is>
      </c>
      <c r="EQ44" t="inlineStr">
        <is>
          <t xml:space="preserve">DEVANAGARI_090B</t>
        </is>
      </c>
      <c r="ER44" t="inlineStr">
        <is>
          <t xml:space="preserve">DEVA_DC_0943</t>
        </is>
      </c>
      <c r="ET44" t="inlineStr">
        <is>
          <t xml:space="preserve">DEVA_DC_0943</t>
        </is>
      </c>
      <c r="EU44" t="inlineStr">
        <is>
          <t xml:space="preserve">DEVANAGARI_090B</t>
        </is>
      </c>
      <c r="EV44" t="inlineStr">
        <is>
          <t xml:space="preserve">DEVA_DC_0943</t>
        </is>
      </c>
      <c r="EX44" t="inlineStr">
        <is>
          <t xml:space="preserve">DEVA_DC_0943</t>
        </is>
      </c>
      <c r="EY44" t="inlineStr">
        <is>
          <t xml:space="preserve">DEVANAGARI_090B</t>
        </is>
      </c>
      <c r="EZ44" t="inlineStr">
        <is>
          <t xml:space="preserve">DEVA_DC_0943</t>
        </is>
      </c>
      <c r="FB44" t="inlineStr">
        <is>
          <t xml:space="preserve">CYRILLIC_SM_SHCHA</t>
        </is>
      </c>
      <c r="FC44" t="inlineStr">
        <is>
          <t xml:space="preserve">CYRILLIC_SHCHA</t>
        </is>
      </c>
      <c r="FF44" t="inlineStr">
        <is>
          <t xml:space="preserve">=</t>
        </is>
      </c>
      <c r="FG44" t="inlineStr">
        <is>
          <t xml:space="preserve">+</t>
        </is>
      </c>
      <c r="FH44" t="inlineStr">
        <is>
          <t xml:space="preserve">=</t>
        </is>
      </c>
      <c r="FN44" t="inlineStr">
        <is>
          <t xml:space="preserve">INVERTED_QMARK</t>
        </is>
      </c>
      <c r="FO44" t="inlineStr">
        <is>
          <t xml:space="preserve">INVERTED_EMARK</t>
        </is>
      </c>
      <c r="FP44" t="inlineStr">
        <is>
          <t xml:space="preserve">INVERTED_QMARK</t>
        </is>
      </c>
      <c r="FR44" t="inlineStr">
        <is>
          <t xml:space="preserve">^</t>
        </is>
      </c>
      <c r="FS44" t="inlineStr">
        <is>
          <t xml:space="preserve">GRAVE_ACCENT</t>
        </is>
      </c>
      <c r="FT44" t="inlineStr">
        <is>
          <t xml:space="preserve">^</t>
        </is>
      </c>
      <c r="FU44" t="inlineStr">
        <is>
          <t xml:space="preserve">~</t>
        </is>
      </c>
      <c r="FV44" t="inlineStr">
        <is>
          <t xml:space="preserve">-</t>
        </is>
      </c>
      <c r="FW44" t="inlineStr">
        <is>
          <t xml:space="preserve">_</t>
        </is>
      </c>
      <c r="FX44" t="inlineStr">
        <is>
          <t xml:space="preserve">-</t>
        </is>
      </c>
      <c r="FZ44" t="inlineStr">
        <is>
          <t xml:space="preserve">EQUALS</t>
        </is>
      </c>
      <c r="GA44" t="inlineStr">
        <is>
          <t xml:space="preserve">+</t>
        </is>
      </c>
      <c r="GB44" t="inlineStr">
        <is>
          <t xml:space="preserve">EQUALS</t>
        </is>
      </c>
      <c r="GC44" t="inlineStr">
        <is>
          <t xml:space="preserve">THREE_QUATER_SIGN</t>
        </is>
      </c>
      <c r="GD44" t="inlineStr">
        <is>
          <t xml:space="preserve">THAI_0E0A</t>
        </is>
      </c>
      <c r="GE44" t="inlineStr">
        <is>
          <t xml:space="preserve">THAI_0E59</t>
        </is>
      </c>
      <c r="GF44" t="inlineStr">
        <is>
          <t xml:space="preserve">THAI_0E0A</t>
        </is>
      </c>
      <c r="GH44" t="inlineStr">
        <is>
          <t xml:space="preserve">BENG_DC_09C3</t>
        </is>
      </c>
      <c r="GI44" t="inlineStr">
        <is>
          <t xml:space="preserve">BENGALI_098B</t>
        </is>
      </c>
      <c r="GJ44" t="inlineStr">
        <is>
          <t xml:space="preserve">BENG_DC_09C3</t>
        </is>
      </c>
      <c r="GL44" t="inlineStr">
        <is>
          <t xml:space="preserve">U"\b" TELU_DC_0C43</t>
        </is>
      </c>
      <c r="GM44" t="inlineStr">
        <is>
          <t xml:space="preserve">U"\f\f" TELUGU_0C0B</t>
        </is>
      </c>
      <c r="GN44" t="inlineStr">
        <is>
          <t xml:space="preserve">TELU_DC_0C43</t>
        </is>
      </c>
      <c r="HB44" t="inlineStr">
        <is>
          <t xml:space="preserve">ARMENIAN_0572</t>
        </is>
      </c>
      <c r="HC44" t="inlineStr">
        <is>
          <t xml:space="preserve">ARMENIAN_0542</t>
        </is>
      </c>
      <c r="HN44" t="inlineStr">
        <is>
          <t xml:space="preserve">-</t>
        </is>
      </c>
      <c r="HO44" t="inlineStr">
        <is>
          <t xml:space="preserve">_</t>
        </is>
      </c>
      <c r="HP44" t="inlineStr">
        <is>
          <t xml:space="preserve">-</t>
        </is>
      </c>
      <c r="HR44" t="inlineStr">
        <is>
          <t xml:space="preserve">DONG_SIGN</t>
        </is>
      </c>
      <c r="HS44" t="inlineStr">
        <is>
          <t xml:space="preserve">+</t>
        </is>
      </c>
      <c r="HT44" t="inlineStr">
        <is>
          <t xml:space="preserve">DONG_SIGN</t>
        </is>
      </c>
      <c r="HV44" t="inlineStr">
        <is>
          <t xml:space="preserve">ICON_RIGHT</t>
        </is>
      </c>
      <c r="HW44" t="inlineStr">
        <is>
          <t xml:space="preserve">RCORNER_BRKT</t>
        </is>
      </c>
      <c r="HX44" t="inlineStr">
        <is>
          <t xml:space="preserve">ICON_RIGHT</t>
        </is>
      </c>
      <c r="LA44" t="inlineStr">
        <is>
          <t xml:space="preserve">NOT_SIGN</t>
        </is>
      </c>
      <c r="LB44" t="inlineStr">
        <is>
          <t xml:space="preserve">INVERTED_QMARK</t>
        </is>
      </c>
      <c r="LC44" t="inlineStr">
        <is>
          <t xml:space="preserve">INVERTED_EMARK</t>
        </is>
      </c>
      <c r="LD44" t="inlineStr">
        <is>
          <t xml:space="preserve">INVERTED_QMARK</t>
        </is>
      </c>
      <c r="LJ44" t="inlineStr">
        <is>
          <t xml:space="preserve">EQUALS</t>
        </is>
      </c>
      <c r="LK44" t="inlineStr">
        <is>
          <t xml:space="preserve">+</t>
        </is>
      </c>
      <c r="LM44" t="inlineStr">
        <is>
          <t xml:space="preserve">}</t>
        </is>
      </c>
      <c r="LN44" t="inlineStr">
        <is>
          <t xml:space="preserve">INVERTED_QMARK</t>
        </is>
      </c>
      <c r="LO44" t="inlineStr">
        <is>
          <t xml:space="preserve">INVERTED_EMARK</t>
        </is>
      </c>
      <c r="LP44" t="inlineStr">
        <is>
          <t xml:space="preserve">INVERTED_QMARK</t>
        </is>
      </c>
      <c r="LR44" t="inlineStr">
        <is>
          <t xml:space="preserve">INVERTED_QMARK</t>
        </is>
      </c>
      <c r="LS44" t="inlineStr">
        <is>
          <t xml:space="preserve">INVERTED_EMARK</t>
        </is>
      </c>
      <c r="LT44" t="inlineStr">
        <is>
          <t xml:space="preserve">INVERTED_QMARK</t>
        </is>
      </c>
      <c r="LV44" t="inlineStr">
        <is>
          <t xml:space="preserve">INVERTED_QMARK</t>
        </is>
      </c>
      <c r="LW44" t="inlineStr">
        <is>
          <t xml:space="preserve">INVERTED_EMARK</t>
        </is>
      </c>
      <c r="LX44" t="inlineStr">
        <is>
          <t xml:space="preserve">INVERTED_QMARK</t>
        </is>
      </c>
      <c r="LZ44" t="inlineStr">
        <is>
          <t xml:space="preserve">INVERTED_QMARK</t>
        </is>
      </c>
      <c r="MA44" t="inlineStr">
        <is>
          <t xml:space="preserve">INVERTED_EMARK</t>
        </is>
      </c>
      <c r="MB44" t="inlineStr">
        <is>
          <t xml:space="preserve">INVERTED_QMARK</t>
        </is>
      </c>
      <c r="MD44" t="inlineStr">
        <is>
          <t xml:space="preserve">INVERTED_QMARK</t>
        </is>
      </c>
      <c r="ME44" t="inlineStr">
        <is>
          <t xml:space="preserve">INVERTED_EMARK</t>
        </is>
      </c>
      <c r="MF44" t="inlineStr">
        <is>
          <t xml:space="preserve">INVERTED_QMARK</t>
        </is>
      </c>
      <c r="MH44" t="inlineStr">
        <is>
          <t xml:space="preserve">INVERTED_QMARK</t>
        </is>
      </c>
      <c r="MI44" t="inlineStr">
        <is>
          <t xml:space="preserve">INVERTED_EMARK</t>
        </is>
      </c>
      <c r="MJ44" t="inlineStr">
        <is>
          <t xml:space="preserve">INVERTED_QMARK</t>
        </is>
      </c>
      <c r="ML44" t="inlineStr">
        <is>
          <t xml:space="preserve">INVERTED_QMARK</t>
        </is>
      </c>
      <c r="MM44" t="inlineStr">
        <is>
          <t xml:space="preserve">INVERTED_EMARK</t>
        </is>
      </c>
      <c r="MN44" t="inlineStr">
        <is>
          <t xml:space="preserve">INVERTED_QMARK</t>
        </is>
      </c>
      <c r="MP44" t="inlineStr">
        <is>
          <t xml:space="preserve">INVERTED_QMARK</t>
        </is>
      </c>
      <c r="MQ44" t="inlineStr">
        <is>
          <t xml:space="preserve">INVERTED_EMARK</t>
        </is>
      </c>
      <c r="MR44" t="inlineStr">
        <is>
          <t xml:space="preserve">INVERTED_QMARK</t>
        </is>
      </c>
      <c r="MT44" t="inlineStr">
        <is>
          <t xml:space="preserve">INVERTED_QMARK</t>
        </is>
      </c>
      <c r="MU44" t="inlineStr">
        <is>
          <t xml:space="preserve">INVERTED_EMARK</t>
        </is>
      </c>
      <c r="MV44" t="inlineStr">
        <is>
          <t xml:space="preserve">INVERTED_QMARK</t>
        </is>
      </c>
      <c r="MX44" t="inlineStr">
        <is>
          <t xml:space="preserve">INVERTED_QMARK</t>
        </is>
      </c>
      <c r="MY44" t="inlineStr">
        <is>
          <t xml:space="preserve">INVERTED_EMARK</t>
        </is>
      </c>
      <c r="MZ44" t="inlineStr">
        <is>
          <t xml:space="preserve">INVERTED_QMARK</t>
        </is>
      </c>
      <c r="NB44" t="inlineStr">
        <is>
          <t xml:space="preserve">INVERTED_QMARK</t>
        </is>
      </c>
      <c r="NC44" t="inlineStr">
        <is>
          <t xml:space="preserve">INVERTED_EMARK</t>
        </is>
      </c>
      <c r="ND44" t="inlineStr">
        <is>
          <t xml:space="preserve">INVERTED_QMARK</t>
        </is>
      </c>
      <c r="NF44" t="inlineStr">
        <is>
          <t xml:space="preserve">INVERTED_QMARK</t>
        </is>
      </c>
      <c r="NG44" t="inlineStr">
        <is>
          <t xml:space="preserve">INVERTED_EMARK</t>
        </is>
      </c>
      <c r="NH44" t="inlineStr">
        <is>
          <t xml:space="preserve">INVERTED_QMARK</t>
        </is>
      </c>
      <c r="NJ44" t="inlineStr">
        <is>
          <t xml:space="preserve">INVERTED_QMARK</t>
        </is>
      </c>
      <c r="NK44" t="inlineStr">
        <is>
          <t xml:space="preserve">INVERTED_EMARK</t>
        </is>
      </c>
      <c r="NL44" t="inlineStr">
        <is>
          <t xml:space="preserve">INVERTED_QMARK</t>
        </is>
      </c>
      <c r="NN44" t="inlineStr">
        <is>
          <t xml:space="preserve">INVERTED_QMARK</t>
        </is>
      </c>
      <c r="NO44" t="inlineStr">
        <is>
          <t xml:space="preserve">INVERTED_EMARK</t>
        </is>
      </c>
      <c r="NP44" t="inlineStr">
        <is>
          <t xml:space="preserve">INVERTED_QMARK</t>
        </is>
      </c>
      <c r="NR44" t="inlineStr">
        <is>
          <t xml:space="preserve">INVERTED_QMARK</t>
        </is>
      </c>
      <c r="NS44" t="inlineStr">
        <is>
          <t xml:space="preserve">INVERTED_EMARK</t>
        </is>
      </c>
      <c r="NT44" t="inlineStr">
        <is>
          <t xml:space="preserve">INVERTED_QMARK</t>
        </is>
      </c>
      <c r="NV44" t="inlineStr">
        <is>
          <t xml:space="preserve">GRAVE_ACCENT</t>
        </is>
      </c>
      <c r="NW44" t="inlineStr">
        <is>
          <t xml:space="preserve">ACUTE_ACCENT</t>
        </is>
      </c>
      <c r="NX44" t="inlineStr">
        <is>
          <t xml:space="preserve">GRAVE_ACCENT</t>
        </is>
      </c>
      <c r="NZ44" t="inlineStr">
        <is>
          <t xml:space="preserve">-</t>
        </is>
      </c>
      <c r="OA44" t="inlineStr">
        <is>
          <t xml:space="preserve">_</t>
        </is>
      </c>
      <c r="OB44" t="inlineStr">
        <is>
          <t xml:space="preserve">-</t>
        </is>
      </c>
      <c r="OD44" t="inlineStr">
        <is>
          <t xml:space="preserve">INVERTED_EMARK</t>
        </is>
      </c>
      <c r="OE44" t="inlineStr">
        <is>
          <t xml:space="preserve">INVERTED_QMARK</t>
        </is>
      </c>
      <c r="OF44" t="inlineStr">
        <is>
          <t xml:space="preserve">INVERTED_EMARK</t>
        </is>
      </c>
      <c r="OL44" t="inlineStr">
        <is>
          <t xml:space="preserve">+</t>
        </is>
      </c>
      <c r="OM44" t="inlineStr">
        <is>
          <t xml:space="preserve">*</t>
        </is>
      </c>
      <c r="ON44" t="inlineStr">
        <is>
          <t xml:space="preserve">+</t>
        </is>
      </c>
      <c r="OO44" t="inlineStr">
        <is>
          <t xml:space="preserve">CEDILLA</t>
        </is>
      </c>
      <c r="OP44" t="inlineStr">
        <is>
          <t xml:space="preserve">^</t>
        </is>
      </c>
      <c r="OQ44" t="inlineStr">
        <is>
          <t xml:space="preserve">GRAVE_ACCENT</t>
        </is>
      </c>
      <c r="OR44" t="inlineStr">
        <is>
          <t xml:space="preserve">^</t>
        </is>
      </c>
      <c r="OS44" t="inlineStr">
        <is>
          <t xml:space="preserve">~</t>
        </is>
      </c>
      <c r="OT44" t="inlineStr">
        <is>
          <t xml:space="preserve">+</t>
        </is>
      </c>
      <c r="OU44" t="inlineStr">
        <is>
          <t xml:space="preserve">*</t>
        </is>
      </c>
      <c r="OV44" t="inlineStr">
        <is>
          <t xml:space="preserve">+</t>
        </is>
      </c>
      <c r="OW44" t="inlineStr">
        <is>
          <t xml:space="preserve">CEDILLA</t>
        </is>
      </c>
      <c r="OX44" t="inlineStr">
        <is>
          <t xml:space="preserve">ACUTE_ACCENT</t>
        </is>
      </c>
      <c r="OY44" t="inlineStr">
        <is>
          <t xml:space="preserve">GRAVE_ACCENT</t>
        </is>
      </c>
      <c r="OZ44" t="inlineStr">
        <is>
          <t xml:space="preserve">ACUTE_ACCENT</t>
        </is>
      </c>
      <c r="PA44" t="inlineStr">
        <is>
          <t xml:space="preserve">|</t>
        </is>
      </c>
      <c r="RF44" t="inlineStr">
        <is>
          <t xml:space="preserve">EQUALS</t>
        </is>
      </c>
      <c r="RG44" t="inlineStr">
        <is>
          <t xml:space="preserve">+</t>
        </is>
      </c>
      <c r="RI44" t="inlineStr">
        <is>
          <t xml:space="preserve">}</t>
        </is>
      </c>
      <c r="RJ44" t="inlineStr">
        <is>
          <t xml:space="preserve">EQUALS</t>
        </is>
      </c>
      <c r="RK44" t="inlineStr">
        <is>
          <t xml:space="preserve">+</t>
        </is>
      </c>
      <c r="RM44" t="inlineStr">
        <is>
          <t xml:space="preserve">}</t>
        </is>
      </c>
      <c r="RN44" t="inlineStr">
        <is>
          <t xml:space="preserve">EQUALS</t>
        </is>
      </c>
      <c r="RO44" t="inlineStr">
        <is>
          <t xml:space="preserve">+</t>
        </is>
      </c>
      <c r="RQ44" t="inlineStr">
        <is>
          <t xml:space="preserve">}</t>
        </is>
      </c>
      <c r="RR44" t="inlineStr">
        <is>
          <t xml:space="preserve">EQUALS</t>
        </is>
      </c>
      <c r="RS44" t="inlineStr">
        <is>
          <t xml:space="preserve">+</t>
        </is>
      </c>
      <c r="RU44" t="inlineStr">
        <is>
          <t xml:space="preserve">}</t>
        </is>
      </c>
      <c r="RV44" t="inlineStr">
        <is>
          <t xml:space="preserve">EQUALS</t>
        </is>
      </c>
      <c r="RW44" t="inlineStr">
        <is>
          <t xml:space="preserve">+</t>
        </is>
      </c>
      <c r="RY44" t="inlineStr">
        <is>
          <t xml:space="preserve">}</t>
        </is>
      </c>
      <c r="SP44" t="inlineStr">
        <is>
          <t xml:space="preserve">DBL_ANGLE_QMARK_L</t>
        </is>
      </c>
      <c r="SQ44" t="inlineStr">
        <is>
          <t xml:space="preserve">DBL_ANGLE_QMARK_R</t>
        </is>
      </c>
      <c r="SR44" t="inlineStr">
        <is>
          <t xml:space="preserve">DBL_ANGLE_QMARK_L</t>
        </is>
      </c>
      <c r="ST44" t="inlineStr">
        <is>
          <t xml:space="preserve">DBL_ANGLE_QMARK_L</t>
        </is>
      </c>
      <c r="SU44" t="inlineStr">
        <is>
          <t xml:space="preserve">DBL_ANGLE_QMARK_R</t>
        </is>
      </c>
      <c r="SV44" t="inlineStr">
        <is>
          <t xml:space="preserve">DBL_ANGLE_QMARK_L</t>
        </is>
      </c>
      <c r="SX44" t="inlineStr">
        <is>
          <t xml:space="preserve">BENG_DC_09C3</t>
        </is>
      </c>
      <c r="SY44" t="inlineStr">
        <is>
          <t xml:space="preserve">BENGALI_098B</t>
        </is>
      </c>
      <c r="SZ44" t="inlineStr">
        <is>
          <t xml:space="preserve">BENG_DC_09C3</t>
        </is>
      </c>
      <c r="TV44" t="inlineStr">
        <is>
          <t xml:space="preserve">EQUALS</t>
        </is>
      </c>
      <c r="TW44" t="inlineStr">
        <is>
          <t xml:space="preserve">+</t>
        </is>
      </c>
      <c r="TX44" t="inlineStr">
        <is>
          <t xml:space="preserve">EQUALS</t>
        </is>
      </c>
      <c r="TZ44" t="inlineStr">
        <is>
          <t xml:space="preserve">EQUALS</t>
        </is>
      </c>
      <c r="UA44" t="inlineStr">
        <is>
          <t xml:space="preserve">+</t>
        </is>
      </c>
      <c r="UB44" t="inlineStr">
        <is>
          <t xml:space="preserve">EQUALS</t>
        </is>
      </c>
      <c r="UT44" t="inlineStr">
        <is>
          <t xml:space="preserve">EQUALS</t>
        </is>
      </c>
      <c r="UU44" t="inlineStr">
        <is>
          <t xml:space="preserve">+</t>
        </is>
      </c>
      <c r="UW44" t="inlineStr">
        <is>
          <t xml:space="preserve">}</t>
        </is>
      </c>
      <c r="VB44" t="inlineStr">
        <is>
          <t xml:space="preserve">INVERTED_EMARK</t>
        </is>
      </c>
      <c r="VC44" t="inlineStr">
        <is>
          <t xml:space="preserve">INVERTED_QMARK</t>
        </is>
      </c>
      <c r="VD44" t="inlineStr">
        <is>
          <t xml:space="preserve">INVERTED_EMARK</t>
        </is>
      </c>
      <c r="VF44" t="inlineStr">
        <is>
          <t xml:space="preserve">U"\f\f" INVERTED_EMARK</t>
        </is>
      </c>
      <c r="VG44" t="inlineStr">
        <is>
          <t xml:space="preserve">U"\f\f" INVERTED_QMARK</t>
        </is>
      </c>
      <c r="VH44" t="inlineStr">
        <is>
          <t xml:space="preserve">INVERTED_EMARK</t>
        </is>
      </c>
      <c r="VJ44" t="inlineStr">
        <is>
          <t xml:space="preserve">^</t>
        </is>
      </c>
      <c r="VK44" t="inlineStr">
        <is>
          <t xml:space="preserve">GRAVE_ACCENT</t>
        </is>
      </c>
      <c r="VL44" t="inlineStr">
        <is>
          <t xml:space="preserve">^</t>
        </is>
      </c>
      <c r="VM44" t="inlineStr">
        <is>
          <t xml:space="preserve">~</t>
        </is>
      </c>
      <c r="VZ44" t="inlineStr">
        <is>
          <t xml:space="preserve">^</t>
        </is>
      </c>
      <c r="WA44" t="inlineStr">
        <is>
          <t xml:space="preserve">GRAVE_ACCENT</t>
        </is>
      </c>
      <c r="WB44" t="inlineStr">
        <is>
          <t xml:space="preserve">^</t>
        </is>
      </c>
      <c r="WC44" t="inlineStr">
        <is>
          <t xml:space="preserve">~</t>
        </is>
      </c>
      <c r="WH44" t="inlineStr">
        <is>
          <t xml:space="preserve">INVERTED_QMARK</t>
        </is>
      </c>
      <c r="WI44" t="inlineStr">
        <is>
          <t xml:space="preserve">INVERTED_EMARK</t>
        </is>
      </c>
      <c r="WJ44" t="inlineStr">
        <is>
          <t xml:space="preserve">INVERTED_QMARK</t>
        </is>
      </c>
      <c r="WL44" t="inlineStr">
        <is>
          <t xml:space="preserve">INVERTED_QMARK</t>
        </is>
      </c>
      <c r="WM44" t="inlineStr">
        <is>
          <t xml:space="preserve">INVERTED_EMARK</t>
        </is>
      </c>
      <c r="WN44" t="inlineStr">
        <is>
          <t xml:space="preserve">INVERTED_QMARK</t>
        </is>
      </c>
      <c r="WP44" t="inlineStr">
        <is>
          <t xml:space="preserve">U"\f\f" INVERTED_QMARK</t>
        </is>
      </c>
      <c r="WQ44" t="inlineStr">
        <is>
          <t xml:space="preserve">U"\f\f" INVERTED_EMARK</t>
        </is>
      </c>
      <c r="WR44" t="inlineStr">
        <is>
          <t xml:space="preserve">INVERTED_QMARK</t>
        </is>
      </c>
      <c r="WX44" t="inlineStr">
        <is>
          <t xml:space="preserve">INVERTED_QMARK</t>
        </is>
      </c>
      <c r="WY44" t="inlineStr">
        <is>
          <t xml:space="preserve">INVERTED_EMARK</t>
        </is>
      </c>
      <c r="WZ44" t="inlineStr">
        <is>
          <t xml:space="preserve">INVERTED_QMARK</t>
        </is>
      </c>
      <c r="XB44" t="inlineStr">
        <is>
          <t xml:space="preserve">=</t>
        </is>
      </c>
      <c r="XC44" t="inlineStr">
        <is>
          <t xml:space="preserve">+</t>
        </is>
      </c>
      <c r="XD44" t="inlineStr">
        <is>
          <t xml:space="preserve">=</t>
        </is>
      </c>
      <c r="XF44" t="inlineStr">
        <is>
          <t xml:space="preserve">UCAS_155D</t>
        </is>
      </c>
      <c r="XG44" t="inlineStr">
        <is>
          <t xml:space="preserve">=</t>
        </is>
      </c>
      <c r="XH44" t="inlineStr">
        <is>
          <t xml:space="preserve">UCAS_155D</t>
        </is>
      </c>
      <c r="XN44" t="inlineStr">
        <is>
          <t xml:space="preserve">CHEROKEE_13F3</t>
        </is>
      </c>
      <c r="XO44" t="inlineStr">
        <is>
          <t xml:space="preserve">CHEROKEE_13BD</t>
        </is>
      </c>
      <c r="XP44" t="inlineStr">
        <is>
          <t xml:space="preserve">CHEROKEE_13F3</t>
        </is>
      </c>
      <c r="XQ44" t="inlineStr">
        <is>
          <t xml:space="preserve">=</t>
        </is>
      </c>
    </row>
    <row r="45" s="116" customFormat="true" ht="15" hidden="false" customHeight="false" outlineLevel="0" collapsed="false">
      <c r="A45" s="93" t="s">
        <v>1296</v>
      </c>
      <c r="B45" s="94" t="s">
        <v>1154</v>
      </c>
      <c r="C45" s="94" t="s">
        <v>1137</v>
      </c>
      <c r="D45" s="94" t="s">
        <v>1154</v>
      </c>
      <c r="E45" s="94"/>
      <c r="F45" t="inlineStr">
        <is>
          <t xml:space="preserve">U"\f\f" UMLAUT_U_SMALL</t>
        </is>
      </c>
      <c r="G45" t="inlineStr">
        <is>
          <t xml:space="preserve">UMLAUT_U</t>
        </is>
      </c>
      <c r="H45" s="95"/>
      <c r="I45" s="95"/>
      <c r="J45" s="96" t="s">
        <v>1245</v>
      </c>
      <c r="K45" s="136" t="s">
        <v>59</v>
      </c>
      <c r="L45" s="96"/>
      <c r="M45" s="96"/>
      <c r="N45" s="97" t="s">
        <v>18</v>
      </c>
      <c r="O45" s="97" t="s">
        <v>1245</v>
      </c>
      <c r="P45" s="97" t="s">
        <v>18</v>
      </c>
      <c r="Q45" s="97" t="s">
        <v>1154</v>
      </c>
      <c r="R45" s="98" t="s">
        <v>1237</v>
      </c>
      <c r="S45" s="98" t="s">
        <v>1272</v>
      </c>
      <c r="T45" s="98" t="s">
        <v>1237</v>
      </c>
      <c r="U45" s="138" t="s">
        <v>59</v>
      </c>
      <c r="V45" t="inlineStr">
        <is>
          <t xml:space="preserve">U"\f\f" E_WITH_GRAVE_SMALL</t>
        </is>
      </c>
      <c r="W45" t="inlineStr">
        <is>
          <t xml:space="preserve">U"\f\f" E_WITH_ACUTE_SMALL</t>
        </is>
      </c>
      <c r="X45" s="99" t="s">
        <v>110</v>
      </c>
      <c r="Y45" s="139" t="s">
        <v>1154</v>
      </c>
      <c r="Z45" s="130" t="s">
        <v>173</v>
      </c>
      <c r="AA45" s="100" t="s">
        <v>171</v>
      </c>
      <c r="AB45" s="100"/>
      <c r="AC45" s="130" t="s">
        <v>1297</v>
      </c>
      <c r="AD45" s="101"/>
      <c r="AE45" s="101"/>
      <c r="AF45" s="101"/>
      <c r="AG45" s="101"/>
      <c r="AH45" t="inlineStr">
        <is>
          <t xml:space="preserve">@</t>
        </is>
      </c>
      <c r="AI45" t="inlineStr">
        <is>
          <t xml:space="preserve">GRAVE_ACCENT</t>
        </is>
      </c>
      <c r="AJ45" t="inlineStr">
        <is>
          <t xml:space="preserve">@</t>
        </is>
      </c>
      <c r="AK45" t="inlineStr">
        <is>
          <t xml:space="preserve">KH_VSOUNDM</t>
        </is>
      </c>
      <c r="AL45" s="103" t="s">
        <v>538</v>
      </c>
      <c r="AM45" s="103" t="s">
        <v>1185</v>
      </c>
      <c r="AN45" s="103" t="s">
        <v>538</v>
      </c>
      <c r="AO45" t="inlineStr">
        <is>
          <t xml:space="preserve">ARABIC_TCHEH</t>
        </is>
      </c>
      <c r="AP45" s="104" t="s">
        <v>1154</v>
      </c>
      <c r="AQ45" s="104" t="s">
        <v>1137</v>
      </c>
      <c r="AR45" s="104" t="s">
        <v>1154</v>
      </c>
      <c r="AS45" s="118" t="s">
        <v>66</v>
      </c>
      <c r="AT45" t="inlineStr">
        <is>
          <t xml:space="preserve">U"\f\f" CYRILLIC_SM_HA</t>
        </is>
      </c>
      <c r="AU45" t="inlineStr">
        <is>
          <t xml:space="preserve">CYRILLIC_HA</t>
        </is>
      </c>
      <c r="AV45" s="105"/>
      <c r="AW45" s="105"/>
      <c r="AX45" t="inlineStr">
        <is>
          <t xml:space="preserve">U"\f\f" CYRILLIC_SM_HA</t>
        </is>
      </c>
      <c r="AY45" t="inlineStr">
        <is>
          <t xml:space="preserve">CYRILLIC_HA</t>
        </is>
      </c>
      <c r="AZ45" s="106"/>
      <c r="BA45" s="106"/>
      <c r="BB45" s="107" t="s">
        <v>387</v>
      </c>
      <c r="BC45" t="inlineStr">
        <is>
          <t xml:space="preserve">CYRILLIC_HA</t>
        </is>
      </c>
      <c r="BD45" s="107"/>
      <c r="BE45" s="107"/>
      <c r="BF45" t="inlineStr">
        <is>
          <t xml:space="preserve">U"\f\f" CYRILLIC_SM_HA</t>
        </is>
      </c>
      <c r="BG45" t="inlineStr">
        <is>
          <t xml:space="preserve">CYRILLIC_HA</t>
        </is>
      </c>
      <c r="BH45" s="108"/>
      <c r="BI45" s="108"/>
      <c r="BJ45" s="109" t="s">
        <v>388</v>
      </c>
      <c r="BK45" t="inlineStr">
        <is>
          <t xml:space="preserve">CYRILLIC_TSE</t>
        </is>
      </c>
      <c r="BL45" s="109"/>
      <c r="BM45" s="109"/>
      <c r="BN45" s="95" t="s">
        <v>1298</v>
      </c>
      <c r="BO45" s="95" t="s">
        <v>1299</v>
      </c>
      <c r="BP45" s="95" t="s">
        <v>1298</v>
      </c>
      <c r="BQ45" s="128" t="s">
        <v>163</v>
      </c>
      <c r="BR45" s="110" t="s">
        <v>1300</v>
      </c>
      <c r="BS45" t="inlineStr">
        <is>
          <t xml:space="preserve">LATIN_0102</t>
        </is>
      </c>
      <c r="BT45" s="110" t="s">
        <v>1300</v>
      </c>
      <c r="BU45" t="inlineStr">
        <is>
          <t xml:space="preserve">U"[ {"</t>
        </is>
      </c>
      <c r="BZ45" s="125" t="s">
        <v>59</v>
      </c>
      <c r="CA45" s="111" t="s">
        <v>1245</v>
      </c>
      <c r="CB45" s="125" t="s">
        <v>59</v>
      </c>
      <c r="CC45" s="125"/>
      <c r="CD45" s="95" t="s">
        <v>1154</v>
      </c>
      <c r="CE45" s="95" t="s">
        <v>1137</v>
      </c>
      <c r="CF45" s="95" t="s">
        <v>1154</v>
      </c>
      <c r="CG45" t="inlineStr">
        <is>
          <t xml:space="preserve">HEBREW_QAMATS_QATAN</t>
        </is>
      </c>
      <c r="CH45" t="inlineStr">
        <is>
          <t xml:space="preserve">U"\f\f" LATIN_00E5</t>
        </is>
      </c>
      <c r="CI45" t="inlineStr">
        <is>
          <t xml:space="preserve">LATIN_00C5</t>
        </is>
      </c>
      <c r="CJ45" s="112" t="s">
        <v>1304</v>
      </c>
      <c r="CK45" s="112"/>
      <c r="CL45" t="inlineStr">
        <is>
          <t xml:space="preserve">U"\f\f" LATIN_00E5</t>
        </is>
      </c>
      <c r="CM45" t="inlineStr">
        <is>
          <t xml:space="preserve">LATIN_00C5</t>
        </is>
      </c>
      <c r="CN45" s="113" t="s">
        <v>1304</v>
      </c>
      <c r="CO45" s="113"/>
      <c r="CP45" s="84" t="s">
        <v>1304</v>
      </c>
      <c r="CQ45" s="84" t="s">
        <v>1305</v>
      </c>
      <c r="CR45" s="84" t="s">
        <v>1304</v>
      </c>
      <c r="CS45" s="84"/>
      <c r="CT45" t="inlineStr">
        <is>
          <t xml:space="preserve">U"\f\f" LATIN_00E5</t>
        </is>
      </c>
      <c r="CU45" t="inlineStr">
        <is>
          <t xml:space="preserve">LATIN_00C5</t>
        </is>
      </c>
      <c r="CV45" s="110" t="s">
        <v>1304</v>
      </c>
      <c r="CW45" s="110"/>
      <c r="CX45" t="inlineStr">
        <is>
          <t xml:space="preserve">U"\f\f" LATIN_0103</t>
        </is>
      </c>
      <c r="CY45" t="inlineStr">
        <is>
          <t xml:space="preserve">LATIN_0102</t>
        </is>
      </c>
      <c r="CZ45" s="114" t="s">
        <v>1300</v>
      </c>
      <c r="DA45" s="126" t="s">
        <v>163</v>
      </c>
      <c r="DB45" s="115" t="s">
        <v>1306</v>
      </c>
      <c r="DC45" s="115" t="s">
        <v>1173</v>
      </c>
      <c r="DD45" s="115" t="s">
        <v>1306</v>
      </c>
      <c r="DE45" s="127" t="s">
        <v>163</v>
      </c>
      <c r="DF45" t="inlineStr">
        <is>
          <t xml:space="preserve">U"\f\f" LATIN_0161</t>
        </is>
      </c>
      <c r="DG45" t="inlineStr">
        <is>
          <t xml:space="preserve">LATIN_0160</t>
        </is>
      </c>
      <c r="DJ45" t="inlineStr">
        <is>
          <t xml:space="preserve">LATIN_00FA</t>
        </is>
      </c>
      <c r="DK45" t="inlineStr">
        <is>
          <t xml:space="preserve">/</t>
        </is>
      </c>
      <c r="DL45" t="inlineStr">
        <is>
          <t xml:space="preserve">LATIN_00FA</t>
        </is>
      </c>
      <c r="DV45" t="inlineStr">
        <is>
          <t xml:space="preserve">U"\f\f" UMLAUT_U_SMALL</t>
        </is>
      </c>
      <c r="DW45" t="inlineStr">
        <is>
          <t xml:space="preserve">LATIN_00DC</t>
        </is>
      </c>
      <c r="DZ45" t="inlineStr">
        <is>
          <t xml:space="preserve">ACUTE_ACCENT</t>
        </is>
      </c>
      <c r="EA45" t="inlineStr">
        <is>
          <t xml:space="preserve">`</t>
        </is>
      </c>
      <c r="EB45" t="inlineStr">
        <is>
          <t xml:space="preserve">ACUTE_ACCENT</t>
        </is>
      </c>
      <c r="ED45" t="inlineStr">
        <is>
          <t xml:space="preserve">U"\f\f" CYRILLIC_SM_SHA</t>
        </is>
      </c>
      <c r="EE45" t="inlineStr">
        <is>
          <t xml:space="preserve">CYRILLIC_SHA</t>
        </is>
      </c>
      <c r="EH45" t="inlineStr">
        <is>
          <t xml:space="preserve">CYRILLIC_SM_SHA</t>
        </is>
      </c>
      <c r="EI45" t="inlineStr">
        <is>
          <t xml:space="preserve">CYRILLIC_SHA</t>
        </is>
      </c>
      <c r="EL45" t="inlineStr">
        <is>
          <t xml:space="preserve">ARABIC_JEEM</t>
        </is>
      </c>
      <c r="EN45" t="inlineStr">
        <is>
          <t xml:space="preserve">ARABIC_JEEM</t>
        </is>
      </c>
      <c r="EP45" t="inlineStr">
        <is>
          <t xml:space="preserve">DEVANAGARI_0921</t>
        </is>
      </c>
      <c r="EQ45" t="inlineStr">
        <is>
          <t xml:space="preserve">DEVANAGARI_0922</t>
        </is>
      </c>
      <c r="ER45" t="inlineStr">
        <is>
          <t xml:space="preserve">DEVANAGARI_0921</t>
        </is>
      </c>
      <c r="ES45" t="inlineStr">
        <is>
          <t xml:space="preserve">DEVANAGARI_093C</t>
        </is>
      </c>
      <c r="ET45" t="inlineStr">
        <is>
          <t xml:space="preserve">DEVANAGARI_0921</t>
        </is>
      </c>
      <c r="EU45" t="inlineStr">
        <is>
          <t xml:space="preserve">DEVANAGARI_0922</t>
        </is>
      </c>
      <c r="EV45" t="inlineStr">
        <is>
          <t xml:space="preserve">DEVANAGARI_0921</t>
        </is>
      </c>
      <c r="EW45" t="inlineStr">
        <is>
          <t xml:space="preserve">DEVANAGARI_093C</t>
        </is>
      </c>
      <c r="EX45" t="inlineStr">
        <is>
          <t xml:space="preserve">DEVANAGARI_0921</t>
        </is>
      </c>
      <c r="EY45" t="inlineStr">
        <is>
          <t xml:space="preserve">DEVANAGARI_0922</t>
        </is>
      </c>
      <c r="EZ45" t="inlineStr">
        <is>
          <t xml:space="preserve">DEVANAGARI_0921</t>
        </is>
      </c>
      <c r="FB45" t="inlineStr">
        <is>
          <t xml:space="preserve">CYRILLIC_SM_KA</t>
        </is>
      </c>
      <c r="FC45" t="inlineStr">
        <is>
          <t xml:space="preserve">CYRILLIC_KA</t>
        </is>
      </c>
      <c r="FF45" t="inlineStr">
        <is>
          <t xml:space="preserve">]</t>
        </is>
      </c>
      <c r="FG45" t="inlineStr">
        <is>
          <t xml:space="preserve">}</t>
        </is>
      </c>
      <c r="FH45" t="inlineStr">
        <is>
          <t xml:space="preserve">]</t>
        </is>
      </c>
      <c r="FN45" t="inlineStr">
        <is>
          <t xml:space="preserve">ACUTE_ACCENT</t>
        </is>
      </c>
      <c r="FO45" t="inlineStr">
        <is>
          <t xml:space="preserve">DIAERESIS</t>
        </is>
      </c>
      <c r="FP45" t="inlineStr">
        <is>
          <t xml:space="preserve">ACUTE_ACCENT</t>
        </is>
      </c>
      <c r="FR45" t="inlineStr">
        <is>
          <t xml:space="preserve">UMLAUT_U_SMALL</t>
        </is>
      </c>
      <c r="FS45" t="inlineStr">
        <is>
          <t xml:space="preserve">E_WITH_GRAVE_SMALL</t>
        </is>
      </c>
      <c r="FT45" t="inlineStr">
        <is>
          <t xml:space="preserve">UMLAUT_U_SMALL</t>
        </is>
      </c>
      <c r="FU45" t="inlineStr">
        <is>
          <t xml:space="preserve">[</t>
        </is>
      </c>
      <c r="FV45" t="inlineStr">
        <is>
          <t xml:space="preserve">^</t>
        </is>
      </c>
      <c r="FW45" t="inlineStr">
        <is>
          <t xml:space="preserve">DIAERESIS</t>
        </is>
      </c>
      <c r="FX45" t="inlineStr">
        <is>
          <t xml:space="preserve">^</t>
        </is>
      </c>
      <c r="FY45" t="inlineStr">
        <is>
          <t xml:space="preserve">[</t>
        </is>
      </c>
      <c r="FZ45" t="inlineStr">
        <is>
          <t xml:space="preserve">^</t>
        </is>
      </c>
      <c r="GA45" t="inlineStr">
        <is>
          <t xml:space="preserve">^</t>
        </is>
      </c>
      <c r="GB45" t="inlineStr">
        <is>
          <t xml:space="preserve">^</t>
        </is>
      </c>
      <c r="GC45" t="inlineStr">
        <is>
          <t xml:space="preserve">[</t>
        </is>
      </c>
      <c r="GD45" t="inlineStr">
        <is>
          <t xml:space="preserve">THAI_0E1A</t>
        </is>
      </c>
      <c r="GE45" t="inlineStr">
        <is>
          <t xml:space="preserve">THAI_0E10</t>
        </is>
      </c>
      <c r="GF45" t="inlineStr">
        <is>
          <t xml:space="preserve">THAI_0E1A</t>
        </is>
      </c>
      <c r="GH45" t="inlineStr">
        <is>
          <t xml:space="preserve">BENGALI_09A1</t>
        </is>
      </c>
      <c r="GI45" t="inlineStr">
        <is>
          <t xml:space="preserve">BENGALI_09A2</t>
        </is>
      </c>
      <c r="GJ45" t="inlineStr">
        <is>
          <t xml:space="preserve">BENGALI_09A1</t>
        </is>
      </c>
      <c r="GL45" t="inlineStr">
        <is>
          <t xml:space="preserve">TELUGU_0C21</t>
        </is>
      </c>
      <c r="GM45" t="inlineStr">
        <is>
          <t xml:space="preserve">TELUGU_0C22</t>
        </is>
      </c>
      <c r="GN45" t="inlineStr">
        <is>
          <t xml:space="preserve">TELUGU_0C21</t>
        </is>
      </c>
      <c r="HB45" t="inlineStr">
        <is>
          <t xml:space="preserve">ARMENIAN_056E</t>
        </is>
      </c>
      <c r="HC45" t="inlineStr">
        <is>
          <t xml:space="preserve">ARMENIAN_053E</t>
        </is>
      </c>
      <c r="HJ45" t="inlineStr">
        <is>
          <t xml:space="preserve">UMLAUT_O_SMALL</t>
        </is>
      </c>
      <c r="HK45" t="inlineStr">
        <is>
          <t xml:space="preserve">UMLAUT_O</t>
        </is>
      </c>
      <c r="HN45" t="inlineStr">
        <is>
          <t xml:space="preserve">U"\f\f" LATIN_00F0</t>
        </is>
      </c>
      <c r="HO45" t="inlineStr">
        <is>
          <t xml:space="preserve">LATIN_00D0</t>
        </is>
      </c>
      <c r="HR45" t="inlineStr">
        <is>
          <t xml:space="preserve">LATIN_01B0</t>
        </is>
      </c>
      <c r="HS45" t="inlineStr">
        <is>
          <t xml:space="preserve">LATIN_01AF</t>
        </is>
      </c>
      <c r="HV45" t="inlineStr">
        <is>
          <t xml:space="preserve">[</t>
        </is>
      </c>
      <c r="HW45" t="inlineStr">
        <is>
          <t xml:space="preserve">LLENTICULAR_BRACKET</t>
        </is>
      </c>
      <c r="HX45" t="inlineStr">
        <is>
          <t xml:space="preserve">[</t>
        </is>
      </c>
      <c r="JJ45" t="inlineStr">
        <is>
          <t xml:space="preserve">ARABIC_JEEM</t>
        </is>
      </c>
      <c r="JK45" t="inlineStr">
        <is>
          <t xml:space="preserve">}</t>
        </is>
      </c>
      <c r="JL45" t="inlineStr">
        <is>
          <t xml:space="preserve">ARABIC_JEEM</t>
        </is>
      </c>
      <c r="JM45" t="inlineStr">
        <is>
          <t xml:space="preserve">ARABIC_TCHEH</t>
        </is>
      </c>
      <c r="KD45" t="inlineStr">
        <is>
          <t xml:space="preserve">ARABIC_JEEM</t>
        </is>
      </c>
      <c r="KE45" t="inlineStr">
        <is>
          <t xml:space="preserve">}</t>
        </is>
      </c>
      <c r="KF45" t="inlineStr">
        <is>
          <t xml:space="preserve">ARABIC_JEEM</t>
        </is>
      </c>
      <c r="KG45" t="inlineStr">
        <is>
          <t xml:space="preserve">ARABIC_TCHEH</t>
        </is>
      </c>
      <c r="KH45" t="inlineStr">
        <is>
          <t xml:space="preserve">ARABIC_JEEM</t>
        </is>
      </c>
      <c r="KI45" t="inlineStr">
        <is>
          <t xml:space="preserve">}</t>
        </is>
      </c>
      <c r="KJ45" t="inlineStr">
        <is>
          <t xml:space="preserve">ARABIC_JEEM</t>
        </is>
      </c>
      <c r="KK45" t="inlineStr">
        <is>
          <t xml:space="preserve">ARABIC_TCHEH</t>
        </is>
      </c>
      <c r="KL45" t="inlineStr">
        <is>
          <t xml:space="preserve">]</t>
        </is>
      </c>
      <c r="KM45" t="inlineStr">
        <is>
          <t xml:space="preserve">}</t>
        </is>
      </c>
      <c r="KN45" t="inlineStr">
        <is>
          <t xml:space="preserve">]</t>
        </is>
      </c>
      <c r="LB45" t="inlineStr">
        <is>
          <t xml:space="preserve">ACUTE_ACCENT</t>
        </is>
      </c>
      <c r="LC45" t="inlineStr">
        <is>
          <t xml:space="preserve">DIAERESIS</t>
        </is>
      </c>
      <c r="LD45" t="inlineStr">
        <is>
          <t xml:space="preserve">ACUTE_ACCENT</t>
        </is>
      </c>
      <c r="LJ45" t="inlineStr">
        <is>
          <t xml:space="preserve">^</t>
        </is>
      </c>
      <c r="LK45" t="inlineStr">
        <is>
          <t xml:space="preserve">DIAERESIS</t>
        </is>
      </c>
      <c r="LN45" t="inlineStr">
        <is>
          <t xml:space="preserve">ACUTE_ACCENT</t>
        </is>
      </c>
      <c r="LO45" t="inlineStr">
        <is>
          <t xml:space="preserve">DIAERESIS</t>
        </is>
      </c>
      <c r="LP45" t="inlineStr">
        <is>
          <t xml:space="preserve">ACUTE_ACCENT</t>
        </is>
      </c>
      <c r="LR45" t="inlineStr">
        <is>
          <t xml:space="preserve">ACUTE_ACCENT</t>
        </is>
      </c>
      <c r="LS45" t="inlineStr">
        <is>
          <t xml:space="preserve">DIAERESIS</t>
        </is>
      </c>
      <c r="LT45" t="inlineStr">
        <is>
          <t xml:space="preserve">ACUTE_ACCENT</t>
        </is>
      </c>
      <c r="LV45" t="inlineStr">
        <is>
          <t xml:space="preserve">ACUTE_ACCENT</t>
        </is>
      </c>
      <c r="LW45" t="inlineStr">
        <is>
          <t xml:space="preserve">DIAERESIS</t>
        </is>
      </c>
      <c r="LX45" t="inlineStr">
        <is>
          <t xml:space="preserve">ACUTE_ACCENT</t>
        </is>
      </c>
      <c r="LZ45" t="inlineStr">
        <is>
          <t xml:space="preserve">ACUTE_ACCENT</t>
        </is>
      </c>
      <c r="MA45" t="inlineStr">
        <is>
          <t xml:space="preserve">DIAERESIS</t>
        </is>
      </c>
      <c r="MB45" t="inlineStr">
        <is>
          <t xml:space="preserve">ACUTE_ACCENT</t>
        </is>
      </c>
      <c r="MD45" t="inlineStr">
        <is>
          <t xml:space="preserve">ACUTE_ACCENT</t>
        </is>
      </c>
      <c r="ME45" t="inlineStr">
        <is>
          <t xml:space="preserve">DIAERESIS</t>
        </is>
      </c>
      <c r="MF45" t="inlineStr">
        <is>
          <t xml:space="preserve">ACUTE_ACCENT</t>
        </is>
      </c>
      <c r="MH45" t="inlineStr">
        <is>
          <t xml:space="preserve">ACUTE_ACCENT</t>
        </is>
      </c>
      <c r="MI45" t="inlineStr">
        <is>
          <t xml:space="preserve">DIAERESIS</t>
        </is>
      </c>
      <c r="MJ45" t="inlineStr">
        <is>
          <t xml:space="preserve">ACUTE_ACCENT</t>
        </is>
      </c>
      <c r="ML45" t="inlineStr">
        <is>
          <t xml:space="preserve">ACUTE_ACCENT</t>
        </is>
      </c>
      <c r="MM45" t="inlineStr">
        <is>
          <t xml:space="preserve">DIAERESIS</t>
        </is>
      </c>
      <c r="MN45" t="inlineStr">
        <is>
          <t xml:space="preserve">ACUTE_ACCENT</t>
        </is>
      </c>
      <c r="MP45" t="inlineStr">
        <is>
          <t xml:space="preserve">ACUTE_ACCENT</t>
        </is>
      </c>
      <c r="MQ45" t="inlineStr">
        <is>
          <t xml:space="preserve">DIAERESIS</t>
        </is>
      </c>
      <c r="MR45" t="inlineStr">
        <is>
          <t xml:space="preserve">ACUTE_ACCENT</t>
        </is>
      </c>
      <c r="MT45" t="inlineStr">
        <is>
          <t xml:space="preserve">ACUTE_ACCENT</t>
        </is>
      </c>
      <c r="MU45" t="inlineStr">
        <is>
          <t xml:space="preserve">DIAERESIS</t>
        </is>
      </c>
      <c r="MV45" t="inlineStr">
        <is>
          <t xml:space="preserve">ACUTE_ACCENT</t>
        </is>
      </c>
      <c r="MX45" t="inlineStr">
        <is>
          <t xml:space="preserve">ACUTE_ACCENT</t>
        </is>
      </c>
      <c r="MY45" t="inlineStr">
        <is>
          <t xml:space="preserve">DIAERESIS</t>
        </is>
      </c>
      <c r="MZ45" t="inlineStr">
        <is>
          <t xml:space="preserve">ACUTE_ACCENT</t>
        </is>
      </c>
      <c r="NB45" t="inlineStr">
        <is>
          <t xml:space="preserve">ACUTE_ACCENT</t>
        </is>
      </c>
      <c r="NC45" t="inlineStr">
        <is>
          <t xml:space="preserve">DIAERESIS</t>
        </is>
      </c>
      <c r="ND45" t="inlineStr">
        <is>
          <t xml:space="preserve">ACUTE_ACCENT</t>
        </is>
      </c>
      <c r="NF45" t="inlineStr">
        <is>
          <t xml:space="preserve">ACUTE_ACCENT</t>
        </is>
      </c>
      <c r="NG45" t="inlineStr">
        <is>
          <t xml:space="preserve">DIAERESIS</t>
        </is>
      </c>
      <c r="NH45" t="inlineStr">
        <is>
          <t xml:space="preserve">ACUTE_ACCENT</t>
        </is>
      </c>
      <c r="NJ45" t="inlineStr">
        <is>
          <t xml:space="preserve">ACUTE_ACCENT</t>
        </is>
      </c>
      <c r="NK45" t="inlineStr">
        <is>
          <t xml:space="preserve">DIAERESIS</t>
        </is>
      </c>
      <c r="NL45" t="inlineStr">
        <is>
          <t xml:space="preserve">ACUTE_ACCENT</t>
        </is>
      </c>
      <c r="NN45" t="inlineStr">
        <is>
          <t xml:space="preserve">ACUTE_ACCENT</t>
        </is>
      </c>
      <c r="NO45" t="inlineStr">
        <is>
          <t xml:space="preserve">DIAERESIS</t>
        </is>
      </c>
      <c r="NP45" t="inlineStr">
        <is>
          <t xml:space="preserve">ACUTE_ACCENT</t>
        </is>
      </c>
      <c r="NR45" t="inlineStr">
        <is>
          <t xml:space="preserve">ACUTE_ACCENT</t>
        </is>
      </c>
      <c r="NS45" t="inlineStr">
        <is>
          <t xml:space="preserve">DIAERESIS</t>
        </is>
      </c>
      <c r="NT45" t="inlineStr">
        <is>
          <t xml:space="preserve">ACUTE_ACCENT</t>
        </is>
      </c>
      <c r="NV45" t="inlineStr">
        <is>
          <t xml:space="preserve">U"\f\f" UMLAUT_U_SMALL</t>
        </is>
      </c>
      <c r="NW45" t="inlineStr">
        <is>
          <t xml:space="preserve">UMLAUT_U</t>
        </is>
      </c>
      <c r="NZ45" t="inlineStr">
        <is>
          <t xml:space="preserve">^</t>
        </is>
      </c>
      <c r="OA45" t="inlineStr">
        <is>
          <t xml:space="preserve">DIAERESIS</t>
        </is>
      </c>
      <c r="OB45" t="inlineStr">
        <is>
          <t xml:space="preserve">^</t>
        </is>
      </c>
      <c r="OC45" t="inlineStr">
        <is>
          <t xml:space="preserve">[</t>
        </is>
      </c>
      <c r="OD45" t="inlineStr">
        <is>
          <t xml:space="preserve">GRAVE_ACCENT</t>
        </is>
      </c>
      <c r="OE45" t="inlineStr">
        <is>
          <t xml:space="preserve">^</t>
        </is>
      </c>
      <c r="OF45" t="inlineStr">
        <is>
          <t xml:space="preserve">GRAVE_ACCENT</t>
        </is>
      </c>
      <c r="OG45" t="inlineStr">
        <is>
          <t xml:space="preserve">[</t>
        </is>
      </c>
      <c r="OL45" t="inlineStr">
        <is>
          <t xml:space="preserve">LATIN_0161</t>
        </is>
      </c>
      <c r="OM45" t="inlineStr">
        <is>
          <t xml:space="preserve">LATIN_0160</t>
        </is>
      </c>
      <c r="OP45" t="inlineStr">
        <is>
          <t xml:space="preserve">U"\f\f" UMLAUT_U_SMALL</t>
        </is>
      </c>
      <c r="OQ45" t="inlineStr">
        <is>
          <t xml:space="preserve">U"\f\f" E_WITH_GRAVE_SMALL</t>
        </is>
      </c>
      <c r="OR45" t="inlineStr">
        <is>
          <t xml:space="preserve">UMLAUT_U_SMALL</t>
        </is>
      </c>
      <c r="OS45" t="inlineStr">
        <is>
          <t xml:space="preserve">[</t>
        </is>
      </c>
      <c r="OT45" t="inlineStr">
        <is>
          <t xml:space="preserve">U"\f\f\f" LATIN_0161</t>
        </is>
      </c>
      <c r="OU45" t="inlineStr">
        <is>
          <t xml:space="preserve">LATIN_0160</t>
        </is>
      </c>
      <c r="OX45" t="inlineStr">
        <is>
          <t xml:space="preserve">U"\f\f" LATIN_00E5</t>
        </is>
      </c>
      <c r="OY45" t="inlineStr">
        <is>
          <t xml:space="preserve">LATIN_00C5</t>
        </is>
      </c>
      <c r="OZ45" t="inlineStr">
        <is>
          <t xml:space="preserve">LATIN_00E5</t>
        </is>
      </c>
      <c r="PB45" t="inlineStr">
        <is>
          <t xml:space="preserve">ARABIC_JEEM</t>
        </is>
      </c>
      <c r="PC45" t="inlineStr">
        <is>
          <t xml:space="preserve">}</t>
        </is>
      </c>
      <c r="PD45" t="inlineStr">
        <is>
          <t xml:space="preserve">ARABIC_JEEM</t>
        </is>
      </c>
      <c r="PE45" t="inlineStr">
        <is>
          <t xml:space="preserve">ARABIC_TCHEH</t>
        </is>
      </c>
      <c r="PF45" t="inlineStr">
        <is>
          <t xml:space="preserve">ARABIC_JEEM</t>
        </is>
      </c>
      <c r="PG45" t="inlineStr">
        <is>
          <t xml:space="preserve">}</t>
        </is>
      </c>
      <c r="PH45" t="inlineStr">
        <is>
          <t xml:space="preserve">ARABIC_JEEM</t>
        </is>
      </c>
      <c r="PI45" t="inlineStr">
        <is>
          <t xml:space="preserve">ARABIC_TCHEH</t>
        </is>
      </c>
      <c r="PJ45" t="inlineStr">
        <is>
          <t xml:space="preserve">ARABIC_JEEM</t>
        </is>
      </c>
      <c r="PK45" t="inlineStr">
        <is>
          <t xml:space="preserve">}</t>
        </is>
      </c>
      <c r="PL45" t="inlineStr">
        <is>
          <t xml:space="preserve">ARABIC_JEEM</t>
        </is>
      </c>
      <c r="PM45" t="inlineStr">
        <is>
          <t xml:space="preserve">ARABIC_TCHEH</t>
        </is>
      </c>
      <c r="PN45" t="inlineStr">
        <is>
          <t xml:space="preserve">ARABIC_JEEM</t>
        </is>
      </c>
      <c r="PO45" t="inlineStr">
        <is>
          <t xml:space="preserve">}</t>
        </is>
      </c>
      <c r="PP45" t="inlineStr">
        <is>
          <t xml:space="preserve">ARABIC_JEEM</t>
        </is>
      </c>
      <c r="PQ45" t="inlineStr">
        <is>
          <t xml:space="preserve">ARABIC_TCHEH</t>
        </is>
      </c>
      <c r="PR45" t="inlineStr">
        <is>
          <t xml:space="preserve">ARABIC_JEEM</t>
        </is>
      </c>
      <c r="PS45" t="inlineStr">
        <is>
          <t xml:space="preserve">}</t>
        </is>
      </c>
      <c r="PT45" t="inlineStr">
        <is>
          <t xml:space="preserve">ARABIC_JEEM</t>
        </is>
      </c>
      <c r="PU45" t="inlineStr">
        <is>
          <t xml:space="preserve">ARABIC_TCHEH</t>
        </is>
      </c>
      <c r="PV45" t="inlineStr">
        <is>
          <t xml:space="preserve">ARABIC_JEEM</t>
        </is>
      </c>
      <c r="PW45" t="inlineStr">
        <is>
          <t xml:space="preserve">}</t>
        </is>
      </c>
      <c r="PX45" t="inlineStr">
        <is>
          <t xml:space="preserve">ARABIC_JEEM</t>
        </is>
      </c>
      <c r="PY45" t="inlineStr">
        <is>
          <t xml:space="preserve">ARABIC_TCHEH</t>
        </is>
      </c>
      <c r="PZ45" t="inlineStr">
        <is>
          <t xml:space="preserve">ARABIC_JEEM</t>
        </is>
      </c>
      <c r="QA45" t="inlineStr">
        <is>
          <t xml:space="preserve">}</t>
        </is>
      </c>
      <c r="QB45" t="inlineStr">
        <is>
          <t xml:space="preserve">ARABIC_JEEM</t>
        </is>
      </c>
      <c r="QC45" t="inlineStr">
        <is>
          <t xml:space="preserve">ARABIC_TCHEH</t>
        </is>
      </c>
      <c r="QD45" t="inlineStr">
        <is>
          <t xml:space="preserve">ARABIC_JEEM</t>
        </is>
      </c>
      <c r="QE45" t="inlineStr">
        <is>
          <t xml:space="preserve">}</t>
        </is>
      </c>
      <c r="QF45" t="inlineStr">
        <is>
          <t xml:space="preserve">ARABIC_JEEM</t>
        </is>
      </c>
      <c r="QG45" t="inlineStr">
        <is>
          <t xml:space="preserve">ARABIC_TCHEH</t>
        </is>
      </c>
      <c r="QH45" t="inlineStr">
        <is>
          <t xml:space="preserve">ARABIC_JEEM</t>
        </is>
      </c>
      <c r="QI45" t="inlineStr">
        <is>
          <t xml:space="preserve">}</t>
        </is>
      </c>
      <c r="QJ45" t="inlineStr">
        <is>
          <t xml:space="preserve">ARABIC_JEEM</t>
        </is>
      </c>
      <c r="QK45" t="inlineStr">
        <is>
          <t xml:space="preserve">ARABIC_TCHEH</t>
        </is>
      </c>
      <c r="QL45" t="inlineStr">
        <is>
          <t xml:space="preserve">ARABIC_JEEM</t>
        </is>
      </c>
      <c r="QM45" t="inlineStr">
        <is>
          <t xml:space="preserve">}</t>
        </is>
      </c>
      <c r="QN45" t="inlineStr">
        <is>
          <t xml:space="preserve">ARABIC_JEEM</t>
        </is>
      </c>
      <c r="QO45" t="inlineStr">
        <is>
          <t xml:space="preserve">ARABIC_TCHEH</t>
        </is>
      </c>
      <c r="QP45" t="inlineStr">
        <is>
          <t xml:space="preserve">ARABIC_JEEM</t>
        </is>
      </c>
      <c r="QQ45" t="inlineStr">
        <is>
          <t xml:space="preserve">}</t>
        </is>
      </c>
      <c r="QR45" t="inlineStr">
        <is>
          <t xml:space="preserve">ARABIC_JEEM</t>
        </is>
      </c>
      <c r="QS45" t="inlineStr">
        <is>
          <t xml:space="preserve">ARABIC_TCHEH</t>
        </is>
      </c>
      <c r="QT45" t="inlineStr">
        <is>
          <t xml:space="preserve">ARABIC_JEEM</t>
        </is>
      </c>
      <c r="QU45" t="inlineStr">
        <is>
          <t xml:space="preserve">}</t>
        </is>
      </c>
      <c r="QV45" t="inlineStr">
        <is>
          <t xml:space="preserve">ARABIC_JEEM</t>
        </is>
      </c>
      <c r="QW45" t="inlineStr">
        <is>
          <t xml:space="preserve">ARABIC_TCHEH</t>
        </is>
      </c>
      <c r="QX45" t="inlineStr">
        <is>
          <t xml:space="preserve">ARABIC_JEEM</t>
        </is>
      </c>
      <c r="QY45" t="inlineStr">
        <is>
          <t xml:space="preserve">}</t>
        </is>
      </c>
      <c r="QZ45" t="inlineStr">
        <is>
          <t xml:space="preserve">ARABIC_JEEM</t>
        </is>
      </c>
      <c r="RA45" t="inlineStr">
        <is>
          <t xml:space="preserve">ARABIC_TCHEH</t>
        </is>
      </c>
      <c r="RB45" t="inlineStr">
        <is>
          <t xml:space="preserve">ARABIC_JEEM</t>
        </is>
      </c>
      <c r="RC45" t="inlineStr">
        <is>
          <t xml:space="preserve">}</t>
        </is>
      </c>
      <c r="RD45" t="inlineStr">
        <is>
          <t xml:space="preserve">ARABIC_JEEM</t>
        </is>
      </c>
      <c r="RE45" t="inlineStr">
        <is>
          <t xml:space="preserve">ARABIC_TCHEH</t>
        </is>
      </c>
      <c r="RF45" t="inlineStr">
        <is>
          <t xml:space="preserve">^</t>
        </is>
      </c>
      <c r="RG45" t="inlineStr">
        <is>
          <t xml:space="preserve">DIAERESIS</t>
        </is>
      </c>
      <c r="RJ45" t="inlineStr">
        <is>
          <t xml:space="preserve">^</t>
        </is>
      </c>
      <c r="RK45" t="inlineStr">
        <is>
          <t xml:space="preserve">DIAERESIS</t>
        </is>
      </c>
      <c r="RN45" t="inlineStr">
        <is>
          <t xml:space="preserve">^</t>
        </is>
      </c>
      <c r="RO45" t="inlineStr">
        <is>
          <t xml:space="preserve">DIAERESIS</t>
        </is>
      </c>
      <c r="RR45" t="inlineStr">
        <is>
          <t xml:space="preserve">^</t>
        </is>
      </c>
      <c r="RS45" t="inlineStr">
        <is>
          <t xml:space="preserve">DIAERESIS</t>
        </is>
      </c>
      <c r="RV45" t="inlineStr">
        <is>
          <t xml:space="preserve">^</t>
        </is>
      </c>
      <c r="RW45" t="inlineStr">
        <is>
          <t xml:space="preserve">DIAERESIS</t>
        </is>
      </c>
      <c r="SP45" t="inlineStr">
        <is>
          <t xml:space="preserve">+</t>
        </is>
      </c>
      <c r="SQ45" t="inlineStr">
        <is>
          <t xml:space="preserve">*</t>
        </is>
      </c>
      <c r="SR45" t="inlineStr">
        <is>
          <t xml:space="preserve">+</t>
        </is>
      </c>
      <c r="SS45" t="inlineStr">
        <is>
          <t xml:space="preserve">DIAERESIS</t>
        </is>
      </c>
      <c r="ST45" t="inlineStr">
        <is>
          <t xml:space="preserve">+</t>
        </is>
      </c>
      <c r="SU45" t="inlineStr">
        <is>
          <t xml:space="preserve">*</t>
        </is>
      </c>
      <c r="SV45" t="inlineStr">
        <is>
          <t xml:space="preserve">+</t>
        </is>
      </c>
      <c r="SW45" t="inlineStr">
        <is>
          <t xml:space="preserve">DIAERESIS</t>
        </is>
      </c>
      <c r="SX45" t="inlineStr">
        <is>
          <t xml:space="preserve">BENGALI_09A1</t>
        </is>
      </c>
      <c r="SY45" t="inlineStr">
        <is>
          <t xml:space="preserve">BENGALI_09A2</t>
        </is>
      </c>
      <c r="SZ45" t="inlineStr">
        <is>
          <t xml:space="preserve">BENGALI_09A1</t>
        </is>
      </c>
      <c r="TV45" t="inlineStr">
        <is>
          <t xml:space="preserve">CYRILLIC_SM_HA</t>
        </is>
      </c>
      <c r="TW45" t="inlineStr">
        <is>
          <t xml:space="preserve">CYRILLIC_HA</t>
        </is>
      </c>
      <c r="TZ45" t="inlineStr">
        <is>
          <t xml:space="preserve">CYRILLIC_SM_HA</t>
        </is>
      </c>
      <c r="UA45" t="inlineStr">
        <is>
          <t xml:space="preserve">CYRILLIC_HA</t>
        </is>
      </c>
      <c r="UT45" t="inlineStr">
        <is>
          <t xml:space="preserve">^</t>
        </is>
      </c>
      <c r="UU45" t="inlineStr">
        <is>
          <t xml:space="preserve">DIAERESIS</t>
        </is>
      </c>
      <c r="VB45" t="inlineStr">
        <is>
          <t xml:space="preserve">GRAVE_ACCENT</t>
        </is>
      </c>
      <c r="VC45" t="inlineStr">
        <is>
          <t xml:space="preserve">^</t>
        </is>
      </c>
      <c r="VD45" t="inlineStr">
        <is>
          <t xml:space="preserve">GRAVE_ACCENT</t>
        </is>
      </c>
      <c r="VE45" t="inlineStr">
        <is>
          <t xml:space="preserve">[</t>
        </is>
      </c>
      <c r="VF45" t="inlineStr">
        <is>
          <t xml:space="preserve">GRAVE_ACCENT</t>
        </is>
      </c>
      <c r="VG45" t="inlineStr">
        <is>
          <t xml:space="preserve">^</t>
        </is>
      </c>
      <c r="VH45" t="inlineStr">
        <is>
          <t xml:space="preserve">GRAVE_ACCENT</t>
        </is>
      </c>
      <c r="VI45" t="inlineStr">
        <is>
          <t xml:space="preserve">[</t>
        </is>
      </c>
      <c r="VJ45" t="inlineStr">
        <is>
          <t xml:space="preserve">U"\f\f\f" UMLAUT_U_SMALL</t>
        </is>
      </c>
      <c r="VK45" t="inlineStr">
        <is>
          <t xml:space="preserve">U"\f\f\f" E_WITH_GRAVE_SMALL</t>
        </is>
      </c>
      <c r="VL45" t="inlineStr">
        <is>
          <t xml:space="preserve">UMLAUT_U_SMALL</t>
        </is>
      </c>
      <c r="VM45" t="inlineStr">
        <is>
          <t xml:space="preserve">[</t>
        </is>
      </c>
      <c r="VV45" t="inlineStr">
        <is>
          <t xml:space="preserve">U"\f\f" LATIN_0121</t>
        </is>
      </c>
      <c r="VW45" t="inlineStr">
        <is>
          <t xml:space="preserve">LATIN_0120</t>
        </is>
      </c>
      <c r="VY45" t="inlineStr">
        <is>
          <t xml:space="preserve">[</t>
        </is>
      </c>
      <c r="VZ45" t="inlineStr">
        <is>
          <t xml:space="preserve">U"\f\f\f" UMLAUT_U_SMALL</t>
        </is>
      </c>
      <c r="WA45" t="inlineStr">
        <is>
          <t xml:space="preserve">U"\f\f" E_WITH_GRAVE_SMALL</t>
        </is>
      </c>
      <c r="WB45" t="inlineStr">
        <is>
          <t xml:space="preserve">UMLAUT_U_SMALL</t>
        </is>
      </c>
      <c r="WC45" t="inlineStr">
        <is>
          <t xml:space="preserve">[</t>
        </is>
      </c>
      <c r="WD45" t="inlineStr">
        <is>
          <t xml:space="preserve">U"\f\f" LATIN_00E5</t>
        </is>
      </c>
      <c r="WE45" t="inlineStr">
        <is>
          <t xml:space="preserve">LATIN_00C5</t>
        </is>
      </c>
      <c r="WH45" t="inlineStr">
        <is>
          <t xml:space="preserve">ACUTE_ACCENT</t>
        </is>
      </c>
      <c r="WI45" t="inlineStr">
        <is>
          <t xml:space="preserve">DIAERESIS</t>
        </is>
      </c>
      <c r="WJ45" t="inlineStr">
        <is>
          <t xml:space="preserve">ACUTE_ACCENT</t>
        </is>
      </c>
      <c r="WL45" t="inlineStr">
        <is>
          <t xml:space="preserve">ACUTE_ACCENT</t>
        </is>
      </c>
      <c r="WM45" t="inlineStr">
        <is>
          <t xml:space="preserve">DIAERESIS</t>
        </is>
      </c>
      <c r="WN45" t="inlineStr">
        <is>
          <t xml:space="preserve">ACUTE_ACCENT</t>
        </is>
      </c>
      <c r="WP45" t="inlineStr">
        <is>
          <t xml:space="preserve">ACUTE_ACCENT</t>
        </is>
      </c>
      <c r="WQ45" t="inlineStr">
        <is>
          <t xml:space="preserve">DIAERESIS</t>
        </is>
      </c>
      <c r="WR45" t="inlineStr">
        <is>
          <t xml:space="preserve">ACUTE_ACCENT</t>
        </is>
      </c>
      <c r="WX45" t="inlineStr">
        <is>
          <t xml:space="preserve">ACUTE_ACCENT</t>
        </is>
      </c>
      <c r="WY45" t="inlineStr">
        <is>
          <t xml:space="preserve">DIAERESIS</t>
        </is>
      </c>
      <c r="WZ45" t="inlineStr">
        <is>
          <t xml:space="preserve">ACUTE_ACCENT</t>
        </is>
      </c>
      <c r="XB45" t="inlineStr">
        <is>
          <t xml:space="preserve">U"\f\f\f\f" ARABIC_JEEM</t>
        </is>
      </c>
      <c r="XC45" t="inlineStr">
        <is>
          <t xml:space="preserve">]</t>
        </is>
      </c>
      <c r="XD45" t="inlineStr">
        <is>
          <t xml:space="preserve">ARABIC_062C</t>
        </is>
      </c>
      <c r="XE45" t="inlineStr">
        <is>
          <t xml:space="preserve">}</t>
        </is>
      </c>
      <c r="XF45" t="inlineStr">
        <is>
          <t xml:space="preserve">UCAS_14A1</t>
        </is>
      </c>
      <c r="XG45" t="inlineStr">
        <is>
          <t xml:space="preserve">UCAS_1505</t>
        </is>
      </c>
      <c r="XH45" t="inlineStr">
        <is>
          <t xml:space="preserve">UCAS_14A1</t>
        </is>
      </c>
      <c r="XN45" t="inlineStr">
        <is>
          <t xml:space="preserve">CHEROKEE_13D5</t>
        </is>
      </c>
      <c r="XO45" t="inlineStr">
        <is>
          <t xml:space="preserve">CHEROKEE_13D1</t>
        </is>
      </c>
      <c r="XP45" t="inlineStr">
        <is>
          <t xml:space="preserve">CHEROKEE_13D5</t>
        </is>
      </c>
      <c r="XQ45" t="inlineStr">
        <is>
          <t xml:space="preserve">[</t>
        </is>
      </c>
    </row>
    <row r="46" s="116" customFormat="true" ht="15" hidden="false" customHeight="false" outlineLevel="0" collapsed="false">
      <c r="A46" s="93" t="s">
        <v>1307</v>
      </c>
      <c r="B46" s="94" t="s">
        <v>1145</v>
      </c>
      <c r="C46" s="94" t="s">
        <v>1185</v>
      </c>
      <c r="D46" s="94" t="s">
        <v>1145</v>
      </c>
      <c r="E46" s="94"/>
      <c r="F46" s="95" t="s">
        <v>1237</v>
      </c>
      <c r="G46" s="95" t="s">
        <v>1272</v>
      </c>
      <c r="H46" s="95"/>
      <c r="I46" s="95" t="s">
        <v>1234</v>
      </c>
      <c r="J46" s="96" t="s">
        <v>1249</v>
      </c>
      <c r="K46" t="inlineStr">
        <is>
          <t xml:space="preserve">U"\f\f\f" POUND_SIGN</t>
        </is>
      </c>
      <c r="L46" s="136"/>
      <c r="M46" s="136" t="s">
        <v>51</v>
      </c>
      <c r="N46" s="97" t="s">
        <v>1237</v>
      </c>
      <c r="O46" s="97" t="s">
        <v>1272</v>
      </c>
      <c r="P46" s="97" t="s">
        <v>1237</v>
      </c>
      <c r="Q46" s="97" t="s">
        <v>1145</v>
      </c>
      <c r="R46" s="138" t="s">
        <v>80</v>
      </c>
      <c r="S46" s="98" t="s">
        <v>18</v>
      </c>
      <c r="T46" s="138" t="s">
        <v>80</v>
      </c>
      <c r="U46" s="138" t="s">
        <v>1145</v>
      </c>
      <c r="V46" s="139" t="s">
        <v>1237</v>
      </c>
      <c r="W46" s="139" t="s">
        <v>1272</v>
      </c>
      <c r="X46" s="139" t="s">
        <v>1237</v>
      </c>
      <c r="Y46" s="99" t="s">
        <v>1145</v>
      </c>
      <c r="Z46" s="130" t="s">
        <v>169</v>
      </c>
      <c r="AA46" s="130" t="s">
        <v>133</v>
      </c>
      <c r="AB46" s="130"/>
      <c r="AC46" s="100" t="s">
        <v>1234</v>
      </c>
      <c r="AD46" s="101"/>
      <c r="AE46" s="101"/>
      <c r="AF46" s="101"/>
      <c r="AG46" s="101"/>
      <c r="AH46" t="inlineStr">
        <is>
          <t xml:space="preserve">[</t>
        </is>
      </c>
      <c r="AI46" t="inlineStr">
        <is>
          <t xml:space="preserve">{</t>
        </is>
      </c>
      <c r="AJ46" t="inlineStr">
        <is>
          <t xml:space="preserve">[</t>
        </is>
      </c>
      <c r="AK46" t="inlineStr">
        <is>
          <t xml:space="preserve">KH_SEMI_VSOUNDM</t>
        </is>
      </c>
      <c r="AL46" s="103" t="s">
        <v>547</v>
      </c>
      <c r="AM46" s="103" t="s">
        <v>1137</v>
      </c>
      <c r="AN46" s="103" t="s">
        <v>547</v>
      </c>
      <c r="AO46" s="103"/>
      <c r="AP46" s="104" t="s">
        <v>1145</v>
      </c>
      <c r="AQ46" s="104" t="s">
        <v>1185</v>
      </c>
      <c r="AR46" s="104" t="s">
        <v>1145</v>
      </c>
      <c r="AS46" s="118" t="s">
        <v>94</v>
      </c>
      <c r="AT46" t="inlineStr">
        <is>
          <t xml:space="preserve">U"\f\f" CYRILLIC_SM_YI</t>
        </is>
      </c>
      <c r="AU46" t="inlineStr">
        <is>
          <t xml:space="preserve">CYRILLIC_YI</t>
        </is>
      </c>
      <c r="AV46" s="105"/>
      <c r="AW46" t="inlineStr">
        <is>
          <t xml:space="preserve">CYRILLIC_SM_HARD_SIGN</t>
        </is>
      </c>
      <c r="AX46" t="inlineStr">
        <is>
          <t xml:space="preserve">U"\f\f" CYRILLIC_SM_HARD_SIGN</t>
        </is>
      </c>
      <c r="AY46" t="inlineStr">
        <is>
          <t xml:space="preserve">CYRILLIC_HARD_SIGN</t>
        </is>
      </c>
      <c r="AZ46" s="106"/>
      <c r="BA46" s="106"/>
      <c r="BB46" s="107" t="s">
        <v>1222</v>
      </c>
      <c r="BC46" s="107"/>
      <c r="BD46" s="107"/>
      <c r="BE46" s="107"/>
      <c r="BF46" t="inlineStr">
        <is>
          <t xml:space="preserve">U"\f\f" CYRILLIC_SM_HARD_SIGN</t>
        </is>
      </c>
      <c r="BG46" t="inlineStr">
        <is>
          <t xml:space="preserve">CYRILLIC_HARD_SIGN</t>
        </is>
      </c>
      <c r="BH46" s="108"/>
      <c r="BI46" s="108"/>
      <c r="BJ46" s="109" t="s">
        <v>1197</v>
      </c>
      <c r="BK46" t="inlineStr">
        <is>
          <t xml:space="preserve">U"\f\f\f" SECTION</t>
        </is>
      </c>
      <c r="BL46" s="109"/>
      <c r="BM46" s="109"/>
      <c r="BN46" s="95" t="s">
        <v>1308</v>
      </c>
      <c r="BO46" s="95" t="s">
        <v>1309</v>
      </c>
      <c r="BP46" s="95"/>
      <c r="BQ46" s="128" t="s">
        <v>127</v>
      </c>
      <c r="BR46" s="124" t="s">
        <v>153</v>
      </c>
      <c r="BS46" t="inlineStr">
        <is>
          <t xml:space="preserve">I_WITH_CIRCUMF</t>
        </is>
      </c>
      <c r="BT46" s="124" t="s">
        <v>117</v>
      </c>
      <c r="BU46" t="inlineStr">
        <is>
          <t xml:space="preserve">U"] }"</t>
        </is>
      </c>
      <c r="BZ46" s="111" t="s">
        <v>1272</v>
      </c>
      <c r="CA46" s="111" t="s">
        <v>1224</v>
      </c>
      <c r="CB46" s="111" t="s">
        <v>1272</v>
      </c>
      <c r="CC46" s="111"/>
      <c r="CD46" s="95" t="s">
        <v>1145</v>
      </c>
      <c r="CE46" s="95" t="s">
        <v>1185</v>
      </c>
      <c r="CF46" s="95" t="s">
        <v>1145</v>
      </c>
      <c r="CG46" s="95"/>
      <c r="CH46" s="134" t="s">
        <v>59</v>
      </c>
      <c r="CI46" s="112" t="s">
        <v>1245</v>
      </c>
      <c r="CJ46" s="134" t="s">
        <v>59</v>
      </c>
      <c r="CK46" s="112" t="s">
        <v>1234</v>
      </c>
      <c r="CL46" s="135" t="s">
        <v>59</v>
      </c>
      <c r="CM46" s="113" t="s">
        <v>1245</v>
      </c>
      <c r="CN46" s="135" t="s">
        <v>59</v>
      </c>
      <c r="CO46" s="113" t="s">
        <v>1234</v>
      </c>
      <c r="CP46" s="131" t="s">
        <v>59</v>
      </c>
      <c r="CQ46" s="84" t="s">
        <v>1245</v>
      </c>
      <c r="CR46" s="131" t="s">
        <v>59</v>
      </c>
      <c r="CS46" s="84" t="s">
        <v>1234</v>
      </c>
      <c r="CT46" s="124" t="s">
        <v>59</v>
      </c>
      <c r="CU46" s="110" t="s">
        <v>1245</v>
      </c>
      <c r="CV46" s="124" t="s">
        <v>59</v>
      </c>
      <c r="CW46" s="110" t="s">
        <v>1234</v>
      </c>
      <c r="CX46" t="inlineStr">
        <is>
          <t xml:space="preserve">U"\f\f" U_WITH_ACUTE_SMALL</t>
        </is>
      </c>
      <c r="CY46" t="inlineStr">
        <is>
          <t xml:space="preserve">U_WITH_ACUTE</t>
        </is>
      </c>
      <c r="CZ46" s="126" t="s">
        <v>167</v>
      </c>
      <c r="DA46" s="114" t="s">
        <v>1311</v>
      </c>
      <c r="DB46" s="127" t="s">
        <v>1276</v>
      </c>
      <c r="DC46" s="127" t="s">
        <v>1257</v>
      </c>
      <c r="DD46" s="127" t="s">
        <v>1276</v>
      </c>
      <c r="DE46" s="115" t="s">
        <v>1311</v>
      </c>
      <c r="DF46" t="inlineStr">
        <is>
          <t xml:space="preserve">U"\f\f" LATIN_0111</t>
        </is>
      </c>
      <c r="DG46" t="inlineStr">
        <is>
          <t xml:space="preserve">LATIN_0110</t>
        </is>
      </c>
      <c r="DJ46" t="inlineStr">
        <is>
          <t xml:space="preserve">LATIN_00E4</t>
        </is>
      </c>
      <c r="DK46" t="inlineStr">
        <is>
          <t xml:space="preserve">(</t>
        </is>
      </c>
      <c r="DL46" t="inlineStr">
        <is>
          <t xml:space="preserve">LATIN_00E4</t>
        </is>
      </c>
      <c r="DV46" t="inlineStr">
        <is>
          <t xml:space="preserve">U"\f\f" LATIN_00F5</t>
        </is>
      </c>
      <c r="DW46" t="inlineStr">
        <is>
          <t xml:space="preserve">LATIN_00D5</t>
        </is>
      </c>
      <c r="DZ46" t="inlineStr">
        <is>
          <t xml:space="preserve">[</t>
        </is>
      </c>
      <c r="EA46" t="inlineStr">
        <is>
          <t xml:space="preserve">{</t>
        </is>
      </c>
      <c r="EB46" t="inlineStr">
        <is>
          <t xml:space="preserve">[</t>
        </is>
      </c>
      <c r="EC46" t="inlineStr">
        <is>
          <t xml:space="preserve">FEM_ORDINAL_IND</t>
        </is>
      </c>
      <c r="ED46" t="inlineStr">
        <is>
          <t xml:space="preserve">CYRILLIC_SM_DJE</t>
        </is>
      </c>
      <c r="EE46" t="inlineStr">
        <is>
          <t xml:space="preserve">CYRILLIC_DJE</t>
        </is>
      </c>
      <c r="EH46" t="inlineStr">
        <is>
          <t xml:space="preserve">CYRILLIC_SM_GJE</t>
        </is>
      </c>
      <c r="EI46" t="inlineStr">
        <is>
          <t xml:space="preserve">CYRILLIC_GJE</t>
        </is>
      </c>
      <c r="EL46" t="inlineStr">
        <is>
          <t xml:space="preserve">ARABIC_TCHEH</t>
        </is>
      </c>
      <c r="EN46" t="inlineStr">
        <is>
          <t xml:space="preserve">ARABIC_TCHEH</t>
        </is>
      </c>
      <c r="EP46" t="inlineStr">
        <is>
          <t xml:space="preserve">DEVA_DC_093C</t>
        </is>
      </c>
      <c r="EQ46" t="inlineStr">
        <is>
          <t xml:space="preserve">DEVANAGARI_091E</t>
        </is>
      </c>
      <c r="ER46" t="inlineStr">
        <is>
          <t xml:space="preserve">DEVA_DC_093C</t>
        </is>
      </c>
      <c r="ET46" t="inlineStr">
        <is>
          <t xml:space="preserve">DEVA_DC_093C</t>
        </is>
      </c>
      <c r="EU46" t="inlineStr">
        <is>
          <t xml:space="preserve">DEVANAGARI_091E</t>
        </is>
      </c>
      <c r="EV46" t="inlineStr">
        <is>
          <t xml:space="preserve">DEVA_DC_093C</t>
        </is>
      </c>
      <c r="EX46" t="inlineStr">
        <is>
          <t xml:space="preserve">DEVA_DC_093C</t>
        </is>
      </c>
      <c r="EY46" t="inlineStr">
        <is>
          <t xml:space="preserve">DEVANAGARI_091E</t>
        </is>
      </c>
      <c r="EZ46" t="inlineStr">
        <is>
          <t xml:space="preserve">DEVA_DC_093C</t>
        </is>
      </c>
      <c r="FB46" t="inlineStr">
        <is>
          <t xml:space="preserve">CYRILLIC_SM_HARD_SIGN</t>
        </is>
      </c>
      <c r="FC46" t="inlineStr">
        <is>
          <t xml:space="preserve">CYRILLIC_HARD_SIGN</t>
        </is>
      </c>
      <c r="FF46" t="inlineStr">
        <is>
          <t xml:space="preserve">[</t>
        </is>
      </c>
      <c r="FG46" t="inlineStr">
        <is>
          <t xml:space="preserve">{</t>
        </is>
      </c>
      <c r="FH46" t="inlineStr">
        <is>
          <t xml:space="preserve">[</t>
        </is>
      </c>
      <c r="FN46" t="inlineStr">
        <is>
          <t xml:space="preserve">+</t>
        </is>
      </c>
      <c r="FO46" t="inlineStr">
        <is>
          <t xml:space="preserve">*</t>
        </is>
      </c>
      <c r="FP46" t="inlineStr">
        <is>
          <t xml:space="preserve">+</t>
        </is>
      </c>
      <c r="FQ46" t="inlineStr">
        <is>
          <t xml:space="preserve">~</t>
        </is>
      </c>
      <c r="FR46" t="inlineStr">
        <is>
          <t xml:space="preserve">DIAERESIS</t>
        </is>
      </c>
      <c r="FS46" t="inlineStr">
        <is>
          <t xml:space="preserve">!</t>
        </is>
      </c>
      <c r="FT46" t="inlineStr">
        <is>
          <t xml:space="preserve">DIAERESIS</t>
        </is>
      </c>
      <c r="FU46" t="inlineStr">
        <is>
          <t xml:space="preserve">]</t>
        </is>
      </c>
      <c r="FV46" t="inlineStr">
        <is>
          <t xml:space="preserve">$</t>
        </is>
      </c>
      <c r="FW46" t="inlineStr">
        <is>
          <t xml:space="preserve">*</t>
        </is>
      </c>
      <c r="FX46" t="inlineStr">
        <is>
          <t xml:space="preserve">$</t>
        </is>
      </c>
      <c r="FY46" t="inlineStr">
        <is>
          <t xml:space="preserve">]</t>
        </is>
      </c>
      <c r="FZ46" t="inlineStr">
        <is>
          <t xml:space="preserve">CEDILLA</t>
        </is>
      </c>
      <c r="GA46" t="inlineStr">
        <is>
          <t xml:space="preserve">DIAERESIS</t>
        </is>
      </c>
      <c r="GB46" t="inlineStr">
        <is>
          <t xml:space="preserve">CEDILLA</t>
        </is>
      </c>
      <c r="GC46" t="inlineStr">
        <is>
          <t xml:space="preserve">]</t>
        </is>
      </c>
      <c r="GD46" t="inlineStr">
        <is>
          <t xml:space="preserve">THAI_0E25</t>
        </is>
      </c>
      <c r="GE46" t="inlineStr">
        <is>
          <t xml:space="preserve">COMMA</t>
        </is>
      </c>
      <c r="GF46" t="inlineStr">
        <is>
          <t xml:space="preserve">THAI_0E25</t>
        </is>
      </c>
      <c r="GH46" t="inlineStr">
        <is>
          <t xml:space="preserve">BENG_DC_09BC</t>
        </is>
      </c>
      <c r="GI46" t="inlineStr">
        <is>
          <t xml:space="preserve">BENGALI_099E</t>
        </is>
      </c>
      <c r="GJ46" t="inlineStr">
        <is>
          <t xml:space="preserve">BENG_DC_09BC</t>
        </is>
      </c>
      <c r="GL46" t="inlineStr">
        <is>
          <t xml:space="preserve">TELU_DC_0C3C</t>
        </is>
      </c>
      <c r="GM46" t="inlineStr">
        <is>
          <t xml:space="preserve">TELUGU_0C1E</t>
        </is>
      </c>
      <c r="GN46" t="inlineStr">
        <is>
          <t xml:space="preserve">TELU_DC_0C3C</t>
        </is>
      </c>
      <c r="GQ46" t="inlineStr">
        <is>
          <t xml:space="preserve">TAMIL_0B9E</t>
        </is>
      </c>
      <c r="HB46" t="inlineStr">
        <is>
          <t xml:space="preserve">ARMENIAN_0581</t>
        </is>
      </c>
      <c r="HC46" t="inlineStr">
        <is>
          <t xml:space="preserve">ARMENIAN_0551</t>
        </is>
      </c>
      <c r="HJ46" t="inlineStr">
        <is>
          <t xml:space="preserve">G_WITH_BREVE_SMALL</t>
        </is>
      </c>
      <c r="HK46" t="inlineStr">
        <is>
          <t xml:space="preserve">G_WITH_BREVE</t>
        </is>
      </c>
      <c r="HN46" t="inlineStr">
        <is>
          <t xml:space="preserve">'</t>
        </is>
      </c>
      <c r="HO46" t="inlineStr">
        <is>
          <t xml:space="preserve">?</t>
        </is>
      </c>
      <c r="HP46" t="inlineStr">
        <is>
          <t xml:space="preserve">'</t>
        </is>
      </c>
      <c r="HR46" t="inlineStr">
        <is>
          <t xml:space="preserve">LATIN_01A1</t>
        </is>
      </c>
      <c r="HS46" t="inlineStr">
        <is>
          <t xml:space="preserve">LATIN_01A0</t>
        </is>
      </c>
      <c r="HV46" t="inlineStr">
        <is>
          <t xml:space="preserve">]</t>
        </is>
      </c>
      <c r="HW46" t="inlineStr">
        <is>
          <t xml:space="preserve">RLENTICULAR_BRACKET</t>
        </is>
      </c>
      <c r="HX46" t="inlineStr">
        <is>
          <t xml:space="preserve">]</t>
        </is>
      </c>
      <c r="JJ46" t="inlineStr">
        <is>
          <t xml:space="preserve">ARABIC_DAL</t>
        </is>
      </c>
      <c r="JK46" t="inlineStr">
        <is>
          <t xml:space="preserve">{</t>
        </is>
      </c>
      <c r="JL46" t="inlineStr">
        <is>
          <t xml:space="preserve">ARABIC_DAL</t>
        </is>
      </c>
      <c r="KD46" t="inlineStr">
        <is>
          <t xml:space="preserve">ARABIC_DAL</t>
        </is>
      </c>
      <c r="KE46" t="inlineStr">
        <is>
          <t xml:space="preserve">{</t>
        </is>
      </c>
      <c r="KF46" t="inlineStr">
        <is>
          <t xml:space="preserve">ARABIC_DAL</t>
        </is>
      </c>
      <c r="KH46" t="inlineStr">
        <is>
          <t xml:space="preserve">ARABIC_DAL</t>
        </is>
      </c>
      <c r="KI46" t="inlineStr">
        <is>
          <t xml:space="preserve">{</t>
        </is>
      </c>
      <c r="KJ46" t="inlineStr">
        <is>
          <t xml:space="preserve">ARABIC_DAL</t>
        </is>
      </c>
      <c r="KL46" t="inlineStr">
        <is>
          <t xml:space="preserve">[</t>
        </is>
      </c>
      <c r="KM46" t="inlineStr">
        <is>
          <t xml:space="preserve">{</t>
        </is>
      </c>
      <c r="KN46" t="inlineStr">
        <is>
          <t xml:space="preserve">[</t>
        </is>
      </c>
      <c r="LA46" t="inlineStr">
        <is>
          <t xml:space="preserve">~</t>
        </is>
      </c>
      <c r="LB46" t="inlineStr">
        <is>
          <t xml:space="preserve">+</t>
        </is>
      </c>
      <c r="LC46" t="inlineStr">
        <is>
          <t xml:space="preserve">*</t>
        </is>
      </c>
      <c r="LD46" t="inlineStr">
        <is>
          <t xml:space="preserve">+</t>
        </is>
      </c>
      <c r="LE46" t="inlineStr">
        <is>
          <t xml:space="preserve">~</t>
        </is>
      </c>
      <c r="LJ46" t="inlineStr">
        <is>
          <t xml:space="preserve">$</t>
        </is>
      </c>
      <c r="LK46" t="inlineStr">
        <is>
          <t xml:space="preserve">U"\f\f\f" POUND_SIGN</t>
        </is>
      </c>
      <c r="LM46" t="inlineStr">
        <is>
          <t xml:space="preserve">CURRENCY_SIGN</t>
        </is>
      </c>
      <c r="LN46" t="inlineStr">
        <is>
          <t xml:space="preserve">+</t>
        </is>
      </c>
      <c r="LO46" t="inlineStr">
        <is>
          <t xml:space="preserve">*</t>
        </is>
      </c>
      <c r="LP46" t="inlineStr">
        <is>
          <t xml:space="preserve">+</t>
        </is>
      </c>
      <c r="LQ46" t="inlineStr">
        <is>
          <t xml:space="preserve">~</t>
        </is>
      </c>
      <c r="LR46" t="inlineStr">
        <is>
          <t xml:space="preserve">+</t>
        </is>
      </c>
      <c r="LS46" t="inlineStr">
        <is>
          <t xml:space="preserve">*</t>
        </is>
      </c>
      <c r="LT46" t="inlineStr">
        <is>
          <t xml:space="preserve">+</t>
        </is>
      </c>
      <c r="LU46" t="inlineStr">
        <is>
          <t xml:space="preserve">~</t>
        </is>
      </c>
      <c r="LV46" t="inlineStr">
        <is>
          <t xml:space="preserve">+</t>
        </is>
      </c>
      <c r="LW46" t="inlineStr">
        <is>
          <t xml:space="preserve">*</t>
        </is>
      </c>
      <c r="LX46" t="inlineStr">
        <is>
          <t xml:space="preserve">+</t>
        </is>
      </c>
      <c r="LY46" t="inlineStr">
        <is>
          <t xml:space="preserve">~</t>
        </is>
      </c>
      <c r="LZ46" t="inlineStr">
        <is>
          <t xml:space="preserve">+</t>
        </is>
      </c>
      <c r="MA46" t="inlineStr">
        <is>
          <t xml:space="preserve">*</t>
        </is>
      </c>
      <c r="MB46" t="inlineStr">
        <is>
          <t xml:space="preserve">+</t>
        </is>
      </c>
      <c r="MC46" t="inlineStr">
        <is>
          <t xml:space="preserve">~</t>
        </is>
      </c>
      <c r="MD46" t="inlineStr">
        <is>
          <t xml:space="preserve">+</t>
        </is>
      </c>
      <c r="ME46" t="inlineStr">
        <is>
          <t xml:space="preserve">*</t>
        </is>
      </c>
      <c r="MF46" t="inlineStr">
        <is>
          <t xml:space="preserve">+</t>
        </is>
      </c>
      <c r="MG46" t="inlineStr">
        <is>
          <t xml:space="preserve">~</t>
        </is>
      </c>
      <c r="MH46" t="inlineStr">
        <is>
          <t xml:space="preserve">+</t>
        </is>
      </c>
      <c r="MI46" t="inlineStr">
        <is>
          <t xml:space="preserve">*</t>
        </is>
      </c>
      <c r="MJ46" t="inlineStr">
        <is>
          <t xml:space="preserve">+</t>
        </is>
      </c>
      <c r="MK46" t="inlineStr">
        <is>
          <t xml:space="preserve">~</t>
        </is>
      </c>
      <c r="ML46" t="inlineStr">
        <is>
          <t xml:space="preserve">+</t>
        </is>
      </c>
      <c r="MM46" t="inlineStr">
        <is>
          <t xml:space="preserve">*</t>
        </is>
      </c>
      <c r="MN46" t="inlineStr">
        <is>
          <t xml:space="preserve">+</t>
        </is>
      </c>
      <c r="MO46" t="inlineStr">
        <is>
          <t xml:space="preserve">~</t>
        </is>
      </c>
      <c r="MP46" t="inlineStr">
        <is>
          <t xml:space="preserve">+</t>
        </is>
      </c>
      <c r="MQ46" t="inlineStr">
        <is>
          <t xml:space="preserve">*</t>
        </is>
      </c>
      <c r="MR46" t="inlineStr">
        <is>
          <t xml:space="preserve">+</t>
        </is>
      </c>
      <c r="MS46" t="inlineStr">
        <is>
          <t xml:space="preserve">~</t>
        </is>
      </c>
      <c r="MT46" t="inlineStr">
        <is>
          <t xml:space="preserve">+</t>
        </is>
      </c>
      <c r="MU46" t="inlineStr">
        <is>
          <t xml:space="preserve">*</t>
        </is>
      </c>
      <c r="MV46" t="inlineStr">
        <is>
          <t xml:space="preserve">+</t>
        </is>
      </c>
      <c r="MW46" t="inlineStr">
        <is>
          <t xml:space="preserve">~</t>
        </is>
      </c>
      <c r="MX46" t="inlineStr">
        <is>
          <t xml:space="preserve">+</t>
        </is>
      </c>
      <c r="MY46" t="inlineStr">
        <is>
          <t xml:space="preserve">*</t>
        </is>
      </c>
      <c r="MZ46" t="inlineStr">
        <is>
          <t xml:space="preserve">+</t>
        </is>
      </c>
      <c r="NA46" t="inlineStr">
        <is>
          <t xml:space="preserve">~</t>
        </is>
      </c>
      <c r="NB46" t="inlineStr">
        <is>
          <t xml:space="preserve">+</t>
        </is>
      </c>
      <c r="NC46" t="inlineStr">
        <is>
          <t xml:space="preserve">*</t>
        </is>
      </c>
      <c r="ND46" t="inlineStr">
        <is>
          <t xml:space="preserve">+</t>
        </is>
      </c>
      <c r="NE46" t="inlineStr">
        <is>
          <t xml:space="preserve">~</t>
        </is>
      </c>
      <c r="NF46" t="inlineStr">
        <is>
          <t xml:space="preserve">+</t>
        </is>
      </c>
      <c r="NG46" t="inlineStr">
        <is>
          <t xml:space="preserve">*</t>
        </is>
      </c>
      <c r="NH46" t="inlineStr">
        <is>
          <t xml:space="preserve">+</t>
        </is>
      </c>
      <c r="NI46" t="inlineStr">
        <is>
          <t xml:space="preserve">~</t>
        </is>
      </c>
      <c r="NJ46" t="inlineStr">
        <is>
          <t xml:space="preserve">+</t>
        </is>
      </c>
      <c r="NK46" t="inlineStr">
        <is>
          <t xml:space="preserve">*</t>
        </is>
      </c>
      <c r="NL46" t="inlineStr">
        <is>
          <t xml:space="preserve">+</t>
        </is>
      </c>
      <c r="NM46" t="inlineStr">
        <is>
          <t xml:space="preserve">~</t>
        </is>
      </c>
      <c r="NN46" t="inlineStr">
        <is>
          <t xml:space="preserve">+</t>
        </is>
      </c>
      <c r="NO46" t="inlineStr">
        <is>
          <t xml:space="preserve">*</t>
        </is>
      </c>
      <c r="NP46" t="inlineStr">
        <is>
          <t xml:space="preserve">+</t>
        </is>
      </c>
      <c r="NQ46" t="inlineStr">
        <is>
          <t xml:space="preserve">~</t>
        </is>
      </c>
      <c r="NR46" t="inlineStr">
        <is>
          <t xml:space="preserve">+</t>
        </is>
      </c>
      <c r="NS46" t="inlineStr">
        <is>
          <t xml:space="preserve">*</t>
        </is>
      </c>
      <c r="NT46" t="inlineStr">
        <is>
          <t xml:space="preserve">+</t>
        </is>
      </c>
      <c r="NU46" t="inlineStr">
        <is>
          <t xml:space="preserve">~</t>
        </is>
      </c>
      <c r="NV46" t="inlineStr">
        <is>
          <t xml:space="preserve">+</t>
        </is>
      </c>
      <c r="NW46" t="inlineStr">
        <is>
          <t xml:space="preserve">*</t>
        </is>
      </c>
      <c r="NY46" t="inlineStr">
        <is>
          <t xml:space="preserve">~</t>
        </is>
      </c>
      <c r="NZ46" t="inlineStr">
        <is>
          <t xml:space="preserve">$</t>
        </is>
      </c>
      <c r="OA46" t="inlineStr">
        <is>
          <t xml:space="preserve">*</t>
        </is>
      </c>
      <c r="OB46" t="inlineStr">
        <is>
          <t xml:space="preserve">$</t>
        </is>
      </c>
      <c r="OC46" t="inlineStr">
        <is>
          <t xml:space="preserve">]</t>
        </is>
      </c>
      <c r="OD46" t="inlineStr">
        <is>
          <t xml:space="preserve">+</t>
        </is>
      </c>
      <c r="OE46" t="inlineStr">
        <is>
          <t xml:space="preserve">*</t>
        </is>
      </c>
      <c r="OF46" t="inlineStr">
        <is>
          <t xml:space="preserve">+</t>
        </is>
      </c>
      <c r="OG46" t="inlineStr">
        <is>
          <t xml:space="preserve">]</t>
        </is>
      </c>
      <c r="OL46" t="inlineStr">
        <is>
          <t xml:space="preserve">LATIN_0111</t>
        </is>
      </c>
      <c r="OM46" t="inlineStr">
        <is>
          <t xml:space="preserve">LATIN_0110</t>
        </is>
      </c>
      <c r="OP46" t="inlineStr">
        <is>
          <t xml:space="preserve">DIAERESIS</t>
        </is>
      </c>
      <c r="OQ46" t="inlineStr">
        <is>
          <t xml:space="preserve">!</t>
        </is>
      </c>
      <c r="OR46" t="inlineStr">
        <is>
          <t xml:space="preserve">DIAERESIS</t>
        </is>
      </c>
      <c r="OS46" t="inlineStr">
        <is>
          <t xml:space="preserve">]</t>
        </is>
      </c>
      <c r="OT46" t="inlineStr">
        <is>
          <t xml:space="preserve">U"\f\f\f" LATIN_0111</t>
        </is>
      </c>
      <c r="OU46" t="inlineStr">
        <is>
          <t xml:space="preserve">LATIN_0110</t>
        </is>
      </c>
      <c r="OX46" t="inlineStr">
        <is>
          <t xml:space="preserve">DIAERESIS</t>
        </is>
      </c>
      <c r="OY46" t="inlineStr">
        <is>
          <t xml:space="preserve">^</t>
        </is>
      </c>
      <c r="OZ46" t="inlineStr">
        <is>
          <t xml:space="preserve">DIAERESIS</t>
        </is>
      </c>
      <c r="PA46" t="inlineStr">
        <is>
          <t xml:space="preserve">~</t>
        </is>
      </c>
      <c r="PB46" t="inlineStr">
        <is>
          <t xml:space="preserve">ARABIC_DAL</t>
        </is>
      </c>
      <c r="PC46" t="inlineStr">
        <is>
          <t xml:space="preserve">{</t>
        </is>
      </c>
      <c r="PD46" t="inlineStr">
        <is>
          <t xml:space="preserve">ARABIC_DAL</t>
        </is>
      </c>
      <c r="PF46" t="inlineStr">
        <is>
          <t xml:space="preserve">ARABIC_DAL</t>
        </is>
      </c>
      <c r="PG46" t="inlineStr">
        <is>
          <t xml:space="preserve">{</t>
        </is>
      </c>
      <c r="PH46" t="inlineStr">
        <is>
          <t xml:space="preserve">ARABIC_DAL</t>
        </is>
      </c>
      <c r="PJ46" t="inlineStr">
        <is>
          <t xml:space="preserve">ARABIC_DAL</t>
        </is>
      </c>
      <c r="PK46" t="inlineStr">
        <is>
          <t xml:space="preserve">{</t>
        </is>
      </c>
      <c r="PL46" t="inlineStr">
        <is>
          <t xml:space="preserve">ARABIC_DAL</t>
        </is>
      </c>
      <c r="PN46" t="inlineStr">
        <is>
          <t xml:space="preserve">ARABIC_DAL</t>
        </is>
      </c>
      <c r="PO46" t="inlineStr">
        <is>
          <t xml:space="preserve">{</t>
        </is>
      </c>
      <c r="PP46" t="inlineStr">
        <is>
          <t xml:space="preserve">ARABIC_DAL</t>
        </is>
      </c>
      <c r="PR46" t="inlineStr">
        <is>
          <t xml:space="preserve">ARABIC_DAL</t>
        </is>
      </c>
      <c r="PS46" t="inlineStr">
        <is>
          <t xml:space="preserve">{</t>
        </is>
      </c>
      <c r="PT46" t="inlineStr">
        <is>
          <t xml:space="preserve">ARABIC_DAL</t>
        </is>
      </c>
      <c r="PV46" t="inlineStr">
        <is>
          <t xml:space="preserve">ARABIC_DAL</t>
        </is>
      </c>
      <c r="PW46" t="inlineStr">
        <is>
          <t xml:space="preserve">{</t>
        </is>
      </c>
      <c r="PX46" t="inlineStr">
        <is>
          <t xml:space="preserve">ARABIC_DAL</t>
        </is>
      </c>
      <c r="PZ46" t="inlineStr">
        <is>
          <t xml:space="preserve">ARABIC_DAL</t>
        </is>
      </c>
      <c r="QA46" t="inlineStr">
        <is>
          <t xml:space="preserve">{</t>
        </is>
      </c>
      <c r="QB46" t="inlineStr">
        <is>
          <t xml:space="preserve">ARABIC_DAL</t>
        </is>
      </c>
      <c r="QD46" t="inlineStr">
        <is>
          <t xml:space="preserve">ARABIC_DAL</t>
        </is>
      </c>
      <c r="QE46" t="inlineStr">
        <is>
          <t xml:space="preserve">{</t>
        </is>
      </c>
      <c r="QF46" t="inlineStr">
        <is>
          <t xml:space="preserve">ARABIC_DAL</t>
        </is>
      </c>
      <c r="QH46" t="inlineStr">
        <is>
          <t xml:space="preserve">ARABIC_DAL</t>
        </is>
      </c>
      <c r="QI46" t="inlineStr">
        <is>
          <t xml:space="preserve">{</t>
        </is>
      </c>
      <c r="QJ46" t="inlineStr">
        <is>
          <t xml:space="preserve">ARABIC_DAL</t>
        </is>
      </c>
      <c r="QL46" t="inlineStr">
        <is>
          <t xml:space="preserve">ARABIC_DAL</t>
        </is>
      </c>
      <c r="QM46" t="inlineStr">
        <is>
          <t xml:space="preserve">{</t>
        </is>
      </c>
      <c r="QN46" t="inlineStr">
        <is>
          <t xml:space="preserve">ARABIC_DAL</t>
        </is>
      </c>
      <c r="QP46" t="inlineStr">
        <is>
          <t xml:space="preserve">ARABIC_DAL</t>
        </is>
      </c>
      <c r="QQ46" t="inlineStr">
        <is>
          <t xml:space="preserve">{</t>
        </is>
      </c>
      <c r="QR46" t="inlineStr">
        <is>
          <t xml:space="preserve">ARABIC_DAL</t>
        </is>
      </c>
      <c r="QT46" t="inlineStr">
        <is>
          <t xml:space="preserve">ARABIC_DAL</t>
        </is>
      </c>
      <c r="QU46" t="inlineStr">
        <is>
          <t xml:space="preserve">{</t>
        </is>
      </c>
      <c r="QV46" t="inlineStr">
        <is>
          <t xml:space="preserve">ARABIC_DAL</t>
        </is>
      </c>
      <c r="QX46" t="inlineStr">
        <is>
          <t xml:space="preserve">ARABIC_DAL</t>
        </is>
      </c>
      <c r="QY46" t="inlineStr">
        <is>
          <t xml:space="preserve">{</t>
        </is>
      </c>
      <c r="QZ46" t="inlineStr">
        <is>
          <t xml:space="preserve">ARABIC_DAL</t>
        </is>
      </c>
      <c r="RB46" t="inlineStr">
        <is>
          <t xml:space="preserve">ARABIC_DAL</t>
        </is>
      </c>
      <c r="RC46" t="inlineStr">
        <is>
          <t xml:space="preserve">{</t>
        </is>
      </c>
      <c r="RD46" t="inlineStr">
        <is>
          <t xml:space="preserve">ARABIC_DAL</t>
        </is>
      </c>
      <c r="RF46" t="inlineStr">
        <is>
          <t xml:space="preserve">$</t>
        </is>
      </c>
      <c r="RG46" t="inlineStr">
        <is>
          <t xml:space="preserve">U"\f\f\f" POUND_SIGN</t>
        </is>
      </c>
      <c r="RI46" t="inlineStr">
        <is>
          <t xml:space="preserve">CURRENCY_SIGN</t>
        </is>
      </c>
      <c r="RJ46" t="inlineStr">
        <is>
          <t xml:space="preserve">$</t>
        </is>
      </c>
      <c r="RK46" t="inlineStr">
        <is>
          <t xml:space="preserve">U"\f\f\f" POUND_SIGN</t>
        </is>
      </c>
      <c r="RM46" t="inlineStr">
        <is>
          <t xml:space="preserve">CURRENCY_SIGN</t>
        </is>
      </c>
      <c r="RN46" t="inlineStr">
        <is>
          <t xml:space="preserve">$</t>
        </is>
      </c>
      <c r="RO46" t="inlineStr">
        <is>
          <t xml:space="preserve">U"\f\f\f" POUND_SIGN</t>
        </is>
      </c>
      <c r="RQ46" t="inlineStr">
        <is>
          <t xml:space="preserve">CURRENCY_SIGN</t>
        </is>
      </c>
      <c r="RR46" t="inlineStr">
        <is>
          <t xml:space="preserve">$</t>
        </is>
      </c>
      <c r="RS46" t="inlineStr">
        <is>
          <t xml:space="preserve">U"\f\f\f" POUND_SIGN</t>
        </is>
      </c>
      <c r="RU46" t="inlineStr">
        <is>
          <t xml:space="preserve">CURRENCY_SIGN</t>
        </is>
      </c>
      <c r="RV46" t="inlineStr">
        <is>
          <t xml:space="preserve">$</t>
        </is>
      </c>
      <c r="RW46" t="inlineStr">
        <is>
          <t xml:space="preserve">U"\f\f\f" POUND_SIGN</t>
        </is>
      </c>
      <c r="RY46" t="inlineStr">
        <is>
          <t xml:space="preserve">CURRENCY_SIGN</t>
        </is>
      </c>
      <c r="SP46" t="inlineStr">
        <is>
          <t xml:space="preserve">ACUTE_ACCENT</t>
        </is>
      </c>
      <c r="SQ46" t="inlineStr">
        <is>
          <t xml:space="preserve">GRAVE_ACCENT</t>
        </is>
      </c>
      <c r="SR46" t="inlineStr">
        <is>
          <t xml:space="preserve">ACUTE_ACCENT</t>
        </is>
      </c>
      <c r="SS46" t="inlineStr">
        <is>
          <t xml:space="preserve">]</t>
        </is>
      </c>
      <c r="ST46" t="inlineStr">
        <is>
          <t xml:space="preserve">ACUTE_ACCENT</t>
        </is>
      </c>
      <c r="SU46" t="inlineStr">
        <is>
          <t xml:space="preserve">GRAVE_ACCENT</t>
        </is>
      </c>
      <c r="SV46" t="inlineStr">
        <is>
          <t xml:space="preserve">ACUTE_ACCENT</t>
        </is>
      </c>
      <c r="SW46" t="inlineStr">
        <is>
          <t xml:space="preserve">]</t>
        </is>
      </c>
      <c r="SX46" t="inlineStr">
        <is>
          <t xml:space="preserve">BENG_DC_09BC</t>
        </is>
      </c>
      <c r="SY46" t="inlineStr">
        <is>
          <t xml:space="preserve">BENGALI_099E</t>
        </is>
      </c>
      <c r="SZ46" t="inlineStr">
        <is>
          <t xml:space="preserve">BENG_DC_09BC</t>
        </is>
      </c>
      <c r="TV46" t="inlineStr">
        <is>
          <t xml:space="preserve">CYRILLIC_SM_HARD_SIGN</t>
        </is>
      </c>
      <c r="TW46" t="inlineStr">
        <is>
          <t xml:space="preserve">CYRILLIC_HARD_SIGN</t>
        </is>
      </c>
      <c r="TZ46" t="inlineStr">
        <is>
          <t xml:space="preserve">CYRILLIC_SM_HARD_SIGN</t>
        </is>
      </c>
      <c r="UA46" t="inlineStr">
        <is>
          <t xml:space="preserve">CYRILLIC_HARD_SIGN</t>
        </is>
      </c>
      <c r="UT46" t="inlineStr">
        <is>
          <t xml:space="preserve">$</t>
        </is>
      </c>
      <c r="UU46" t="inlineStr">
        <is>
          <t xml:space="preserve">U"\f\f\f" POUND_SIGN</t>
        </is>
      </c>
      <c r="UW46" t="inlineStr">
        <is>
          <t xml:space="preserve">CURRENCY_SIGN</t>
        </is>
      </c>
      <c r="VB46" t="inlineStr">
        <is>
          <t xml:space="preserve">+</t>
        </is>
      </c>
      <c r="VC46" t="inlineStr">
        <is>
          <t xml:space="preserve">*</t>
        </is>
      </c>
      <c r="VD46" t="inlineStr">
        <is>
          <t xml:space="preserve">+</t>
        </is>
      </c>
      <c r="VE46" t="inlineStr">
        <is>
          <t xml:space="preserve">]</t>
        </is>
      </c>
      <c r="VF46" t="inlineStr">
        <is>
          <t xml:space="preserve">+</t>
        </is>
      </c>
      <c r="VG46" t="inlineStr">
        <is>
          <t xml:space="preserve">*</t>
        </is>
      </c>
      <c r="VH46" t="inlineStr">
        <is>
          <t xml:space="preserve">+</t>
        </is>
      </c>
      <c r="VI46" t="inlineStr">
        <is>
          <t xml:space="preserve">]</t>
        </is>
      </c>
      <c r="VJ46" t="inlineStr">
        <is>
          <t xml:space="preserve">DIAERESIS</t>
        </is>
      </c>
      <c r="VK46" t="inlineStr">
        <is>
          <t xml:space="preserve">!</t>
        </is>
      </c>
      <c r="VL46" t="inlineStr">
        <is>
          <t xml:space="preserve">DIAERESIS</t>
        </is>
      </c>
      <c r="VM46" t="inlineStr">
        <is>
          <t xml:space="preserve">]</t>
        </is>
      </c>
      <c r="VV46" t="inlineStr">
        <is>
          <t xml:space="preserve">U"\f\f" LATIN_0127</t>
        </is>
      </c>
      <c r="VW46" t="inlineStr">
        <is>
          <t xml:space="preserve">LATIN_0126</t>
        </is>
      </c>
      <c r="VY46" t="inlineStr">
        <is>
          <t xml:space="preserve">]</t>
        </is>
      </c>
      <c r="VZ46" t="inlineStr">
        <is>
          <t xml:space="preserve">DIAERESIS</t>
        </is>
      </c>
      <c r="WA46" t="inlineStr">
        <is>
          <t xml:space="preserve">!</t>
        </is>
      </c>
      <c r="WB46" t="inlineStr">
        <is>
          <t xml:space="preserve">DIAERESIS</t>
        </is>
      </c>
      <c r="WC46" t="inlineStr">
        <is>
          <t xml:space="preserve">]</t>
        </is>
      </c>
      <c r="WD46" t="inlineStr">
        <is>
          <t xml:space="preserve">U"\f\f\f" LATIN_014B</t>
        </is>
      </c>
      <c r="WE46" t="inlineStr">
        <is>
          <t xml:space="preserve">LATIN_014A</t>
        </is>
      </c>
      <c r="WH46" t="inlineStr">
        <is>
          <t xml:space="preserve">+</t>
        </is>
      </c>
      <c r="WI46" t="inlineStr">
        <is>
          <t xml:space="preserve">*</t>
        </is>
      </c>
      <c r="WJ46" t="inlineStr">
        <is>
          <t xml:space="preserve">+</t>
        </is>
      </c>
      <c r="WK46" t="inlineStr">
        <is>
          <t xml:space="preserve">~</t>
        </is>
      </c>
      <c r="WL46" t="inlineStr">
        <is>
          <t xml:space="preserve">+</t>
        </is>
      </c>
      <c r="WM46" t="inlineStr">
        <is>
          <t xml:space="preserve">*</t>
        </is>
      </c>
      <c r="WN46" t="inlineStr">
        <is>
          <t xml:space="preserve">+</t>
        </is>
      </c>
      <c r="WO46" t="inlineStr">
        <is>
          <t xml:space="preserve">~</t>
        </is>
      </c>
      <c r="WP46" t="inlineStr">
        <is>
          <t xml:space="preserve">+</t>
        </is>
      </c>
      <c r="WQ46" t="inlineStr">
        <is>
          <t xml:space="preserve">*</t>
        </is>
      </c>
      <c r="WR46" t="inlineStr">
        <is>
          <t xml:space="preserve">+</t>
        </is>
      </c>
      <c r="WS46" t="inlineStr">
        <is>
          <t xml:space="preserve">~</t>
        </is>
      </c>
      <c r="WX46" t="inlineStr">
        <is>
          <t xml:space="preserve">+</t>
        </is>
      </c>
      <c r="WY46" t="inlineStr">
        <is>
          <t xml:space="preserve">*</t>
        </is>
      </c>
      <c r="WZ46" t="inlineStr">
        <is>
          <t xml:space="preserve">+</t>
        </is>
      </c>
      <c r="XA46" t="inlineStr">
        <is>
          <t xml:space="preserve">~</t>
        </is>
      </c>
      <c r="XB46" t="inlineStr">
        <is>
          <t xml:space="preserve">U"\f\f\f\f" ARABIC_TCHEH</t>
        </is>
      </c>
      <c r="XC46" t="inlineStr">
        <is>
          <t xml:space="preserve">[</t>
        </is>
      </c>
      <c r="XD46" t="inlineStr">
        <is>
          <t xml:space="preserve">ARABIC_0686</t>
        </is>
      </c>
      <c r="XE46" t="inlineStr">
        <is>
          <t xml:space="preserve">{</t>
        </is>
      </c>
      <c r="XN46" t="inlineStr">
        <is>
          <t xml:space="preserve">CHEROKEE_13B6</t>
        </is>
      </c>
      <c r="XO46" t="inlineStr">
        <is>
          <t xml:space="preserve">CHEROKEE_13E4</t>
        </is>
      </c>
      <c r="XP46" t="inlineStr">
        <is>
          <t xml:space="preserve">CHEROKEE_13B6</t>
        </is>
      </c>
      <c r="XQ46" t="inlineStr">
        <is>
          <t xml:space="preserve">]</t>
        </is>
      </c>
    </row>
    <row r="47" s="116" customFormat="true" ht="15" hidden="false" customHeight="false" outlineLevel="0" collapsed="false">
      <c r="A47" s="93" t="s">
        <v>1312</v>
      </c>
      <c r="B47" s="94" t="s">
        <v>16</v>
      </c>
      <c r="C47" s="94" t="s">
        <v>1224</v>
      </c>
      <c r="D47" s="94" t="s">
        <v>16</v>
      </c>
      <c r="E47" s="94"/>
      <c r="F47" s="95" t="s">
        <v>1228</v>
      </c>
      <c r="G47" s="95" t="s">
        <v>1222</v>
      </c>
      <c r="H47" s="95"/>
      <c r="I47" s="95"/>
      <c r="J47" s="96" t="s">
        <v>1272</v>
      </c>
      <c r="K47" t="inlineStr">
        <is>
          <t xml:space="preserve">U"\f\f\f" MICRO_SIGN</t>
        </is>
      </c>
      <c r="L47" s="96"/>
      <c r="M47" s="96"/>
      <c r="N47" t="inlineStr">
        <is>
          <t xml:space="preserve">U"\f\f\f" C_WITH_CEDILLA_SMALL</t>
        </is>
      </c>
      <c r="O47" t="inlineStr">
        <is>
          <t xml:space="preserve">C_WITH_CEDILLA</t>
        </is>
      </c>
      <c r="P47" s="97"/>
      <c r="Q47" s="97" t="s">
        <v>1185</v>
      </c>
      <c r="R47" s="98" t="s">
        <v>1234</v>
      </c>
      <c r="S47" s="98" t="s">
        <v>1245</v>
      </c>
      <c r="T47" s="98" t="s">
        <v>1234</v>
      </c>
      <c r="U47" s="98"/>
      <c r="V47" t="inlineStr">
        <is>
          <t xml:space="preserve">U"\f\f" U_WITH_GRAVE_SMALL</t>
        </is>
      </c>
      <c r="W47" t="inlineStr">
        <is>
          <t xml:space="preserve">U"\f\f" U_WITH_ACUTE_SMALL</t>
        </is>
      </c>
      <c r="X47" s="99" t="s">
        <v>129</v>
      </c>
      <c r="Y47" t="inlineStr">
        <is>
          <t xml:space="preserve">U"\f\f\f" SECTION</t>
        </is>
      </c>
      <c r="Z47" s="100" t="s">
        <v>1179</v>
      </c>
      <c r="AA47" s="100" t="s">
        <v>1197</v>
      </c>
      <c r="AB47" s="100"/>
      <c r="AC47" s="100" t="s">
        <v>18</v>
      </c>
      <c r="AD47" s="101"/>
      <c r="AE47" s="101"/>
      <c r="AF47" s="101"/>
      <c r="AG47" s="101"/>
      <c r="AH47" t="inlineStr">
        <is>
          <t xml:space="preserve">]</t>
        </is>
      </c>
      <c r="AI47" t="inlineStr">
        <is>
          <t xml:space="preserve">}</t>
        </is>
      </c>
      <c r="AJ47" t="inlineStr">
        <is>
          <t xml:space="preserve">]</t>
        </is>
      </c>
      <c r="AK47" t="inlineStr">
        <is>
          <t xml:space="preserve">HIRAGANA_MU</t>
        </is>
      </c>
      <c r="AL47" s="103" t="s">
        <v>550</v>
      </c>
      <c r="AM47" t="inlineStr">
        <is>
          <t xml:space="preserve">U"\v" ARABIC_SHADDA</t>
        </is>
      </c>
      <c r="AN47" s="103" t="s">
        <v>550</v>
      </c>
      <c r="AO47" s="103"/>
      <c r="AP47" s="104" t="s">
        <v>16</v>
      </c>
      <c r="AQ47" s="118" t="s">
        <v>1224</v>
      </c>
      <c r="AR47" s="104" t="s">
        <v>16</v>
      </c>
      <c r="AS47" s="104" t="s">
        <v>68</v>
      </c>
      <c r="AT47" s="105" t="s">
        <v>16</v>
      </c>
      <c r="AU47" s="119" t="s">
        <v>1173</v>
      </c>
      <c r="AV47" s="105"/>
      <c r="AW47" s="105"/>
      <c r="AX47" s="106" t="s">
        <v>16</v>
      </c>
      <c r="AY47" s="120" t="s">
        <v>1173</v>
      </c>
      <c r="AZ47" s="106"/>
      <c r="BA47" s="106"/>
      <c r="BB47" s="107" t="s">
        <v>16</v>
      </c>
      <c r="BC47" s="121" t="s">
        <v>1173</v>
      </c>
      <c r="BD47" s="107"/>
      <c r="BE47" s="107"/>
      <c r="BF47" s="108" t="s">
        <v>16</v>
      </c>
      <c r="BG47" s="122" t="s">
        <v>1173</v>
      </c>
      <c r="BH47" s="108"/>
      <c r="BI47" s="108"/>
      <c r="BJ47" s="109" t="s">
        <v>1315</v>
      </c>
      <c r="BK47" s="123" t="s">
        <v>1316</v>
      </c>
      <c r="BL47" s="109" t="s">
        <v>1315</v>
      </c>
      <c r="BM47" s="109"/>
      <c r="BN47" s="128" t="s">
        <v>159</v>
      </c>
      <c r="BO47" s="95" t="s">
        <v>1317</v>
      </c>
      <c r="BP47" s="128" t="s">
        <v>159</v>
      </c>
      <c r="BR47" s="124" t="s">
        <v>1318</v>
      </c>
      <c r="BS47" t="inlineStr">
        <is>
          <t xml:space="preserve">LATIN_00C2</t>
        </is>
      </c>
      <c r="BT47" s="124" t="s">
        <v>1319</v>
      </c>
      <c r="BU47" t="inlineStr">
        <is>
          <t xml:space="preserve">U"\\ |"</t>
        </is>
      </c>
      <c r="BZ47" s="111" t="s">
        <v>1181</v>
      </c>
      <c r="CA47" s="111" t="s">
        <v>1223</v>
      </c>
      <c r="CB47" s="111" t="s">
        <v>1181</v>
      </c>
      <c r="CC47" s="111"/>
      <c r="CD47" s="95" t="s">
        <v>16</v>
      </c>
      <c r="CE47" s="95" t="s">
        <v>1224</v>
      </c>
      <c r="CF47" s="95" t="s">
        <v>16</v>
      </c>
      <c r="CG47" t="inlineStr">
        <is>
          <t xml:space="preserve">HEBREW_PASEQ</t>
        </is>
      </c>
      <c r="CH47" s="112" t="s">
        <v>1222</v>
      </c>
      <c r="CI47" s="112" t="s">
        <v>1272</v>
      </c>
      <c r="CJ47" s="112" t="s">
        <v>1222</v>
      </c>
      <c r="CK47" s="112"/>
      <c r="CL47" s="113" t="s">
        <v>1222</v>
      </c>
      <c r="CM47" s="113" t="s">
        <v>1272</v>
      </c>
      <c r="CN47" s="113" t="s">
        <v>1222</v>
      </c>
      <c r="CO47" s="113"/>
      <c r="CP47" s="84" t="s">
        <v>1222</v>
      </c>
      <c r="CQ47" s="84" t="s">
        <v>1272</v>
      </c>
      <c r="CR47" s="84" t="s">
        <v>1222</v>
      </c>
      <c r="CS47" s="84"/>
      <c r="CT47" s="110" t="s">
        <v>1222</v>
      </c>
      <c r="CU47" s="110" t="s">
        <v>1272</v>
      </c>
      <c r="CV47" s="110" t="s">
        <v>1222</v>
      </c>
      <c r="CW47" s="110"/>
      <c r="CX47" t="inlineStr">
        <is>
          <t xml:space="preserve">U"\f\f" LATIN_00E2</t>
        </is>
      </c>
      <c r="CY47" t="inlineStr">
        <is>
          <t xml:space="preserve">LATIN_00C2</t>
        </is>
      </c>
      <c r="CZ47" s="126" t="s">
        <v>1319</v>
      </c>
      <c r="DA47" s="126" t="s">
        <v>51</v>
      </c>
      <c r="DB47" s="127" t="s">
        <v>59</v>
      </c>
      <c r="DC47" s="127" t="s">
        <v>1222</v>
      </c>
      <c r="DD47" s="127" t="s">
        <v>59</v>
      </c>
      <c r="DE47" s="127" t="s">
        <v>51</v>
      </c>
      <c r="DZ47" t="inlineStr">
        <is>
          <t xml:space="preserve">]</t>
        </is>
      </c>
      <c r="EA47" t="inlineStr">
        <is>
          <t xml:space="preserve">}</t>
        </is>
      </c>
      <c r="EB47" t="inlineStr">
        <is>
          <t xml:space="preserve">]</t>
        </is>
      </c>
      <c r="EP47" t="inlineStr">
        <is>
          <t xml:space="preserve">DEVA_DC_0949</t>
        </is>
      </c>
      <c r="EQ47" t="inlineStr">
        <is>
          <t xml:space="preserve">DEVANAGARI_0911</t>
        </is>
      </c>
      <c r="ER47" t="inlineStr">
        <is>
          <t xml:space="preserve">DEVA_DC_0949</t>
        </is>
      </c>
      <c r="ET47" t="inlineStr">
        <is>
          <t xml:space="preserve">DEVA_DC_0949</t>
        </is>
      </c>
      <c r="EU47" t="inlineStr">
        <is>
          <t xml:space="preserve">DEVANAGARI_0911</t>
        </is>
      </c>
      <c r="EV47" t="inlineStr">
        <is>
          <t xml:space="preserve">DEVA_DC_0949</t>
        </is>
      </c>
      <c r="EX47" t="inlineStr">
        <is>
          <t xml:space="preserve">DEVA_DC_0949</t>
        </is>
      </c>
      <c r="EY47" t="inlineStr">
        <is>
          <t xml:space="preserve">DEVANAGARI_0911</t>
        </is>
      </c>
      <c r="EZ47" t="inlineStr">
        <is>
          <t xml:space="preserve">DEVA_DC_0949</t>
        </is>
      </c>
      <c r="FB47" t="inlineStr">
        <is>
          <t xml:space="preserve">!</t>
        </is>
      </c>
      <c r="FC47" t="inlineStr">
        <is>
          <t xml:space="preserve">|</t>
        </is>
      </c>
      <c r="FD47" t="inlineStr">
        <is>
          <t xml:space="preserve">!</t>
        </is>
      </c>
      <c r="FF47" t="inlineStr">
        <is>
          <t xml:space="preserve">BACKSLASH</t>
        </is>
      </c>
      <c r="FG47" t="inlineStr">
        <is>
          <t xml:space="preserve">|</t>
        </is>
      </c>
      <c r="FH47" t="inlineStr">
        <is>
          <t xml:space="preserve">BACKSLASH</t>
        </is>
      </c>
      <c r="FJ47" t="inlineStr">
        <is>
          <t xml:space="preserve">#</t>
        </is>
      </c>
      <c r="FK47" t="inlineStr">
        <is>
          <t xml:space="preserve">~</t>
        </is>
      </c>
      <c r="FL47" t="inlineStr">
        <is>
          <t xml:space="preserve">#</t>
        </is>
      </c>
      <c r="FN47" t="inlineStr">
        <is>
          <t xml:space="preserve">}</t>
        </is>
      </c>
      <c r="FO47" t="inlineStr">
        <is>
          <t xml:space="preserve">]</t>
        </is>
      </c>
      <c r="FP47" t="inlineStr">
        <is>
          <t xml:space="preserve">}</t>
        </is>
      </c>
      <c r="FQ47" t="inlineStr">
        <is>
          <t xml:space="preserve">GRAVE_ACCENT</t>
        </is>
      </c>
      <c r="FR47" t="inlineStr">
        <is>
          <t xml:space="preserve">$</t>
        </is>
      </c>
      <c r="FS47" t="inlineStr">
        <is>
          <t xml:space="preserve">U"\f\f\f" POUND_SIGN</t>
        </is>
      </c>
      <c r="FT47" t="inlineStr">
        <is>
          <t xml:space="preserve">$</t>
        </is>
      </c>
      <c r="FU47" t="inlineStr">
        <is>
          <t xml:space="preserve">}</t>
        </is>
      </c>
      <c r="FV47" t="inlineStr">
        <is>
          <t xml:space="preserve">U"\f\f\f" MICRO_SIGN</t>
        </is>
      </c>
      <c r="FW47" t="inlineStr">
        <is>
          <t xml:space="preserve">U"\f\f\f" POUND_SIGN</t>
        </is>
      </c>
      <c r="FX47" t="inlineStr">
        <is>
          <t xml:space="preserve">U"\f\f\f" MICRO_SIGN</t>
        </is>
      </c>
      <c r="FY47" t="inlineStr">
        <is>
          <t xml:space="preserve">GRAVE_ACCENT</t>
        </is>
      </c>
      <c r="FZ47" t="inlineStr">
        <is>
          <t xml:space="preserve">&lt;</t>
        </is>
      </c>
      <c r="GA47" t="inlineStr">
        <is>
          <t xml:space="preserve">&gt;</t>
        </is>
      </c>
      <c r="GB47" t="inlineStr">
        <is>
          <t xml:space="preserve">&lt;</t>
        </is>
      </c>
      <c r="GC47" t="inlineStr">
        <is>
          <t xml:space="preserve">}</t>
        </is>
      </c>
      <c r="GD47" t="inlineStr">
        <is>
          <t xml:space="preserve">THAI_0E03</t>
        </is>
      </c>
      <c r="GE47" t="inlineStr">
        <is>
          <t xml:space="preserve">THAI_0E05</t>
        </is>
      </c>
      <c r="GF47" t="inlineStr">
        <is>
          <t xml:space="preserve">THAI_0E03</t>
        </is>
      </c>
      <c r="HB47" t="inlineStr">
        <is>
          <t xml:space="preserve">DBL_ANGLE_QMARK_R</t>
        </is>
      </c>
      <c r="HC47" t="inlineStr">
        <is>
          <t xml:space="preserve">DBL_ANGLE_QMARK_L</t>
        </is>
      </c>
      <c r="HD47" t="inlineStr">
        <is>
          <t xml:space="preserve">DBL_ANGLE_QMARK_R</t>
        </is>
      </c>
      <c r="HJ47" t="inlineStr">
        <is>
          <t xml:space="preserve">BACKSLASH</t>
        </is>
      </c>
      <c r="HK47" t="inlineStr">
        <is>
          <t xml:space="preserve">/</t>
        </is>
      </c>
      <c r="HL47" t="inlineStr">
        <is>
          <t xml:space="preserve">BACKSLASH</t>
        </is>
      </c>
      <c r="HN47" t="inlineStr">
        <is>
          <t xml:space="preserve">+</t>
        </is>
      </c>
      <c r="HO47" t="inlineStr">
        <is>
          <t xml:space="preserve">*</t>
        </is>
      </c>
      <c r="HP47" t="inlineStr">
        <is>
          <t xml:space="preserve">+</t>
        </is>
      </c>
      <c r="HV47" t="inlineStr">
        <is>
          <t xml:space="preserve">CJK_IDEOG_COMMA</t>
        </is>
      </c>
      <c r="HW47" t="inlineStr">
        <is>
          <t xml:space="preserve">KANGXI_RADICAL_ONE</t>
        </is>
      </c>
      <c r="HX47" t="inlineStr">
        <is>
          <t xml:space="preserve">CJK_IDEOG_COMMA</t>
        </is>
      </c>
      <c r="JJ47" t="inlineStr">
        <is>
          <t xml:space="preserve">ARABIC_THAL</t>
        </is>
      </c>
      <c r="JK47" t="inlineStr">
        <is>
          <t xml:space="preserve">U"\v" ARABIC_SHADDA</t>
        </is>
      </c>
      <c r="JL47" t="inlineStr">
        <is>
          <t xml:space="preserve">ARABIC_THAL</t>
        </is>
      </c>
      <c r="KD47" t="inlineStr">
        <is>
          <t xml:space="preserve">ARABIC_THAL</t>
        </is>
      </c>
      <c r="KE47" t="inlineStr">
        <is>
          <t xml:space="preserve">U"\v" ARABIC_SHADDA</t>
        </is>
      </c>
      <c r="KF47" t="inlineStr">
        <is>
          <t xml:space="preserve">ARABIC_THAL</t>
        </is>
      </c>
      <c r="KH47" t="inlineStr">
        <is>
          <t xml:space="preserve">ARABIC_THAL</t>
        </is>
      </c>
      <c r="KI47" t="inlineStr">
        <is>
          <t xml:space="preserve">U"\v" ARABIC_SHADDA</t>
        </is>
      </c>
      <c r="KJ47" t="inlineStr">
        <is>
          <t xml:space="preserve">ARABIC_THAL</t>
        </is>
      </c>
      <c r="LA47" t="inlineStr">
        <is>
          <t xml:space="preserve">}</t>
        </is>
      </c>
      <c r="LB47" t="inlineStr">
        <is>
          <t xml:space="preserve">}</t>
        </is>
      </c>
      <c r="LC47" t="inlineStr">
        <is>
          <t xml:space="preserve">]</t>
        </is>
      </c>
      <c r="LD47" t="inlineStr">
        <is>
          <t xml:space="preserve">}</t>
        </is>
      </c>
      <c r="LE47" t="inlineStr">
        <is>
          <t xml:space="preserve">GRAVE_ACCENT</t>
        </is>
      </c>
      <c r="LJ47" t="inlineStr">
        <is>
          <t xml:space="preserve">*</t>
        </is>
      </c>
      <c r="LK47" t="inlineStr">
        <is>
          <t xml:space="preserve">U"\f\f\f" MICRO_SIGN</t>
        </is>
      </c>
      <c r="LN47" t="inlineStr">
        <is>
          <t xml:space="preserve">}</t>
        </is>
      </c>
      <c r="LO47" t="inlineStr">
        <is>
          <t xml:space="preserve">]</t>
        </is>
      </c>
      <c r="LP47" t="inlineStr">
        <is>
          <t xml:space="preserve">}</t>
        </is>
      </c>
      <c r="LQ47" t="inlineStr">
        <is>
          <t xml:space="preserve">GRAVE_ACCENT</t>
        </is>
      </c>
      <c r="LR47" t="inlineStr">
        <is>
          <t xml:space="preserve">}</t>
        </is>
      </c>
      <c r="LS47" t="inlineStr">
        <is>
          <t xml:space="preserve">]</t>
        </is>
      </c>
      <c r="LT47" t="inlineStr">
        <is>
          <t xml:space="preserve">}</t>
        </is>
      </c>
      <c r="LU47" t="inlineStr">
        <is>
          <t xml:space="preserve">GRAVE_ACCENT</t>
        </is>
      </c>
      <c r="LV47" t="inlineStr">
        <is>
          <t xml:space="preserve">}</t>
        </is>
      </c>
      <c r="LW47" t="inlineStr">
        <is>
          <t xml:space="preserve">]</t>
        </is>
      </c>
      <c r="LX47" t="inlineStr">
        <is>
          <t xml:space="preserve">}</t>
        </is>
      </c>
      <c r="LY47" t="inlineStr">
        <is>
          <t xml:space="preserve">GRAVE_ACCENT</t>
        </is>
      </c>
      <c r="LZ47" t="inlineStr">
        <is>
          <t xml:space="preserve">}</t>
        </is>
      </c>
      <c r="MA47" t="inlineStr">
        <is>
          <t xml:space="preserve">]</t>
        </is>
      </c>
      <c r="MB47" t="inlineStr">
        <is>
          <t xml:space="preserve">}</t>
        </is>
      </c>
      <c r="MC47" t="inlineStr">
        <is>
          <t xml:space="preserve">GRAVE_ACCENT</t>
        </is>
      </c>
      <c r="MD47" t="inlineStr">
        <is>
          <t xml:space="preserve">}</t>
        </is>
      </c>
      <c r="ME47" t="inlineStr">
        <is>
          <t xml:space="preserve">]</t>
        </is>
      </c>
      <c r="MF47" t="inlineStr">
        <is>
          <t xml:space="preserve">}</t>
        </is>
      </c>
      <c r="MG47" t="inlineStr">
        <is>
          <t xml:space="preserve">GRAVE_ACCENT</t>
        </is>
      </c>
      <c r="MH47" t="inlineStr">
        <is>
          <t xml:space="preserve">}</t>
        </is>
      </c>
      <c r="MI47" t="inlineStr">
        <is>
          <t xml:space="preserve">]</t>
        </is>
      </c>
      <c r="MJ47" t="inlineStr">
        <is>
          <t xml:space="preserve">}</t>
        </is>
      </c>
      <c r="MK47" t="inlineStr">
        <is>
          <t xml:space="preserve">GRAVE_ACCENT</t>
        </is>
      </c>
      <c r="ML47" t="inlineStr">
        <is>
          <t xml:space="preserve">}</t>
        </is>
      </c>
      <c r="MM47" t="inlineStr">
        <is>
          <t xml:space="preserve">]</t>
        </is>
      </c>
      <c r="MN47" t="inlineStr">
        <is>
          <t xml:space="preserve">}</t>
        </is>
      </c>
      <c r="MO47" t="inlineStr">
        <is>
          <t xml:space="preserve">GRAVE_ACCENT</t>
        </is>
      </c>
      <c r="MP47" t="inlineStr">
        <is>
          <t xml:space="preserve">}</t>
        </is>
      </c>
      <c r="MQ47" t="inlineStr">
        <is>
          <t xml:space="preserve">]</t>
        </is>
      </c>
      <c r="MR47" t="inlineStr">
        <is>
          <t xml:space="preserve">}</t>
        </is>
      </c>
      <c r="MS47" t="inlineStr">
        <is>
          <t xml:space="preserve">GRAVE_ACCENT</t>
        </is>
      </c>
      <c r="MT47" t="inlineStr">
        <is>
          <t xml:space="preserve">}</t>
        </is>
      </c>
      <c r="MU47" t="inlineStr">
        <is>
          <t xml:space="preserve">]</t>
        </is>
      </c>
      <c r="MV47" t="inlineStr">
        <is>
          <t xml:space="preserve">}</t>
        </is>
      </c>
      <c r="MW47" t="inlineStr">
        <is>
          <t xml:space="preserve">GRAVE_ACCENT</t>
        </is>
      </c>
      <c r="MX47" t="inlineStr">
        <is>
          <t xml:space="preserve">}</t>
        </is>
      </c>
      <c r="MY47" t="inlineStr">
        <is>
          <t xml:space="preserve">]</t>
        </is>
      </c>
      <c r="MZ47" t="inlineStr">
        <is>
          <t xml:space="preserve">}</t>
        </is>
      </c>
      <c r="NA47" t="inlineStr">
        <is>
          <t xml:space="preserve">GRAVE_ACCENT</t>
        </is>
      </c>
      <c r="NB47" t="inlineStr">
        <is>
          <t xml:space="preserve">}</t>
        </is>
      </c>
      <c r="NC47" t="inlineStr">
        <is>
          <t xml:space="preserve">]</t>
        </is>
      </c>
      <c r="ND47" t="inlineStr">
        <is>
          <t xml:space="preserve">}</t>
        </is>
      </c>
      <c r="NE47" t="inlineStr">
        <is>
          <t xml:space="preserve">GRAVE_ACCENT</t>
        </is>
      </c>
      <c r="NF47" t="inlineStr">
        <is>
          <t xml:space="preserve">}</t>
        </is>
      </c>
      <c r="NG47" t="inlineStr">
        <is>
          <t xml:space="preserve">]</t>
        </is>
      </c>
      <c r="NH47" t="inlineStr">
        <is>
          <t xml:space="preserve">}</t>
        </is>
      </c>
      <c r="NI47" t="inlineStr">
        <is>
          <t xml:space="preserve">GRAVE_ACCENT</t>
        </is>
      </c>
      <c r="NJ47" t="inlineStr">
        <is>
          <t xml:space="preserve">}</t>
        </is>
      </c>
      <c r="NK47" t="inlineStr">
        <is>
          <t xml:space="preserve">]</t>
        </is>
      </c>
      <c r="NL47" t="inlineStr">
        <is>
          <t xml:space="preserve">}</t>
        </is>
      </c>
      <c r="NM47" t="inlineStr">
        <is>
          <t xml:space="preserve">GRAVE_ACCENT</t>
        </is>
      </c>
      <c r="NN47" t="inlineStr">
        <is>
          <t xml:space="preserve">}</t>
        </is>
      </c>
      <c r="NO47" t="inlineStr">
        <is>
          <t xml:space="preserve">]</t>
        </is>
      </c>
      <c r="NP47" t="inlineStr">
        <is>
          <t xml:space="preserve">}</t>
        </is>
      </c>
      <c r="NQ47" t="inlineStr">
        <is>
          <t xml:space="preserve">GRAVE_ACCENT</t>
        </is>
      </c>
      <c r="NR47" t="inlineStr">
        <is>
          <t xml:space="preserve">}</t>
        </is>
      </c>
      <c r="NS47" t="inlineStr">
        <is>
          <t xml:space="preserve">]</t>
        </is>
      </c>
      <c r="NT47" t="inlineStr">
        <is>
          <t xml:space="preserve">}</t>
        </is>
      </c>
      <c r="NU47" t="inlineStr">
        <is>
          <t xml:space="preserve">GRAVE_ACCENT</t>
        </is>
      </c>
      <c r="NV47" t="inlineStr">
        <is>
          <t xml:space="preserve">#</t>
        </is>
      </c>
      <c r="NW47" t="inlineStr">
        <is>
          <t xml:space="preserve">'</t>
        </is>
      </c>
      <c r="NZ47" t="inlineStr">
        <is>
          <t xml:space="preserve">U"\f\f\f" MICRO_SIGN</t>
        </is>
      </c>
      <c r="OA47" t="inlineStr">
        <is>
          <t xml:space="preserve">U"\f\f\f" POUND_SIGN</t>
        </is>
      </c>
      <c r="OB47" t="inlineStr">
        <is>
          <t xml:space="preserve">U"\f\f\f" MICRO_SIGN</t>
        </is>
      </c>
      <c r="OC47" t="inlineStr">
        <is>
          <t xml:space="preserve">GRAVE_ACCENT</t>
        </is>
      </c>
      <c r="OD47" t="inlineStr">
        <is>
          <t xml:space="preserve">C_WITH_CEDILLA_SMALL</t>
        </is>
      </c>
      <c r="OE47" t="inlineStr">
        <is>
          <t xml:space="preserve">C_WITH_CEDILLA</t>
        </is>
      </c>
      <c r="OG47" t="inlineStr">
        <is>
          <t xml:space="preserve">}</t>
        </is>
      </c>
      <c r="OH47" t="inlineStr">
        <is>
          <t xml:space="preserve">#</t>
        </is>
      </c>
      <c r="OI47" t="inlineStr">
        <is>
          <t xml:space="preserve">~</t>
        </is>
      </c>
      <c r="OJ47" t="inlineStr">
        <is>
          <t xml:space="preserve">#</t>
        </is>
      </c>
      <c r="OP47" t="inlineStr">
        <is>
          <t xml:space="preserve">$</t>
        </is>
      </c>
      <c r="OQ47" t="inlineStr">
        <is>
          <t xml:space="preserve">U"\f\f\f" POUND_SIGN</t>
        </is>
      </c>
      <c r="OR47" t="inlineStr">
        <is>
          <t xml:space="preserve">$</t>
        </is>
      </c>
      <c r="OS47" t="inlineStr">
        <is>
          <t xml:space="preserve">}</t>
        </is>
      </c>
      <c r="OX47" t="inlineStr">
        <is>
          <t xml:space="preserve">'</t>
        </is>
      </c>
      <c r="OY47" t="inlineStr">
        <is>
          <t xml:space="preserve">*</t>
        </is>
      </c>
      <c r="OZ47" t="inlineStr">
        <is>
          <t xml:space="preserve">'</t>
        </is>
      </c>
      <c r="PB47" t="inlineStr">
        <is>
          <t xml:space="preserve">ARABIC_THAL</t>
        </is>
      </c>
      <c r="PC47" t="inlineStr">
        <is>
          <t xml:space="preserve">U"\v" ARABIC_SHADDA</t>
        </is>
      </c>
      <c r="PD47" t="inlineStr">
        <is>
          <t xml:space="preserve">ARABIC_THAL</t>
        </is>
      </c>
      <c r="PF47" t="inlineStr">
        <is>
          <t xml:space="preserve">ARABIC_THAL</t>
        </is>
      </c>
      <c r="PG47" t="inlineStr">
        <is>
          <t xml:space="preserve">U"\v" ARABIC_SHADDA</t>
        </is>
      </c>
      <c r="PH47" t="inlineStr">
        <is>
          <t xml:space="preserve">ARABIC_THAL</t>
        </is>
      </c>
      <c r="PJ47" t="inlineStr">
        <is>
          <t xml:space="preserve">ARABIC_THAL</t>
        </is>
      </c>
      <c r="PK47" t="inlineStr">
        <is>
          <t xml:space="preserve">U"\v" ARABIC_SHADDA</t>
        </is>
      </c>
      <c r="PL47" t="inlineStr">
        <is>
          <t xml:space="preserve">ARABIC_THAL</t>
        </is>
      </c>
      <c r="PN47" t="inlineStr">
        <is>
          <t xml:space="preserve">ARABIC_THAL</t>
        </is>
      </c>
      <c r="PO47" t="inlineStr">
        <is>
          <t xml:space="preserve">U"\v" ARABIC_SHADDA</t>
        </is>
      </c>
      <c r="PP47" t="inlineStr">
        <is>
          <t xml:space="preserve">ARABIC_THAL</t>
        </is>
      </c>
      <c r="PR47" t="inlineStr">
        <is>
          <t xml:space="preserve">ARABIC_THAL</t>
        </is>
      </c>
      <c r="PS47" t="inlineStr">
        <is>
          <t xml:space="preserve">U"\v" ARABIC_SHADDA</t>
        </is>
      </c>
      <c r="PT47" t="inlineStr">
        <is>
          <t xml:space="preserve">ARABIC_THAL</t>
        </is>
      </c>
      <c r="PV47" t="inlineStr">
        <is>
          <t xml:space="preserve">ARABIC_THAL</t>
        </is>
      </c>
      <c r="PW47" t="inlineStr">
        <is>
          <t xml:space="preserve">U"\v" ARABIC_SHADDA</t>
        </is>
      </c>
      <c r="PX47" t="inlineStr">
        <is>
          <t xml:space="preserve">ARABIC_THAL</t>
        </is>
      </c>
      <c r="PZ47" t="inlineStr">
        <is>
          <t xml:space="preserve">ARABIC_THAL</t>
        </is>
      </c>
      <c r="QA47" t="inlineStr">
        <is>
          <t xml:space="preserve">U"\v" ARABIC_SHADDA</t>
        </is>
      </c>
      <c r="QB47" t="inlineStr">
        <is>
          <t xml:space="preserve">ARABIC_THAL</t>
        </is>
      </c>
      <c r="QD47" t="inlineStr">
        <is>
          <t xml:space="preserve">ARABIC_THAL</t>
        </is>
      </c>
      <c r="QE47" t="inlineStr">
        <is>
          <t xml:space="preserve">U"\v" ARABIC_SHADDA</t>
        </is>
      </c>
      <c r="QF47" t="inlineStr">
        <is>
          <t xml:space="preserve">ARABIC_THAL</t>
        </is>
      </c>
      <c r="QH47" t="inlineStr">
        <is>
          <t xml:space="preserve">ARABIC_THAL</t>
        </is>
      </c>
      <c r="QI47" t="inlineStr">
        <is>
          <t xml:space="preserve">U"\v" ARABIC_SHADDA</t>
        </is>
      </c>
      <c r="QJ47" t="inlineStr">
        <is>
          <t xml:space="preserve">ARABIC_THAL</t>
        </is>
      </c>
      <c r="QL47" t="inlineStr">
        <is>
          <t xml:space="preserve">ARABIC_THAL</t>
        </is>
      </c>
      <c r="QM47" t="inlineStr">
        <is>
          <t xml:space="preserve">U"\v" ARABIC_SHADDA</t>
        </is>
      </c>
      <c r="QN47" t="inlineStr">
        <is>
          <t xml:space="preserve">ARABIC_THAL</t>
        </is>
      </c>
      <c r="QP47" t="inlineStr">
        <is>
          <t xml:space="preserve">ARABIC_THAL</t>
        </is>
      </c>
      <c r="QQ47" t="inlineStr">
        <is>
          <t xml:space="preserve">U"\v" ARABIC_SHADDA</t>
        </is>
      </c>
      <c r="QR47" t="inlineStr">
        <is>
          <t xml:space="preserve">ARABIC_THAL</t>
        </is>
      </c>
      <c r="QT47" t="inlineStr">
        <is>
          <t xml:space="preserve">ARABIC_THAL</t>
        </is>
      </c>
      <c r="QU47" t="inlineStr">
        <is>
          <t xml:space="preserve">U"\v" ARABIC_SHADDA</t>
        </is>
      </c>
      <c r="QV47" t="inlineStr">
        <is>
          <t xml:space="preserve">ARABIC_THAL</t>
        </is>
      </c>
      <c r="QX47" t="inlineStr">
        <is>
          <t xml:space="preserve">ARABIC_THAL</t>
        </is>
      </c>
      <c r="QY47" t="inlineStr">
        <is>
          <t xml:space="preserve">U"\v" ARABIC_SHADDA</t>
        </is>
      </c>
      <c r="QZ47" t="inlineStr">
        <is>
          <t xml:space="preserve">ARABIC_THAL</t>
        </is>
      </c>
      <c r="RB47" t="inlineStr">
        <is>
          <t xml:space="preserve">ARABIC_THAL</t>
        </is>
      </c>
      <c r="RC47" t="inlineStr">
        <is>
          <t xml:space="preserve">U"\v" ARABIC_SHADDA</t>
        </is>
      </c>
      <c r="RD47" t="inlineStr">
        <is>
          <t xml:space="preserve">ARABIC_THAL</t>
        </is>
      </c>
      <c r="RF47" t="inlineStr">
        <is>
          <t xml:space="preserve">*</t>
        </is>
      </c>
      <c r="RG47" t="inlineStr">
        <is>
          <t xml:space="preserve">U"\f\f\f" MICRO_SIGN</t>
        </is>
      </c>
      <c r="RJ47" t="inlineStr">
        <is>
          <t xml:space="preserve">*</t>
        </is>
      </c>
      <c r="RK47" t="inlineStr">
        <is>
          <t xml:space="preserve">U"\f\f\f" MICRO_SIGN</t>
        </is>
      </c>
      <c r="RN47" t="inlineStr">
        <is>
          <t xml:space="preserve">*</t>
        </is>
      </c>
      <c r="RO47" t="inlineStr">
        <is>
          <t xml:space="preserve">U"\f\f\f" MICRO_SIGN</t>
        </is>
      </c>
      <c r="RR47" t="inlineStr">
        <is>
          <t xml:space="preserve">*</t>
        </is>
      </c>
      <c r="RS47" t="inlineStr">
        <is>
          <t xml:space="preserve">U"\f\f\f" MICRO_SIGN</t>
        </is>
      </c>
      <c r="RV47" t="inlineStr">
        <is>
          <t xml:space="preserve">*</t>
        </is>
      </c>
      <c r="RW47" t="inlineStr">
        <is>
          <t xml:space="preserve">U"\f\f\f" MICRO_SIGN</t>
        </is>
      </c>
      <c r="SP47" t="inlineStr">
        <is>
          <t xml:space="preserve">~</t>
        </is>
      </c>
      <c r="SQ47" t="inlineStr">
        <is>
          <t xml:space="preserve">^</t>
        </is>
      </c>
      <c r="SR47" t="inlineStr">
        <is>
          <t xml:space="preserve">~</t>
        </is>
      </c>
      <c r="ST47" t="inlineStr">
        <is>
          <t xml:space="preserve">~</t>
        </is>
      </c>
      <c r="SU47" t="inlineStr">
        <is>
          <t xml:space="preserve">^</t>
        </is>
      </c>
      <c r="SV47" t="inlineStr">
        <is>
          <t xml:space="preserve">~</t>
        </is>
      </c>
      <c r="TV47" t="inlineStr">
        <is>
          <t xml:space="preserve">BACKSLASH</t>
        </is>
      </c>
      <c r="TW47" t="inlineStr">
        <is>
          <t xml:space="preserve">/</t>
        </is>
      </c>
      <c r="TZ47" t="inlineStr">
        <is>
          <t xml:space="preserve">BACKSLASH</t>
        </is>
      </c>
      <c r="UA47" t="inlineStr">
        <is>
          <t xml:space="preserve">/</t>
        </is>
      </c>
      <c r="UT47" t="inlineStr">
        <is>
          <t xml:space="preserve">*</t>
        </is>
      </c>
      <c r="UU47" t="inlineStr">
        <is>
          <t xml:space="preserve">U"\f\f\f" MICRO_SIGN</t>
        </is>
      </c>
      <c r="VB47" t="inlineStr">
        <is>
          <t xml:space="preserve">C_WITH_CEDILLA_SMALL</t>
        </is>
      </c>
      <c r="VC47" t="inlineStr">
        <is>
          <t xml:space="preserve">C_WITH_CEDILLA</t>
        </is>
      </c>
      <c r="VE47" t="inlineStr">
        <is>
          <t xml:space="preserve">}</t>
        </is>
      </c>
      <c r="VF47" t="inlineStr">
        <is>
          <t xml:space="preserve">U"\f\f" C_WITH_CEDILLA_SMALL</t>
        </is>
      </c>
      <c r="VG47" t="inlineStr">
        <is>
          <t xml:space="preserve">C_WITH_CEDILLA</t>
        </is>
      </c>
      <c r="VI47" t="inlineStr">
        <is>
          <t xml:space="preserve">}</t>
        </is>
      </c>
      <c r="VJ47" t="inlineStr">
        <is>
          <t xml:space="preserve">$</t>
        </is>
      </c>
      <c r="VK47" t="inlineStr">
        <is>
          <t xml:space="preserve">U"\f\f\f" POUND_SIGN</t>
        </is>
      </c>
      <c r="VL47" t="inlineStr">
        <is>
          <t xml:space="preserve">$</t>
        </is>
      </c>
      <c r="VM47" t="inlineStr">
        <is>
          <t xml:space="preserve">}</t>
        </is>
      </c>
      <c r="VN47" t="inlineStr">
        <is>
          <t xml:space="preserve">#</t>
        </is>
      </c>
      <c r="VO47" t="inlineStr">
        <is>
          <t xml:space="preserve">~</t>
        </is>
      </c>
      <c r="VP47" t="inlineStr">
        <is>
          <t xml:space="preserve">#</t>
        </is>
      </c>
      <c r="VR47" t="inlineStr">
        <is>
          <t xml:space="preserve">#</t>
        </is>
      </c>
      <c r="VS47" t="inlineStr">
        <is>
          <t xml:space="preserve">~</t>
        </is>
      </c>
      <c r="VT47" t="inlineStr">
        <is>
          <t xml:space="preserve">#</t>
        </is>
      </c>
      <c r="VV47" t="inlineStr">
        <is>
          <t xml:space="preserve">#</t>
        </is>
      </c>
      <c r="VW47" t="inlineStr">
        <is>
          <t xml:space="preserve">~</t>
        </is>
      </c>
      <c r="VX47" t="inlineStr">
        <is>
          <t xml:space="preserve">#</t>
        </is>
      </c>
      <c r="VZ47" t="inlineStr">
        <is>
          <t xml:space="preserve">$</t>
        </is>
      </c>
      <c r="WA47" t="inlineStr">
        <is>
          <t xml:space="preserve">U"\f\f\f" POUND_SIGN</t>
        </is>
      </c>
      <c r="WB47" t="inlineStr">
        <is>
          <t xml:space="preserve">$</t>
        </is>
      </c>
      <c r="WC47" t="inlineStr">
        <is>
          <t xml:space="preserve">}</t>
        </is>
      </c>
      <c r="WD47" t="inlineStr">
        <is>
          <t xml:space="preserve">U"\f\f\f" LATIN_0111</t>
        </is>
      </c>
      <c r="WE47" t="inlineStr">
        <is>
          <t xml:space="preserve">LATIN_0110</t>
        </is>
      </c>
      <c r="WG47" t="inlineStr">
        <is>
          <t xml:space="preserve">'</t>
        </is>
      </c>
      <c r="WH47" t="inlineStr">
        <is>
          <t xml:space="preserve">}</t>
        </is>
      </c>
      <c r="WI47" t="inlineStr">
        <is>
          <t xml:space="preserve">]</t>
        </is>
      </c>
      <c r="WJ47" t="inlineStr">
        <is>
          <t xml:space="preserve">}</t>
        </is>
      </c>
      <c r="WK47" t="inlineStr">
        <is>
          <t xml:space="preserve">GRAVE_ACCENT</t>
        </is>
      </c>
      <c r="WL47" t="inlineStr">
        <is>
          <t xml:space="preserve">}</t>
        </is>
      </c>
      <c r="WM47" t="inlineStr">
        <is>
          <t xml:space="preserve">]</t>
        </is>
      </c>
      <c r="WN47" t="inlineStr">
        <is>
          <t xml:space="preserve">}</t>
        </is>
      </c>
      <c r="WO47" t="inlineStr">
        <is>
          <t xml:space="preserve">GRAVE_ACCENT</t>
        </is>
      </c>
      <c r="WP47" t="inlineStr">
        <is>
          <t xml:space="preserve">}</t>
        </is>
      </c>
      <c r="WQ47" t="inlineStr">
        <is>
          <t xml:space="preserve">]</t>
        </is>
      </c>
      <c r="WR47" t="inlineStr">
        <is>
          <t xml:space="preserve">}</t>
        </is>
      </c>
      <c r="WS47" t="inlineStr">
        <is>
          <t xml:space="preserve">GRAVE_ACCENT</t>
        </is>
      </c>
      <c r="WX47" t="inlineStr">
        <is>
          <t xml:space="preserve">}</t>
        </is>
      </c>
      <c r="WY47" t="inlineStr">
        <is>
          <t xml:space="preserve">]</t>
        </is>
      </c>
      <c r="WZ47" t="inlineStr">
        <is>
          <t xml:space="preserve">}</t>
        </is>
      </c>
      <c r="XA47" t="inlineStr">
        <is>
          <t xml:space="preserve">GRAVE_ACCENT</t>
        </is>
      </c>
      <c r="XB47" t="inlineStr">
        <is>
          <t xml:space="preserve">BACKSLASH</t>
        </is>
      </c>
      <c r="XC47" t="inlineStr">
        <is>
          <t xml:space="preserve">*</t>
        </is>
      </c>
      <c r="XD47" t="inlineStr">
        <is>
          <t xml:space="preserve">BACKSLASH</t>
        </is>
      </c>
      <c r="XE47" t="inlineStr">
        <is>
          <t xml:space="preserve">|</t>
        </is>
      </c>
      <c r="XF47" t="inlineStr">
        <is>
          <t xml:space="preserve">BACKSLASH</t>
        </is>
      </c>
      <c r="XG47" t="inlineStr">
        <is>
          <t xml:space="preserve">|</t>
        </is>
      </c>
      <c r="XH47" t="inlineStr">
        <is>
          <t xml:space="preserve">BACKSLASH</t>
        </is>
      </c>
    </row>
    <row r="48" s="116" customFormat="true" ht="15" hidden="false" customHeight="false" outlineLevel="0" collapsed="false">
      <c r="A48" s="93" t="s">
        <v>1322</v>
      </c>
      <c r="B48" s="94" t="s">
        <v>1228</v>
      </c>
      <c r="C48" s="94" t="s">
        <v>1234</v>
      </c>
      <c r="D48" s="94" t="s">
        <v>1228</v>
      </c>
      <c r="E48" s="94"/>
      <c r="F48" s="95" t="s">
        <v>1228</v>
      </c>
      <c r="G48" s="95" t="s">
        <v>1222</v>
      </c>
      <c r="H48" s="95"/>
      <c r="I48" s="95"/>
      <c r="J48" s="96"/>
      <c r="K48" s="96"/>
      <c r="L48" s="96"/>
      <c r="M48" s="96"/>
      <c r="N48" s="97"/>
      <c r="O48" s="97"/>
      <c r="P48" s="97"/>
      <c r="Q48" s="97"/>
      <c r="R48" s="98"/>
      <c r="S48" s="98"/>
      <c r="T48" s="98"/>
      <c r="U48" s="98"/>
      <c r="V48" s="99"/>
      <c r="W48" s="99"/>
      <c r="X48" s="99"/>
      <c r="Y48" s="99"/>
      <c r="Z48" s="100"/>
      <c r="AA48" s="100"/>
      <c r="AB48" s="100"/>
      <c r="AC48" s="100"/>
      <c r="AD48" s="101"/>
      <c r="AE48" s="101"/>
      <c r="AF48" s="101"/>
      <c r="AG48" s="101"/>
      <c r="AH48" t="inlineStr">
        <is>
          <t xml:space="preserve">]</t>
        </is>
      </c>
      <c r="AI48" t="inlineStr">
        <is>
          <t xml:space="preserve">}</t>
        </is>
      </c>
      <c r="AJ48" t="inlineStr">
        <is>
          <t xml:space="preserve">]</t>
        </is>
      </c>
      <c r="AK48" t="inlineStr">
        <is>
          <t xml:space="preserve">HIRAGANA_MU</t>
        </is>
      </c>
      <c r="AL48" s="103"/>
      <c r="AM48" s="103"/>
      <c r="AN48" s="103"/>
      <c r="AO48" s="103"/>
      <c r="AP48" s="104"/>
      <c r="AQ48" s="104"/>
      <c r="AR48" s="104"/>
      <c r="AS48" s="104"/>
      <c r="AT48" s="105"/>
      <c r="AU48" s="105"/>
      <c r="AV48" s="105"/>
      <c r="AW48" s="105"/>
      <c r="AX48" s="106"/>
      <c r="AY48" s="106"/>
      <c r="AZ48" s="106"/>
      <c r="BA48" s="106"/>
      <c r="BB48" s="107"/>
      <c r="BC48" s="107"/>
      <c r="BD48" s="107"/>
      <c r="BE48" s="107"/>
      <c r="BF48" s="108"/>
      <c r="BG48" s="108"/>
      <c r="BH48" s="108"/>
      <c r="BI48" s="108"/>
      <c r="BJ48" s="109"/>
      <c r="BK48" s="109"/>
      <c r="BL48" s="109"/>
      <c r="BM48" s="109"/>
      <c r="BN48" s="95"/>
      <c r="BO48" s="95"/>
      <c r="BP48" s="95"/>
      <c r="BQ48" s="95"/>
      <c r="BR48" s="110"/>
      <c r="BS48" t="inlineStr">
        <is>
          <t xml:space="preserve">U"\x06\x06~"</t>
        </is>
      </c>
      <c r="BT48" s="110"/>
      <c r="BU48" s="110"/>
      <c r="BZ48" s="111"/>
      <c r="CA48" s="111"/>
      <c r="CB48" s="111"/>
      <c r="CC48" s="111"/>
      <c r="CD48" s="95" t="s">
        <v>1228</v>
      </c>
      <c r="CE48" s="95" t="s">
        <v>1234</v>
      </c>
      <c r="CF48" s="95" t="s">
        <v>1228</v>
      </c>
      <c r="CG48" s="95"/>
      <c r="CH48" s="112"/>
      <c r="CI48" s="112"/>
      <c r="CJ48" s="112"/>
      <c r="CK48" s="112"/>
      <c r="CL48" s="113"/>
      <c r="CM48" s="113"/>
      <c r="CN48" s="113"/>
      <c r="CO48" s="113"/>
      <c r="CP48" s="84"/>
      <c r="CQ48" s="84"/>
      <c r="CR48" s="84"/>
      <c r="CS48" s="84"/>
      <c r="CT48" s="110"/>
      <c r="CU48" s="110"/>
      <c r="CV48" s="110"/>
      <c r="CW48" s="110"/>
      <c r="CX48" s="114"/>
      <c r="CY48" s="114"/>
      <c r="CZ48" s="114"/>
      <c r="DA48" s="114"/>
      <c r="DB48" s="115"/>
      <c r="DC48" s="115"/>
      <c r="DD48" s="115"/>
      <c r="DE48" s="115"/>
      <c r="DF48" t="inlineStr">
        <is>
          <t xml:space="preserve">U"\f\f" LATIN_017E</t>
        </is>
      </c>
      <c r="DG48" t="inlineStr">
        <is>
          <t xml:space="preserve">LATIN_017D</t>
        </is>
      </c>
      <c r="DJ48" t="inlineStr">
        <is>
          <t xml:space="preserve">LATIN_0148</t>
        </is>
      </c>
      <c r="DK48" t="inlineStr">
        <is>
          <t xml:space="preserve">)</t>
        </is>
      </c>
      <c r="DL48" t="inlineStr">
        <is>
          <t xml:space="preserve">LATIN_0148</t>
        </is>
      </c>
      <c r="DV48" t="inlineStr">
        <is>
          <t xml:space="preserve">'</t>
        </is>
      </c>
      <c r="DW48" t="inlineStr">
        <is>
          <t xml:space="preserve">*</t>
        </is>
      </c>
      <c r="DX48" t="inlineStr">
        <is>
          <t xml:space="preserve">'</t>
        </is>
      </c>
      <c r="ED48" t="inlineStr">
        <is>
          <t xml:space="preserve">U"\f\f" CYRILLIC_SM_ZHE</t>
        </is>
      </c>
      <c r="EE48" t="inlineStr">
        <is>
          <t xml:space="preserve">CYRILLIC_ZHE</t>
        </is>
      </c>
      <c r="EH48" t="inlineStr">
        <is>
          <t xml:space="preserve">CYRILLIC_SM_ZHE</t>
        </is>
      </c>
      <c r="EI48" t="inlineStr">
        <is>
          <t xml:space="preserve">CYRILLIC_ZHE</t>
        </is>
      </c>
      <c r="FJ48" t="inlineStr">
        <is>
          <t xml:space="preserve">#</t>
        </is>
      </c>
      <c r="FK48" t="inlineStr">
        <is>
          <t xml:space="preserve">~</t>
        </is>
      </c>
      <c r="FL48" t="inlineStr">
        <is>
          <t xml:space="preserve">#</t>
        </is>
      </c>
      <c r="FN48" t="inlineStr">
        <is>
          <t xml:space="preserve">}</t>
        </is>
      </c>
      <c r="FO48" t="inlineStr">
        <is>
          <t xml:space="preserve">]</t>
        </is>
      </c>
      <c r="FP48" t="inlineStr">
        <is>
          <t xml:space="preserve">}</t>
        </is>
      </c>
      <c r="FQ48" t="inlineStr">
        <is>
          <t xml:space="preserve">GRAVE_ACCENT</t>
        </is>
      </c>
      <c r="FR48" t="inlineStr">
        <is>
          <t xml:space="preserve">$</t>
        </is>
      </c>
      <c r="FS48" t="inlineStr">
        <is>
          <t xml:space="preserve">U"\f\f\f" POUND_SIGN</t>
        </is>
      </c>
      <c r="FT48" t="inlineStr">
        <is>
          <t xml:space="preserve">$</t>
        </is>
      </c>
      <c r="FU48" t="inlineStr">
        <is>
          <t xml:space="preserve">}</t>
        </is>
      </c>
      <c r="FV48" t="inlineStr">
        <is>
          <t xml:space="preserve">U"\f\f\f" MICRO_SIGN</t>
        </is>
      </c>
      <c r="FW48" t="inlineStr">
        <is>
          <t xml:space="preserve">U"\f\f\f" POUND_SIGN</t>
        </is>
      </c>
      <c r="FX48" t="inlineStr">
        <is>
          <t xml:space="preserve">U"\f\f\f" MICRO_SIGN</t>
        </is>
      </c>
      <c r="FY48" t="inlineStr">
        <is>
          <t xml:space="preserve">GRAVE_ACCENT</t>
        </is>
      </c>
      <c r="FZ48" t="inlineStr">
        <is>
          <t xml:space="preserve">&lt;</t>
        </is>
      </c>
      <c r="GA48" t="inlineStr">
        <is>
          <t xml:space="preserve">&gt;</t>
        </is>
      </c>
      <c r="GB48" t="inlineStr">
        <is>
          <t xml:space="preserve">&lt;</t>
        </is>
      </c>
      <c r="GC48" t="inlineStr">
        <is>
          <t xml:space="preserve">}</t>
        </is>
      </c>
      <c r="GD48" t="inlineStr">
        <is>
          <t xml:space="preserve">THAI_0E03</t>
        </is>
      </c>
      <c r="GE48" t="inlineStr">
        <is>
          <t xml:space="preserve">THAI_0E05</t>
        </is>
      </c>
      <c r="GF48" t="inlineStr">
        <is>
          <t xml:space="preserve">THAI_0E03</t>
        </is>
      </c>
      <c r="HB48" t="inlineStr">
        <is>
          <t xml:space="preserve">DBL_ANGLE_QMARK_R</t>
        </is>
      </c>
      <c r="HC48" t="inlineStr">
        <is>
          <t xml:space="preserve">DBL_ANGLE_QMARK_L</t>
        </is>
      </c>
      <c r="HD48" t="inlineStr">
        <is>
          <t xml:space="preserve">DBL_ANGLE_QMARK_R</t>
        </is>
      </c>
      <c r="HJ48" t="inlineStr">
        <is>
          <t xml:space="preserve">BACKSLASH</t>
        </is>
      </c>
      <c r="HK48" t="inlineStr">
        <is>
          <t xml:space="preserve">/</t>
        </is>
      </c>
      <c r="HL48" t="inlineStr">
        <is>
          <t xml:space="preserve">BACKSLASH</t>
        </is>
      </c>
      <c r="HN48" t="inlineStr">
        <is>
          <t xml:space="preserve">+</t>
        </is>
      </c>
      <c r="HO48" t="inlineStr">
        <is>
          <t xml:space="preserve">*</t>
        </is>
      </c>
      <c r="HP48" t="inlineStr">
        <is>
          <t xml:space="preserve">+</t>
        </is>
      </c>
      <c r="HV48" t="inlineStr">
        <is>
          <t xml:space="preserve">#</t>
        </is>
      </c>
      <c r="HW48" t="inlineStr">
        <is>
          <t xml:space="preserve">~</t>
        </is>
      </c>
      <c r="HX48" t="inlineStr">
        <is>
          <t xml:space="preserve">#</t>
        </is>
      </c>
      <c r="LB48" t="inlineStr">
        <is>
          <t xml:space="preserve">}</t>
        </is>
      </c>
      <c r="LC48" t="inlineStr">
        <is>
          <t xml:space="preserve">]</t>
        </is>
      </c>
      <c r="LD48" t="inlineStr">
        <is>
          <t xml:space="preserve">}</t>
        </is>
      </c>
      <c r="LE48" t="inlineStr">
        <is>
          <t xml:space="preserve">GRAVE_ACCENT</t>
        </is>
      </c>
      <c r="LN48" t="inlineStr">
        <is>
          <t xml:space="preserve">}</t>
        </is>
      </c>
      <c r="LO48" t="inlineStr">
        <is>
          <t xml:space="preserve">]</t>
        </is>
      </c>
      <c r="LP48" t="inlineStr">
        <is>
          <t xml:space="preserve">}</t>
        </is>
      </c>
      <c r="LQ48" t="inlineStr">
        <is>
          <t xml:space="preserve">GRAVE_ACCENT</t>
        </is>
      </c>
      <c r="LR48" t="inlineStr">
        <is>
          <t xml:space="preserve">}</t>
        </is>
      </c>
      <c r="LS48" t="inlineStr">
        <is>
          <t xml:space="preserve">]</t>
        </is>
      </c>
      <c r="LT48" t="inlineStr">
        <is>
          <t xml:space="preserve">}</t>
        </is>
      </c>
      <c r="LU48" t="inlineStr">
        <is>
          <t xml:space="preserve">GRAVE_ACCENT</t>
        </is>
      </c>
      <c r="LV48" t="inlineStr">
        <is>
          <t xml:space="preserve">}</t>
        </is>
      </c>
      <c r="LW48" t="inlineStr">
        <is>
          <t xml:space="preserve">]</t>
        </is>
      </c>
      <c r="LX48" t="inlineStr">
        <is>
          <t xml:space="preserve">}</t>
        </is>
      </c>
      <c r="LY48" t="inlineStr">
        <is>
          <t xml:space="preserve">GRAVE_ACCENT</t>
        </is>
      </c>
      <c r="LZ48" t="inlineStr">
        <is>
          <t xml:space="preserve">}</t>
        </is>
      </c>
      <c r="MA48" t="inlineStr">
        <is>
          <t xml:space="preserve">]</t>
        </is>
      </c>
      <c r="MB48" t="inlineStr">
        <is>
          <t xml:space="preserve">}</t>
        </is>
      </c>
      <c r="MC48" t="inlineStr">
        <is>
          <t xml:space="preserve">GRAVE_ACCENT</t>
        </is>
      </c>
      <c r="MD48" t="inlineStr">
        <is>
          <t xml:space="preserve">}</t>
        </is>
      </c>
      <c r="ME48" t="inlineStr">
        <is>
          <t xml:space="preserve">]</t>
        </is>
      </c>
      <c r="MF48" t="inlineStr">
        <is>
          <t xml:space="preserve">}</t>
        </is>
      </c>
      <c r="MG48" t="inlineStr">
        <is>
          <t xml:space="preserve">GRAVE_ACCENT</t>
        </is>
      </c>
      <c r="MH48" t="inlineStr">
        <is>
          <t xml:space="preserve">}</t>
        </is>
      </c>
      <c r="MI48" t="inlineStr">
        <is>
          <t xml:space="preserve">]</t>
        </is>
      </c>
      <c r="MJ48" t="inlineStr">
        <is>
          <t xml:space="preserve">}</t>
        </is>
      </c>
      <c r="MK48" t="inlineStr">
        <is>
          <t xml:space="preserve">GRAVE_ACCENT</t>
        </is>
      </c>
      <c r="ML48" t="inlineStr">
        <is>
          <t xml:space="preserve">}</t>
        </is>
      </c>
      <c r="MM48" t="inlineStr">
        <is>
          <t xml:space="preserve">]</t>
        </is>
      </c>
      <c r="MN48" t="inlineStr">
        <is>
          <t xml:space="preserve">}</t>
        </is>
      </c>
      <c r="MO48" t="inlineStr">
        <is>
          <t xml:space="preserve">GRAVE_ACCENT</t>
        </is>
      </c>
      <c r="MP48" t="inlineStr">
        <is>
          <t xml:space="preserve">}</t>
        </is>
      </c>
      <c r="MQ48" t="inlineStr">
        <is>
          <t xml:space="preserve">]</t>
        </is>
      </c>
      <c r="MR48" t="inlineStr">
        <is>
          <t xml:space="preserve">}</t>
        </is>
      </c>
      <c r="MS48" t="inlineStr">
        <is>
          <t xml:space="preserve">GRAVE_ACCENT</t>
        </is>
      </c>
      <c r="MT48" t="inlineStr">
        <is>
          <t xml:space="preserve">}</t>
        </is>
      </c>
      <c r="MU48" t="inlineStr">
        <is>
          <t xml:space="preserve">]</t>
        </is>
      </c>
      <c r="MV48" t="inlineStr">
        <is>
          <t xml:space="preserve">}</t>
        </is>
      </c>
      <c r="MW48" t="inlineStr">
        <is>
          <t xml:space="preserve">GRAVE_ACCENT</t>
        </is>
      </c>
      <c r="MX48" t="inlineStr">
        <is>
          <t xml:space="preserve">}</t>
        </is>
      </c>
      <c r="MY48" t="inlineStr">
        <is>
          <t xml:space="preserve">]</t>
        </is>
      </c>
      <c r="MZ48" t="inlineStr">
        <is>
          <t xml:space="preserve">}</t>
        </is>
      </c>
      <c r="NA48" t="inlineStr">
        <is>
          <t xml:space="preserve">GRAVE_ACCENT</t>
        </is>
      </c>
      <c r="NB48" t="inlineStr">
        <is>
          <t xml:space="preserve">}</t>
        </is>
      </c>
      <c r="NC48" t="inlineStr">
        <is>
          <t xml:space="preserve">]</t>
        </is>
      </c>
      <c r="ND48" t="inlineStr">
        <is>
          <t xml:space="preserve">}</t>
        </is>
      </c>
      <c r="NE48" t="inlineStr">
        <is>
          <t xml:space="preserve">GRAVE_ACCENT</t>
        </is>
      </c>
      <c r="NF48" t="inlineStr">
        <is>
          <t xml:space="preserve">}</t>
        </is>
      </c>
      <c r="NG48" t="inlineStr">
        <is>
          <t xml:space="preserve">]</t>
        </is>
      </c>
      <c r="NH48" t="inlineStr">
        <is>
          <t xml:space="preserve">}</t>
        </is>
      </c>
      <c r="NI48" t="inlineStr">
        <is>
          <t xml:space="preserve">GRAVE_ACCENT</t>
        </is>
      </c>
      <c r="NJ48" t="inlineStr">
        <is>
          <t xml:space="preserve">}</t>
        </is>
      </c>
      <c r="NK48" t="inlineStr">
        <is>
          <t xml:space="preserve">]</t>
        </is>
      </c>
      <c r="NL48" t="inlineStr">
        <is>
          <t xml:space="preserve">}</t>
        </is>
      </c>
      <c r="NM48" t="inlineStr">
        <is>
          <t xml:space="preserve">GRAVE_ACCENT</t>
        </is>
      </c>
      <c r="NN48" t="inlineStr">
        <is>
          <t xml:space="preserve">}</t>
        </is>
      </c>
      <c r="NO48" t="inlineStr">
        <is>
          <t xml:space="preserve">]</t>
        </is>
      </c>
      <c r="NP48" t="inlineStr">
        <is>
          <t xml:space="preserve">}</t>
        </is>
      </c>
      <c r="NQ48" t="inlineStr">
        <is>
          <t xml:space="preserve">GRAVE_ACCENT</t>
        </is>
      </c>
      <c r="NR48" t="inlineStr">
        <is>
          <t xml:space="preserve">}</t>
        </is>
      </c>
      <c r="NS48" t="inlineStr">
        <is>
          <t xml:space="preserve">]</t>
        </is>
      </c>
      <c r="NT48" t="inlineStr">
        <is>
          <t xml:space="preserve">}</t>
        </is>
      </c>
      <c r="NU48" t="inlineStr">
        <is>
          <t xml:space="preserve">GRAVE_ACCENT</t>
        </is>
      </c>
      <c r="NV48" t="inlineStr">
        <is>
          <t xml:space="preserve">#</t>
        </is>
      </c>
      <c r="NW48" t="inlineStr">
        <is>
          <t xml:space="preserve">'</t>
        </is>
      </c>
      <c r="NZ48" t="inlineStr">
        <is>
          <t xml:space="preserve">U"\f\f\f" MICRO_SIGN</t>
        </is>
      </c>
      <c r="OA48" t="inlineStr">
        <is>
          <t xml:space="preserve">U"\f\f\f" POUND_SIGN</t>
        </is>
      </c>
      <c r="OB48" t="inlineStr">
        <is>
          <t xml:space="preserve">U"\f\f\f" MICRO_SIGN</t>
        </is>
      </c>
      <c r="OC48" t="inlineStr">
        <is>
          <t xml:space="preserve">GRAVE_ACCENT</t>
        </is>
      </c>
      <c r="OH48" t="inlineStr">
        <is>
          <t xml:space="preserve">#</t>
        </is>
      </c>
      <c r="OI48" t="inlineStr">
        <is>
          <t xml:space="preserve">~</t>
        </is>
      </c>
      <c r="OJ48" t="inlineStr">
        <is>
          <t xml:space="preserve">#</t>
        </is>
      </c>
      <c r="OL48" t="inlineStr">
        <is>
          <t xml:space="preserve">LATIN_017E</t>
        </is>
      </c>
      <c r="OM48" t="inlineStr">
        <is>
          <t xml:space="preserve">LATIN_017D</t>
        </is>
      </c>
      <c r="OP48" t="inlineStr">
        <is>
          <t xml:space="preserve">$</t>
        </is>
      </c>
      <c r="OQ48" t="inlineStr">
        <is>
          <t xml:space="preserve">U"\f\f\f" POUND_SIGN</t>
        </is>
      </c>
      <c r="OR48" t="inlineStr">
        <is>
          <t xml:space="preserve">$</t>
        </is>
      </c>
      <c r="OS48" t="inlineStr">
        <is>
          <t xml:space="preserve">}</t>
        </is>
      </c>
      <c r="OT48" t="inlineStr">
        <is>
          <t xml:space="preserve">U"\f\f\f" LATIN_017E</t>
        </is>
      </c>
      <c r="OU48" t="inlineStr">
        <is>
          <t xml:space="preserve">LATIN_017D</t>
        </is>
      </c>
      <c r="VJ48" t="inlineStr">
        <is>
          <t xml:space="preserve">$</t>
        </is>
      </c>
      <c r="VK48" t="inlineStr">
        <is>
          <t xml:space="preserve">U"\f\f\f" POUND_SIGN</t>
        </is>
      </c>
      <c r="VL48" t="inlineStr">
        <is>
          <t xml:space="preserve">$</t>
        </is>
      </c>
      <c r="VM48" t="inlineStr">
        <is>
          <t xml:space="preserve">}</t>
        </is>
      </c>
      <c r="VN48" t="inlineStr">
        <is>
          <t xml:space="preserve">#</t>
        </is>
      </c>
      <c r="VO48" t="inlineStr">
        <is>
          <t xml:space="preserve">~</t>
        </is>
      </c>
      <c r="VP48" t="inlineStr">
        <is>
          <t xml:space="preserve">#</t>
        </is>
      </c>
      <c r="VR48" t="inlineStr">
        <is>
          <t xml:space="preserve">#</t>
        </is>
      </c>
      <c r="VS48" t="inlineStr">
        <is>
          <t xml:space="preserve">~</t>
        </is>
      </c>
      <c r="VT48" t="inlineStr">
        <is>
          <t xml:space="preserve">#</t>
        </is>
      </c>
      <c r="VV48" t="inlineStr">
        <is>
          <t xml:space="preserve">#</t>
        </is>
      </c>
      <c r="VW48" t="inlineStr">
        <is>
          <t xml:space="preserve">~</t>
        </is>
      </c>
      <c r="VX48" t="inlineStr">
        <is>
          <t xml:space="preserve">#</t>
        </is>
      </c>
      <c r="VZ48" t="inlineStr">
        <is>
          <t xml:space="preserve">$</t>
        </is>
      </c>
      <c r="WA48" t="inlineStr">
        <is>
          <t xml:space="preserve">U"\f\f\f" POUND_SIGN</t>
        </is>
      </c>
      <c r="WB48" t="inlineStr">
        <is>
          <t xml:space="preserve">$</t>
        </is>
      </c>
      <c r="WC48" t="inlineStr">
        <is>
          <t xml:space="preserve">}</t>
        </is>
      </c>
      <c r="WH48" t="inlineStr">
        <is>
          <t xml:space="preserve">}</t>
        </is>
      </c>
      <c r="WI48" t="inlineStr">
        <is>
          <t xml:space="preserve">]</t>
        </is>
      </c>
      <c r="WJ48" t="inlineStr">
        <is>
          <t xml:space="preserve">}</t>
        </is>
      </c>
      <c r="WK48" t="inlineStr">
        <is>
          <t xml:space="preserve">GRAVE_ACCENT</t>
        </is>
      </c>
      <c r="WL48" t="inlineStr">
        <is>
          <t xml:space="preserve">}</t>
        </is>
      </c>
      <c r="WM48" t="inlineStr">
        <is>
          <t xml:space="preserve">]</t>
        </is>
      </c>
      <c r="WN48" t="inlineStr">
        <is>
          <t xml:space="preserve">}</t>
        </is>
      </c>
      <c r="WO48" t="inlineStr">
        <is>
          <t xml:space="preserve">GRAVE_ACCENT</t>
        </is>
      </c>
      <c r="WP48" t="inlineStr">
        <is>
          <t xml:space="preserve">}</t>
        </is>
      </c>
      <c r="WQ48" t="inlineStr">
        <is>
          <t xml:space="preserve">]</t>
        </is>
      </c>
      <c r="WR48" t="inlineStr">
        <is>
          <t xml:space="preserve">}</t>
        </is>
      </c>
      <c r="WS48" t="inlineStr">
        <is>
          <t xml:space="preserve">GRAVE_ACCENT</t>
        </is>
      </c>
      <c r="WX48" t="inlineStr">
        <is>
          <t xml:space="preserve">}</t>
        </is>
      </c>
      <c r="WY48" t="inlineStr">
        <is>
          <t xml:space="preserve">]</t>
        </is>
      </c>
      <c r="WZ48" t="inlineStr">
        <is>
          <t xml:space="preserve">}</t>
        </is>
      </c>
      <c r="XA48" t="inlineStr">
        <is>
          <t xml:space="preserve">GRAVE_ACCENT</t>
        </is>
      </c>
      <c r="XN48" t="inlineStr">
        <is>
          <t xml:space="preserve">CHEROKEE_13E9</t>
        </is>
      </c>
      <c r="XO48" t="inlineStr">
        <is>
          <t xml:space="preserve">CHEROKEE_13EE</t>
        </is>
      </c>
      <c r="XP48" t="inlineStr">
        <is>
          <t xml:space="preserve">CHEROKEE_13E9</t>
        </is>
      </c>
      <c r="XQ48" t="inlineStr">
        <is>
          <t xml:space="preserve">BACKSLASH</t>
        </is>
      </c>
    </row>
    <row r="49" s="116" customFormat="true" ht="15" hidden="false" customHeight="false" outlineLevel="0" collapsed="false">
      <c r="A49" s="93" t="s">
        <v>1323</v>
      </c>
      <c r="B49" s="94" t="s">
        <v>1197</v>
      </c>
      <c r="C49" s="94" t="s">
        <v>1198</v>
      </c>
      <c r="D49" s="94" t="s">
        <v>1197</v>
      </c>
      <c r="E49" s="94"/>
      <c r="F49" t="inlineStr">
        <is>
          <t xml:space="preserve">U"\f\f" UMLAUT_O_SMALL</t>
        </is>
      </c>
      <c r="G49" t="inlineStr">
        <is>
          <t xml:space="preserve">UMLAUT_O</t>
        </is>
      </c>
      <c r="H49" s="95"/>
      <c r="I49" s="95"/>
      <c r="J49" s="96" t="s">
        <v>1176</v>
      </c>
      <c r="K49" t="inlineStr">
        <is>
          <t xml:space="preserve">M</t>
        </is>
      </c>
      <c r="L49" s="96"/>
      <c r="M49" s="96"/>
      <c r="N49" t="inlineStr">
        <is>
          <t xml:space="preserve">U"\f\f\f" N_WITH_TILDE_SMALL</t>
        </is>
      </c>
      <c r="O49" t="inlineStr">
        <is>
          <t xml:space="preserve">N_WITH_TILDE</t>
        </is>
      </c>
      <c r="P49" s="97"/>
      <c r="Q49" s="97"/>
      <c r="R49" s="98" t="s">
        <v>143</v>
      </c>
      <c r="S49" s="98" t="s">
        <v>108</v>
      </c>
      <c r="T49" s="98"/>
      <c r="U49" s="98"/>
      <c r="V49" s="99" t="s">
        <v>157</v>
      </c>
      <c r="W49" s="139" t="s">
        <v>143</v>
      </c>
      <c r="X49" s="99" t="s">
        <v>121</v>
      </c>
      <c r="Y49" s="99" t="s">
        <v>1195</v>
      </c>
      <c r="Z49" s="130" t="s">
        <v>181</v>
      </c>
      <c r="AA49" s="130" t="s">
        <v>179</v>
      </c>
      <c r="AB49" s="100"/>
      <c r="AC49" s="100" t="s">
        <v>80</v>
      </c>
      <c r="AD49" s="101"/>
      <c r="AE49" s="101"/>
      <c r="AF49" s="101"/>
      <c r="AG49" s="101"/>
      <c r="AH49" t="inlineStr">
        <is>
          <t xml:space="preserve">;</t>
        </is>
      </c>
      <c r="AI49" t="inlineStr">
        <is>
          <t xml:space="preserve">+</t>
        </is>
      </c>
      <c r="AJ49" t="inlineStr">
        <is>
          <t xml:space="preserve">;</t>
        </is>
      </c>
      <c r="AK49" t="inlineStr">
        <is>
          <t xml:space="preserve">HIRAGANA_RE</t>
        </is>
      </c>
      <c r="AL49" s="103" t="s">
        <v>594</v>
      </c>
      <c r="AM49" s="103" t="s">
        <v>1198</v>
      </c>
      <c r="AN49" s="103" t="s">
        <v>594</v>
      </c>
      <c r="AO49" t="inlineStr">
        <is>
          <t xml:space="preserve">ARABIC_GAF</t>
        </is>
      </c>
      <c r="AP49" s="104" t="s">
        <v>202</v>
      </c>
      <c r="AQ49" s="118" t="s">
        <v>61</v>
      </c>
      <c r="AR49" s="104" t="s">
        <v>202</v>
      </c>
      <c r="AS49" s="118" t="s">
        <v>204</v>
      </c>
      <c r="AT49" t="inlineStr">
        <is>
          <t xml:space="preserve">U"\f\f" CYRILLIC_SM_ZHE</t>
        </is>
      </c>
      <c r="AU49" t="inlineStr">
        <is>
          <t xml:space="preserve">CYRILLIC_ZHE</t>
        </is>
      </c>
      <c r="AV49" s="105"/>
      <c r="AW49" s="105"/>
      <c r="AX49" t="inlineStr">
        <is>
          <t xml:space="preserve">U"\f\f" CYRILLIC_SM_ZHE</t>
        </is>
      </c>
      <c r="AY49" t="inlineStr">
        <is>
          <t xml:space="preserve">CYRILLIC_ZHE</t>
        </is>
      </c>
      <c r="AZ49" s="106"/>
      <c r="BA49" s="106"/>
      <c r="BB49" s="107" t="s">
        <v>366</v>
      </c>
      <c r="BC49" t="inlineStr">
        <is>
          <t xml:space="preserve">CYRILLIC_ZHE</t>
        </is>
      </c>
      <c r="BD49" s="107"/>
      <c r="BE49" s="107"/>
      <c r="BF49" t="inlineStr">
        <is>
          <t xml:space="preserve">U"\f\f" CYRILLIC_SM_ZHE</t>
        </is>
      </c>
      <c r="BG49" t="inlineStr">
        <is>
          <t xml:space="preserve">CYRILLIC_ZHE</t>
        </is>
      </c>
      <c r="BH49" s="108"/>
      <c r="BI49" s="108"/>
      <c r="BJ49" s="109" t="s">
        <v>374</v>
      </c>
      <c r="BK49" t="inlineStr">
        <is>
          <t xml:space="preserve">CYRILLIC_EM</t>
        </is>
      </c>
      <c r="BL49" s="109"/>
      <c r="BM49" s="109"/>
      <c r="BN49" s="95" t="s">
        <v>1170</v>
      </c>
      <c r="BO49" s="95" t="s">
        <v>1174</v>
      </c>
      <c r="BP49" s="95"/>
      <c r="BQ49" s="95" t="s">
        <v>1249</v>
      </c>
      <c r="BR49" s="110" t="s">
        <v>1324</v>
      </c>
      <c r="BS49" t="inlineStr">
        <is>
          <t xml:space="preserve">LATIN_015E</t>
        </is>
      </c>
      <c r="BT49" s="110" t="s">
        <v>1325</v>
      </c>
      <c r="BU49" t="inlineStr">
        <is>
          <t xml:space="preserve">U"; :"</t>
        </is>
      </c>
      <c r="BZ49" s="111" t="s">
        <v>1237</v>
      </c>
      <c r="CA49" t="inlineStr">
        <is>
          <t xml:space="preserve">U"\f\f\f" PLUS_MINUS</t>
        </is>
      </c>
      <c r="CB49" s="111"/>
      <c r="CC49" s="111"/>
      <c r="CD49" s="95" t="s">
        <v>490</v>
      </c>
      <c r="CE49" s="95" t="s">
        <v>1198</v>
      </c>
      <c r="CF49" s="95"/>
      <c r="CG49" t="inlineStr">
        <is>
          <t xml:space="preserve">HEBREW_SOFPASUQ</t>
        </is>
      </c>
      <c r="CH49" t="inlineStr">
        <is>
          <t xml:space="preserve">U"\f\f" UMLAUT_O_SMALL</t>
        </is>
      </c>
      <c r="CI49" t="inlineStr">
        <is>
          <t xml:space="preserve">UMLAUT_O</t>
        </is>
      </c>
      <c r="CJ49" s="112" t="s">
        <v>161</v>
      </c>
      <c r="CK49" s="112"/>
      <c r="CL49" t="inlineStr">
        <is>
          <t xml:space="preserve">U"\f\f" UMLAUT_O_SMALL</t>
        </is>
      </c>
      <c r="CM49" t="inlineStr">
        <is>
          <t xml:space="preserve">UMLAUT_O</t>
        </is>
      </c>
      <c r="CN49" s="113" t="s">
        <v>161</v>
      </c>
      <c r="CO49" s="113"/>
      <c r="CP49" s="84" t="s">
        <v>1328</v>
      </c>
      <c r="CQ49" s="84" t="s">
        <v>1329</v>
      </c>
      <c r="CR49" s="84" t="s">
        <v>1328</v>
      </c>
      <c r="CS49" s="84"/>
      <c r="CT49" t="inlineStr">
        <is>
          <t xml:space="preserve">U"\f\f" LATIN_00D8</t>
        </is>
      </c>
      <c r="CU49" t="inlineStr">
        <is>
          <t xml:space="preserve">LATIN_00F8</t>
        </is>
      </c>
      <c r="CV49" s="110" t="s">
        <v>1328</v>
      </c>
      <c r="CW49" s="110"/>
      <c r="CX49" t="inlineStr">
        <is>
          <t xml:space="preserve">U"\f\f" E_WITH_ACUTE_SMALL</t>
        </is>
      </c>
      <c r="CY49" t="inlineStr">
        <is>
          <t xml:space="preserve">E_WITH_ACUTE</t>
        </is>
      </c>
      <c r="CZ49" s="126" t="s">
        <v>147</v>
      </c>
      <c r="DA49" s="114" t="s">
        <v>1249</v>
      </c>
      <c r="DB49" s="127" t="s">
        <v>1330</v>
      </c>
      <c r="DC49" s="115" t="s">
        <v>8</v>
      </c>
      <c r="DD49" s="127" t="s">
        <v>1330</v>
      </c>
      <c r="DE49" s="115" t="s">
        <v>1249</v>
      </c>
      <c r="DF49" t="inlineStr">
        <is>
          <t xml:space="preserve">U"\f\f" LATIN_010D</t>
        </is>
      </c>
      <c r="DG49" t="inlineStr">
        <is>
          <t xml:space="preserve">LATIN_010C</t>
        </is>
      </c>
      <c r="DJ49" t="inlineStr">
        <is>
          <t xml:space="preserve">LATIN_00F4</t>
        </is>
      </c>
      <c r="DK49" t="inlineStr">
        <is>
          <t xml:space="preserve">QUOTE</t>
        </is>
      </c>
      <c r="DL49" t="inlineStr">
        <is>
          <t xml:space="preserve">LATIN_00F4</t>
        </is>
      </c>
      <c r="DV49" t="inlineStr">
        <is>
          <t xml:space="preserve">U"\f\f" UMLAUT_O_SMALL</t>
        </is>
      </c>
      <c r="DW49" t="inlineStr">
        <is>
          <t xml:space="preserve">LATIN_00D6</t>
        </is>
      </c>
      <c r="DZ49" t="inlineStr">
        <is>
          <t xml:space="preserve">U"\f\f\f\f" C_WITH_CEDILLA_SMALL</t>
        </is>
      </c>
      <c r="EA49" t="inlineStr">
        <is>
          <t xml:space="preserve">LATIN_00C7</t>
        </is>
      </c>
      <c r="ED49" t="inlineStr">
        <is>
          <t xml:space="preserve">CYRILLIC_SM_CHE</t>
        </is>
      </c>
      <c r="EE49" t="inlineStr">
        <is>
          <t xml:space="preserve">CYRILLIC_CHE</t>
        </is>
      </c>
      <c r="EH49" t="inlineStr">
        <is>
          <t xml:space="preserve">CYRILLIC_SM_CHE</t>
        </is>
      </c>
      <c r="EI49" t="inlineStr">
        <is>
          <t xml:space="preserve">CYRILLIC_CHE</t>
        </is>
      </c>
      <c r="EL49" t="inlineStr">
        <is>
          <t xml:space="preserve">ARABIC_KEHEH</t>
        </is>
      </c>
      <c r="EN49" t="inlineStr">
        <is>
          <t xml:space="preserve">ARABIC_KEHEH</t>
        </is>
      </c>
      <c r="EP49" t="inlineStr">
        <is>
          <t xml:space="preserve">DEVANAGARI_091A</t>
        </is>
      </c>
      <c r="EQ49" t="inlineStr">
        <is>
          <t xml:space="preserve">DEVANAGARI_091B</t>
        </is>
      </c>
      <c r="ER49" t="inlineStr">
        <is>
          <t xml:space="preserve">DEVANAGARI_091A</t>
        </is>
      </c>
      <c r="ET49" t="inlineStr">
        <is>
          <t xml:space="preserve">DEVANAGARI_091A</t>
        </is>
      </c>
      <c r="EU49" t="inlineStr">
        <is>
          <t xml:space="preserve">DEVANAGARI_091B</t>
        </is>
      </c>
      <c r="EV49" t="inlineStr">
        <is>
          <t xml:space="preserve">DEVANAGARI_091A</t>
        </is>
      </c>
      <c r="EX49" t="inlineStr">
        <is>
          <t xml:space="preserve">DEVANAGARI_091A</t>
        </is>
      </c>
      <c r="EY49" t="inlineStr">
        <is>
          <t xml:space="preserve">DEVANAGARI_091B</t>
        </is>
      </c>
      <c r="EZ49" t="inlineStr">
        <is>
          <t xml:space="preserve">DEVANAGARI_091A</t>
        </is>
      </c>
      <c r="FB49" t="inlineStr">
        <is>
          <t xml:space="preserve">CYRILLIC_SM_DE</t>
        </is>
      </c>
      <c r="FC49" t="inlineStr">
        <is>
          <t xml:space="preserve">CYRILLIC_DE</t>
        </is>
      </c>
      <c r="FF49" t="inlineStr">
        <is>
          <t xml:space="preserve">ARABIC_SEMICOLON</t>
        </is>
      </c>
      <c r="FG49" t="inlineStr">
        <is>
          <t xml:space="preserve">:</t>
        </is>
      </c>
      <c r="FH49" t="inlineStr">
        <is>
          <t xml:space="preserve">ARABIC_SEMICOLON</t>
        </is>
      </c>
      <c r="FN49" t="inlineStr">
        <is>
          <t xml:space="preserve">U"\f\f\f" N_WITH_TILDE_SMALL</t>
        </is>
      </c>
      <c r="FO49" t="inlineStr">
        <is>
          <t xml:space="preserve">N_WITH_TILDE</t>
        </is>
      </c>
      <c r="FP49" t="inlineStr">
        <is>
          <t xml:space="preserve">N_WITH_TILDE_SMALL</t>
        </is>
      </c>
      <c r="FR49" t="inlineStr">
        <is>
          <t xml:space="preserve">UMLAUT_O_SMALL</t>
        </is>
      </c>
      <c r="FS49" t="inlineStr">
        <is>
          <t xml:space="preserve">E_WITH_ACUTE_SMALL</t>
        </is>
      </c>
      <c r="FT49" t="inlineStr">
        <is>
          <t xml:space="preserve">UMLAUT_O_SMALL</t>
        </is>
      </c>
      <c r="FV49" t="inlineStr">
        <is>
          <t xml:space="preserve">m</t>
        </is>
      </c>
      <c r="FW49" t="inlineStr">
        <is>
          <t xml:space="preserve">M</t>
        </is>
      </c>
      <c r="FZ49" t="inlineStr">
        <is>
          <t xml:space="preserve">;</t>
        </is>
      </c>
      <c r="GA49" t="inlineStr">
        <is>
          <t xml:space="preserve">:</t>
        </is>
      </c>
      <c r="GB49" t="inlineStr">
        <is>
          <t xml:space="preserve">;</t>
        </is>
      </c>
      <c r="GC49" t="inlineStr">
        <is>
          <t xml:space="preserve">~</t>
        </is>
      </c>
      <c r="GD49" t="inlineStr">
        <is>
          <t xml:space="preserve">THAI_0E27</t>
        </is>
      </c>
      <c r="GE49" t="inlineStr">
        <is>
          <t xml:space="preserve">THAI_0E0B</t>
        </is>
      </c>
      <c r="GF49" t="inlineStr">
        <is>
          <t xml:space="preserve">THAI_0E27</t>
        </is>
      </c>
      <c r="GH49" t="inlineStr">
        <is>
          <t xml:space="preserve">BENGALI_099A</t>
        </is>
      </c>
      <c r="GI49" t="inlineStr">
        <is>
          <t xml:space="preserve">BENGALI_099B</t>
        </is>
      </c>
      <c r="GJ49" t="inlineStr">
        <is>
          <t xml:space="preserve">BENGALI_099A</t>
        </is>
      </c>
      <c r="GL49" t="inlineStr">
        <is>
          <t xml:space="preserve">TELUGU_0C1A</t>
        </is>
      </c>
      <c r="GM49" t="inlineStr">
        <is>
          <t xml:space="preserve">TELUGU_0C1B</t>
        </is>
      </c>
      <c r="GN49" t="inlineStr">
        <is>
          <t xml:space="preserve">TELUGU_0C1A</t>
        </is>
      </c>
      <c r="GP49" t="inlineStr">
        <is>
          <t xml:space="preserve">TAMIL_0B9A</t>
        </is>
      </c>
      <c r="GR49" t="inlineStr">
        <is>
          <t xml:space="preserve">TAMIL_0B9A</t>
        </is>
      </c>
      <c r="GT49" t="inlineStr">
        <is>
          <t xml:space="preserve">ZHUYIN_3124</t>
        </is>
      </c>
      <c r="GV49" t="inlineStr">
        <is>
          <t xml:space="preserve">ZHUYIN_3124</t>
        </is>
      </c>
      <c r="HB49" t="inlineStr">
        <is>
          <t xml:space="preserve">ARMENIAN_057A</t>
        </is>
      </c>
      <c r="HC49" t="inlineStr">
        <is>
          <t xml:space="preserve">U"\x06\x06" ARMENIAN_054A</t>
        </is>
      </c>
      <c r="HJ49" t="inlineStr">
        <is>
          <t xml:space="preserve">I_DOTLESS_SMALL</t>
        </is>
      </c>
      <c r="HK49" t="inlineStr">
        <is>
          <t xml:space="preserve">I</t>
        </is>
      </c>
      <c r="HN49" t="inlineStr">
        <is>
          <t xml:space="preserve">U"\f\f" LETTER_AE_SMALL</t>
        </is>
      </c>
      <c r="HO49" t="inlineStr">
        <is>
          <t xml:space="preserve">LATIN_00C6</t>
        </is>
      </c>
      <c r="HV49" t="inlineStr">
        <is>
          <t xml:space="preserve">;</t>
        </is>
      </c>
      <c r="HW49" t="inlineStr">
        <is>
          <t xml:space="preserve">:</t>
        </is>
      </c>
      <c r="HX49" t="inlineStr">
        <is>
          <t xml:space="preserve">;</t>
        </is>
      </c>
      <c r="JE49" t="inlineStr">
        <is>
          <t xml:space="preserve">DIAERESIS</t>
        </is>
      </c>
      <c r="JI49" t="inlineStr">
        <is>
          <t xml:space="preserve">DIAERESIS</t>
        </is>
      </c>
      <c r="JJ49" t="inlineStr">
        <is>
          <t xml:space="preserve">ARABIC_KAF</t>
        </is>
      </c>
      <c r="JK49" t="inlineStr">
        <is>
          <t xml:space="preserve">:</t>
        </is>
      </c>
      <c r="JL49" t="inlineStr">
        <is>
          <t xml:space="preserve">ARABIC_KAF</t>
        </is>
      </c>
      <c r="JM49" t="inlineStr">
        <is>
          <t xml:space="preserve">ARABIC_GAF</t>
        </is>
      </c>
      <c r="JR49" t="inlineStr">
        <is>
          <t xml:space="preserve">ETHIOPIC_1362</t>
        </is>
      </c>
      <c r="JS49" t="inlineStr">
        <is>
          <t xml:space="preserve">ETHIOPIC_1361</t>
        </is>
      </c>
      <c r="JT49" t="inlineStr">
        <is>
          <t xml:space="preserve">ETHIOPIC_1362</t>
        </is>
      </c>
      <c r="KD49" t="inlineStr">
        <is>
          <t xml:space="preserve">ARABIC_KAF</t>
        </is>
      </c>
      <c r="KE49" t="inlineStr">
        <is>
          <t xml:space="preserve">:</t>
        </is>
      </c>
      <c r="KF49" t="inlineStr">
        <is>
          <t xml:space="preserve">ARABIC_KAF</t>
        </is>
      </c>
      <c r="KG49" t="inlineStr">
        <is>
          <t xml:space="preserve">ARABIC_GAF</t>
        </is>
      </c>
      <c r="KH49" t="inlineStr">
        <is>
          <t xml:space="preserve">ARABIC_KAF</t>
        </is>
      </c>
      <c r="KI49" t="inlineStr">
        <is>
          <t xml:space="preserve">:</t>
        </is>
      </c>
      <c r="KJ49" t="inlineStr">
        <is>
          <t xml:space="preserve">ARABIC_KAF</t>
        </is>
      </c>
      <c r="KK49" t="inlineStr">
        <is>
          <t xml:space="preserve">ARABIC_GAF</t>
        </is>
      </c>
      <c r="KL49" t="inlineStr">
        <is>
          <t xml:space="preserve">ARABIC_SEMICOLON</t>
        </is>
      </c>
      <c r="KM49" t="inlineStr">
        <is>
          <t xml:space="preserve">:</t>
        </is>
      </c>
      <c r="KN49" t="inlineStr">
        <is>
          <t xml:space="preserve">ARABIC_SEMICOLON</t>
        </is>
      </c>
      <c r="LA49" t="inlineStr">
        <is>
          <t xml:space="preserve">DEGREE</t>
        </is>
      </c>
      <c r="LB49" t="inlineStr">
        <is>
          <t xml:space="preserve">U"\f\f\f" N_WITH_TILDE_SMALL</t>
        </is>
      </c>
      <c r="LC49" t="inlineStr">
        <is>
          <t xml:space="preserve">N_WITH_TILDE</t>
        </is>
      </c>
      <c r="LD49" t="inlineStr">
        <is>
          <t xml:space="preserve">N_WITH_TILDE_SMALL</t>
        </is>
      </c>
      <c r="LJ49" t="inlineStr">
        <is>
          <t xml:space="preserve">m</t>
        </is>
      </c>
      <c r="LK49" t="inlineStr">
        <is>
          <t xml:space="preserve">M</t>
        </is>
      </c>
      <c r="LN49" t="inlineStr">
        <is>
          <t xml:space="preserve">U"\f\f\f" N_WITH_TILDE_SMALL</t>
        </is>
      </c>
      <c r="LO49" t="inlineStr">
        <is>
          <t xml:space="preserve">N_WITH_TILDE</t>
        </is>
      </c>
      <c r="LP49" t="inlineStr">
        <is>
          <t xml:space="preserve">N_WITH_TILDE_SMALL</t>
        </is>
      </c>
      <c r="LR49" t="inlineStr">
        <is>
          <t xml:space="preserve">U"\f\f\f" N_WITH_TILDE_SMALL</t>
        </is>
      </c>
      <c r="LS49" t="inlineStr">
        <is>
          <t xml:space="preserve">N_WITH_TILDE</t>
        </is>
      </c>
      <c r="LT49" t="inlineStr">
        <is>
          <t xml:space="preserve">N_WITH_TILDE_SMALL</t>
        </is>
      </c>
      <c r="LV49" t="inlineStr">
        <is>
          <t xml:space="preserve">U"\f\f\f" N_WITH_TILDE_SMALL</t>
        </is>
      </c>
      <c r="LW49" t="inlineStr">
        <is>
          <t xml:space="preserve">N_WITH_TILDE</t>
        </is>
      </c>
      <c r="LX49" t="inlineStr">
        <is>
          <t xml:space="preserve">N_WITH_TILDE_SMALL</t>
        </is>
      </c>
      <c r="LZ49" t="inlineStr">
        <is>
          <t xml:space="preserve">U"\f\f\f" N_WITH_TILDE_SMALL</t>
        </is>
      </c>
      <c r="MA49" t="inlineStr">
        <is>
          <t xml:space="preserve">N_WITH_TILDE</t>
        </is>
      </c>
      <c r="MB49" t="inlineStr">
        <is>
          <t xml:space="preserve">N_WITH_TILDE_SMALL</t>
        </is>
      </c>
      <c r="MD49" t="inlineStr">
        <is>
          <t xml:space="preserve">U"\f\f\f" N_WITH_TILDE_SMALL</t>
        </is>
      </c>
      <c r="ME49" t="inlineStr">
        <is>
          <t xml:space="preserve">N_WITH_TILDE</t>
        </is>
      </c>
      <c r="MF49" t="inlineStr">
        <is>
          <t xml:space="preserve">N_WITH_TILDE_SMALL</t>
        </is>
      </c>
      <c r="MH49" t="inlineStr">
        <is>
          <t xml:space="preserve">U"\f\f\f" N_WITH_TILDE_SMALL</t>
        </is>
      </c>
      <c r="MI49" t="inlineStr">
        <is>
          <t xml:space="preserve">N_WITH_TILDE</t>
        </is>
      </c>
      <c r="MJ49" t="inlineStr">
        <is>
          <t xml:space="preserve">N_WITH_TILDE_SMALL</t>
        </is>
      </c>
      <c r="ML49" t="inlineStr">
        <is>
          <t xml:space="preserve">U"\f\f\f" N_WITH_TILDE_SMALL</t>
        </is>
      </c>
      <c r="MM49" t="inlineStr">
        <is>
          <t xml:space="preserve">N_WITH_TILDE</t>
        </is>
      </c>
      <c r="MN49" t="inlineStr">
        <is>
          <t xml:space="preserve">N_WITH_TILDE_SMALL</t>
        </is>
      </c>
      <c r="MP49" t="inlineStr">
        <is>
          <t xml:space="preserve">U"\f\f\f" N_WITH_TILDE_SMALL</t>
        </is>
      </c>
      <c r="MQ49" t="inlineStr">
        <is>
          <t xml:space="preserve">N_WITH_TILDE</t>
        </is>
      </c>
      <c r="MR49" t="inlineStr">
        <is>
          <t xml:space="preserve">N_WITH_TILDE_SMALL</t>
        </is>
      </c>
      <c r="MT49" t="inlineStr">
        <is>
          <t xml:space="preserve">U"\f\f\f" N_WITH_TILDE_SMALL</t>
        </is>
      </c>
      <c r="MU49" t="inlineStr">
        <is>
          <t xml:space="preserve">N_WITH_TILDE</t>
        </is>
      </c>
      <c r="MV49" t="inlineStr">
        <is>
          <t xml:space="preserve">N_WITH_TILDE_SMALL</t>
        </is>
      </c>
      <c r="MX49" t="inlineStr">
        <is>
          <t xml:space="preserve">U"\f\f\f" N_WITH_TILDE_SMALL</t>
        </is>
      </c>
      <c r="MY49" t="inlineStr">
        <is>
          <t xml:space="preserve">N_WITH_TILDE</t>
        </is>
      </c>
      <c r="MZ49" t="inlineStr">
        <is>
          <t xml:space="preserve">N_WITH_TILDE_SMALL</t>
        </is>
      </c>
      <c r="NB49" t="inlineStr">
        <is>
          <t xml:space="preserve">U"\f\f\f" N_WITH_TILDE_SMALL</t>
        </is>
      </c>
      <c r="NC49" t="inlineStr">
        <is>
          <t xml:space="preserve">N_WITH_TILDE</t>
        </is>
      </c>
      <c r="ND49" t="inlineStr">
        <is>
          <t xml:space="preserve">N_WITH_TILDE_SMALL</t>
        </is>
      </c>
      <c r="NF49" t="inlineStr">
        <is>
          <t xml:space="preserve">U"\f\f\f" N_WITH_TILDE_SMALL</t>
        </is>
      </c>
      <c r="NG49" t="inlineStr">
        <is>
          <t xml:space="preserve">N_WITH_TILDE</t>
        </is>
      </c>
      <c r="NH49" t="inlineStr">
        <is>
          <t xml:space="preserve">N_WITH_TILDE_SMALL</t>
        </is>
      </c>
      <c r="NJ49" t="inlineStr">
        <is>
          <t xml:space="preserve">U"\f\f\f" N_WITH_TILDE_SMALL</t>
        </is>
      </c>
      <c r="NK49" t="inlineStr">
        <is>
          <t xml:space="preserve">N_WITH_TILDE</t>
        </is>
      </c>
      <c r="NL49" t="inlineStr">
        <is>
          <t xml:space="preserve">N_WITH_TILDE_SMALL</t>
        </is>
      </c>
      <c r="NN49" t="inlineStr">
        <is>
          <t xml:space="preserve">U"\f\f\f" N_WITH_TILDE_SMALL</t>
        </is>
      </c>
      <c r="NO49" t="inlineStr">
        <is>
          <t xml:space="preserve">N_WITH_TILDE</t>
        </is>
      </c>
      <c r="NP49" t="inlineStr">
        <is>
          <t xml:space="preserve">N_WITH_TILDE_SMALL</t>
        </is>
      </c>
      <c r="NR49" t="inlineStr">
        <is>
          <t xml:space="preserve">U"\f\f\f" N_WITH_TILDE_SMALL</t>
        </is>
      </c>
      <c r="NS49" t="inlineStr">
        <is>
          <t xml:space="preserve">N_WITH_TILDE</t>
        </is>
      </c>
      <c r="NT49" t="inlineStr">
        <is>
          <t xml:space="preserve">N_WITH_TILDE_SMALL</t>
        </is>
      </c>
      <c r="NV49" t="inlineStr">
        <is>
          <t xml:space="preserve">U"\f\f" UMLAUT_O_SMALL</t>
        </is>
      </c>
      <c r="NW49" t="inlineStr">
        <is>
          <t xml:space="preserve">UMLAUT_O</t>
        </is>
      </c>
      <c r="NZ49" t="inlineStr">
        <is>
          <t xml:space="preserve">m</t>
        </is>
      </c>
      <c r="OA49" t="inlineStr">
        <is>
          <t xml:space="preserve">M</t>
        </is>
      </c>
      <c r="OD49" t="inlineStr">
        <is>
          <t xml:space="preserve">N_WITH_TILDE_SMALL</t>
        </is>
      </c>
      <c r="OE49" t="inlineStr">
        <is>
          <t xml:space="preserve">N_WITH_TILDE</t>
        </is>
      </c>
      <c r="OL49" t="inlineStr">
        <is>
          <t xml:space="preserve">LATIN_010D</t>
        </is>
      </c>
      <c r="OM49" t="inlineStr">
        <is>
          <t xml:space="preserve">LATIN_010C</t>
        </is>
      </c>
      <c r="OP49" t="inlineStr">
        <is>
          <t xml:space="preserve">U"\f\f" UMLAUT_O_SMALL</t>
        </is>
      </c>
      <c r="OQ49" t="inlineStr">
        <is>
          <t xml:space="preserve">U"\f\f" E_WITH_ACUTE_SMALL</t>
        </is>
      </c>
      <c r="OR49" t="inlineStr">
        <is>
          <t xml:space="preserve">UMLAUT_O_SMALL</t>
        </is>
      </c>
      <c r="OT49" t="inlineStr">
        <is>
          <t xml:space="preserve">U"\f\f\f" LATIN_010D</t>
        </is>
      </c>
      <c r="OU49" t="inlineStr">
        <is>
          <t xml:space="preserve">LATIN_010C</t>
        </is>
      </c>
      <c r="OX49" t="inlineStr">
        <is>
          <t xml:space="preserve">U"\f\f" LATIN_00D8</t>
        </is>
      </c>
      <c r="OY49" t="inlineStr">
        <is>
          <t xml:space="preserve">LATIN_00F8</t>
        </is>
      </c>
      <c r="OZ49" t="inlineStr">
        <is>
          <t xml:space="preserve">LATIN_00D8</t>
        </is>
      </c>
      <c r="PB49" t="inlineStr">
        <is>
          <t xml:space="preserve">ARABIC_KAF</t>
        </is>
      </c>
      <c r="PC49" t="inlineStr">
        <is>
          <t xml:space="preserve">:</t>
        </is>
      </c>
      <c r="PD49" t="inlineStr">
        <is>
          <t xml:space="preserve">ARABIC_KAF</t>
        </is>
      </c>
      <c r="PE49" t="inlineStr">
        <is>
          <t xml:space="preserve">ARABIC_GAF</t>
        </is>
      </c>
      <c r="PF49" t="inlineStr">
        <is>
          <t xml:space="preserve">ARABIC_KAF</t>
        </is>
      </c>
      <c r="PG49" t="inlineStr">
        <is>
          <t xml:space="preserve">:</t>
        </is>
      </c>
      <c r="PH49" t="inlineStr">
        <is>
          <t xml:space="preserve">ARABIC_KAF</t>
        </is>
      </c>
      <c r="PI49" t="inlineStr">
        <is>
          <t xml:space="preserve">ARABIC_GAF</t>
        </is>
      </c>
      <c r="PJ49" t="inlineStr">
        <is>
          <t xml:space="preserve">ARABIC_KAF</t>
        </is>
      </c>
      <c r="PK49" t="inlineStr">
        <is>
          <t xml:space="preserve">:</t>
        </is>
      </c>
      <c r="PL49" t="inlineStr">
        <is>
          <t xml:space="preserve">ARABIC_KAF</t>
        </is>
      </c>
      <c r="PM49" t="inlineStr">
        <is>
          <t xml:space="preserve">ARABIC_GAF</t>
        </is>
      </c>
      <c r="PN49" t="inlineStr">
        <is>
          <t xml:space="preserve">ARABIC_KAF</t>
        </is>
      </c>
      <c r="PO49" t="inlineStr">
        <is>
          <t xml:space="preserve">:</t>
        </is>
      </c>
      <c r="PP49" t="inlineStr">
        <is>
          <t xml:space="preserve">ARABIC_KAF</t>
        </is>
      </c>
      <c r="PQ49" t="inlineStr">
        <is>
          <t xml:space="preserve">ARABIC_GAF</t>
        </is>
      </c>
      <c r="PR49" t="inlineStr">
        <is>
          <t xml:space="preserve">ARABIC_KAF</t>
        </is>
      </c>
      <c r="PS49" t="inlineStr">
        <is>
          <t xml:space="preserve">:</t>
        </is>
      </c>
      <c r="PT49" t="inlineStr">
        <is>
          <t xml:space="preserve">ARABIC_KAF</t>
        </is>
      </c>
      <c r="PU49" t="inlineStr">
        <is>
          <t xml:space="preserve">ARABIC_GAF</t>
        </is>
      </c>
      <c r="PV49" t="inlineStr">
        <is>
          <t xml:space="preserve">ARABIC_KAF</t>
        </is>
      </c>
      <c r="PW49" t="inlineStr">
        <is>
          <t xml:space="preserve">:</t>
        </is>
      </c>
      <c r="PX49" t="inlineStr">
        <is>
          <t xml:space="preserve">ARABIC_KAF</t>
        </is>
      </c>
      <c r="PY49" t="inlineStr">
        <is>
          <t xml:space="preserve">ARABIC_GAF</t>
        </is>
      </c>
      <c r="PZ49" t="inlineStr">
        <is>
          <t xml:space="preserve">ARABIC_KAF</t>
        </is>
      </c>
      <c r="QA49" t="inlineStr">
        <is>
          <t xml:space="preserve">:</t>
        </is>
      </c>
      <c r="QB49" t="inlineStr">
        <is>
          <t xml:space="preserve">ARABIC_KAF</t>
        </is>
      </c>
      <c r="QC49" t="inlineStr">
        <is>
          <t xml:space="preserve">ARABIC_GAF</t>
        </is>
      </c>
      <c r="QD49" t="inlineStr">
        <is>
          <t xml:space="preserve">ARABIC_KAF</t>
        </is>
      </c>
      <c r="QE49" t="inlineStr">
        <is>
          <t xml:space="preserve">:</t>
        </is>
      </c>
      <c r="QF49" t="inlineStr">
        <is>
          <t xml:space="preserve">ARABIC_KAF</t>
        </is>
      </c>
      <c r="QG49" t="inlineStr">
        <is>
          <t xml:space="preserve">ARABIC_GAF</t>
        </is>
      </c>
      <c r="QH49" t="inlineStr">
        <is>
          <t xml:space="preserve">ARABIC_KAF</t>
        </is>
      </c>
      <c r="QI49" t="inlineStr">
        <is>
          <t xml:space="preserve">:</t>
        </is>
      </c>
      <c r="QJ49" t="inlineStr">
        <is>
          <t xml:space="preserve">ARABIC_KAF</t>
        </is>
      </c>
      <c r="QK49" t="inlineStr">
        <is>
          <t xml:space="preserve">ARABIC_GAF</t>
        </is>
      </c>
      <c r="QL49" t="inlineStr">
        <is>
          <t xml:space="preserve">ARABIC_KAF</t>
        </is>
      </c>
      <c r="QM49" t="inlineStr">
        <is>
          <t xml:space="preserve">:</t>
        </is>
      </c>
      <c r="QN49" t="inlineStr">
        <is>
          <t xml:space="preserve">ARABIC_KAF</t>
        </is>
      </c>
      <c r="QO49" t="inlineStr">
        <is>
          <t xml:space="preserve">ARABIC_GAF</t>
        </is>
      </c>
      <c r="QP49" t="inlineStr">
        <is>
          <t xml:space="preserve">ARABIC_KAF</t>
        </is>
      </c>
      <c r="QQ49" t="inlineStr">
        <is>
          <t xml:space="preserve">:</t>
        </is>
      </c>
      <c r="QR49" t="inlineStr">
        <is>
          <t xml:space="preserve">ARABIC_KAF</t>
        </is>
      </c>
      <c r="QS49" t="inlineStr">
        <is>
          <t xml:space="preserve">ARABIC_GAF</t>
        </is>
      </c>
      <c r="QT49" t="inlineStr">
        <is>
          <t xml:space="preserve">ARABIC_KAF</t>
        </is>
      </c>
      <c r="QU49" t="inlineStr">
        <is>
          <t xml:space="preserve">:</t>
        </is>
      </c>
      <c r="QV49" t="inlineStr">
        <is>
          <t xml:space="preserve">ARABIC_KAF</t>
        </is>
      </c>
      <c r="QW49" t="inlineStr">
        <is>
          <t xml:space="preserve">ARABIC_GAF</t>
        </is>
      </c>
      <c r="QX49" t="inlineStr">
        <is>
          <t xml:space="preserve">ARABIC_KAF</t>
        </is>
      </c>
      <c r="QY49" t="inlineStr">
        <is>
          <t xml:space="preserve">:</t>
        </is>
      </c>
      <c r="QZ49" t="inlineStr">
        <is>
          <t xml:space="preserve">ARABIC_KAF</t>
        </is>
      </c>
      <c r="RA49" t="inlineStr">
        <is>
          <t xml:space="preserve">ARABIC_GAF</t>
        </is>
      </c>
      <c r="RB49" t="inlineStr">
        <is>
          <t xml:space="preserve">ARABIC_KAF</t>
        </is>
      </c>
      <c r="RC49" t="inlineStr">
        <is>
          <t xml:space="preserve">:</t>
        </is>
      </c>
      <c r="RD49" t="inlineStr">
        <is>
          <t xml:space="preserve">ARABIC_KAF</t>
        </is>
      </c>
      <c r="RE49" t="inlineStr">
        <is>
          <t xml:space="preserve">ARABIC_GAF</t>
        </is>
      </c>
      <c r="RF49" t="inlineStr">
        <is>
          <t xml:space="preserve">m</t>
        </is>
      </c>
      <c r="RG49" t="inlineStr">
        <is>
          <t xml:space="preserve">M</t>
        </is>
      </c>
      <c r="RJ49" t="inlineStr">
        <is>
          <t xml:space="preserve">m</t>
        </is>
      </c>
      <c r="RK49" t="inlineStr">
        <is>
          <t xml:space="preserve">M</t>
        </is>
      </c>
      <c r="RN49" t="inlineStr">
        <is>
          <t xml:space="preserve">m</t>
        </is>
      </c>
      <c r="RO49" t="inlineStr">
        <is>
          <t xml:space="preserve">M</t>
        </is>
      </c>
      <c r="RR49" t="inlineStr">
        <is>
          <t xml:space="preserve">m</t>
        </is>
      </c>
      <c r="RS49" t="inlineStr">
        <is>
          <t xml:space="preserve">M</t>
        </is>
      </c>
      <c r="RV49" t="inlineStr">
        <is>
          <t xml:space="preserve">m</t>
        </is>
      </c>
      <c r="RW49" t="inlineStr">
        <is>
          <t xml:space="preserve">M</t>
        </is>
      </c>
      <c r="SP49" t="inlineStr">
        <is>
          <t xml:space="preserve">C_WITH_CEDILLA_SMALL</t>
        </is>
      </c>
      <c r="SQ49" t="inlineStr">
        <is>
          <t xml:space="preserve">C_WITH_CEDILLA</t>
        </is>
      </c>
      <c r="ST49" t="inlineStr">
        <is>
          <t xml:space="preserve">C_WITH_CEDILLA_SMALL</t>
        </is>
      </c>
      <c r="SU49" t="inlineStr">
        <is>
          <t xml:space="preserve">C_WITH_CEDILLA</t>
        </is>
      </c>
      <c r="SX49" t="inlineStr">
        <is>
          <t xml:space="preserve">BENGALI_099A</t>
        </is>
      </c>
      <c r="SY49" t="inlineStr">
        <is>
          <t xml:space="preserve">BENGALI_099B</t>
        </is>
      </c>
      <c r="SZ49" t="inlineStr">
        <is>
          <t xml:space="preserve">BENGALI_099A</t>
        </is>
      </c>
      <c r="TV49" t="inlineStr">
        <is>
          <t xml:space="preserve">CYRILLIC_SM_ZHE</t>
        </is>
      </c>
      <c r="TW49" t="inlineStr">
        <is>
          <t xml:space="preserve">CYRILLIC_ZHE</t>
        </is>
      </c>
      <c r="TZ49" t="inlineStr">
        <is>
          <t xml:space="preserve">CYRILLIC_SM_ZHE</t>
        </is>
      </c>
      <c r="UA49" t="inlineStr">
        <is>
          <t xml:space="preserve">CYRILLIC_ZHE</t>
        </is>
      </c>
      <c r="UT49" t="inlineStr">
        <is>
          <t xml:space="preserve">m</t>
        </is>
      </c>
      <c r="UU49" t="inlineStr">
        <is>
          <t xml:space="preserve">M</t>
        </is>
      </c>
      <c r="VB49" t="inlineStr">
        <is>
          <t xml:space="preserve">N_WITH_TILDE_SMALL</t>
        </is>
      </c>
      <c r="VC49" t="inlineStr">
        <is>
          <t xml:space="preserve">N_WITH_TILDE</t>
        </is>
      </c>
      <c r="VF49" t="inlineStr">
        <is>
          <t xml:space="preserve">U"\f\f" N_WITH_TILDE_SMALL</t>
        </is>
      </c>
      <c r="VG49" t="inlineStr">
        <is>
          <t xml:space="preserve">N_WITH_TILDE</t>
        </is>
      </c>
      <c r="VJ49" t="inlineStr">
        <is>
          <t xml:space="preserve">U"\f\f\f" UMLAUT_O_SMALL</t>
        </is>
      </c>
      <c r="VK49" t="inlineStr">
        <is>
          <t xml:space="preserve">U"\f\f\f" E_WITH_ACUTE_SMALL</t>
        </is>
      </c>
      <c r="VL49" t="inlineStr">
        <is>
          <t xml:space="preserve">UMLAUT_O_SMALL</t>
        </is>
      </c>
      <c r="VZ49" t="inlineStr">
        <is>
          <t xml:space="preserve">U"\f\f" UMLAUT_O_SMALL</t>
        </is>
      </c>
      <c r="WA49" t="inlineStr">
        <is>
          <t xml:space="preserve">U"\f\f" E_WITH_ACUTE_SMALL</t>
        </is>
      </c>
      <c r="WB49" t="inlineStr">
        <is>
          <t xml:space="preserve">UMLAUT_O_SMALL</t>
        </is>
      </c>
      <c r="WD49" t="inlineStr">
        <is>
          <t xml:space="preserve">U"\f\f\f" LATIN_00F8</t>
        </is>
      </c>
      <c r="WE49" t="inlineStr">
        <is>
          <t xml:space="preserve">LATIN_00D8</t>
        </is>
      </c>
      <c r="WG49" t="inlineStr">
        <is>
          <t xml:space="preserve">UMLAUT_O_SMALL</t>
        </is>
      </c>
      <c r="WH49" t="inlineStr">
        <is>
          <t xml:space="preserve">U"\f\f\f" N_WITH_TILDE_SMALL</t>
        </is>
      </c>
      <c r="WI49" t="inlineStr">
        <is>
          <t xml:space="preserve">N_WITH_TILDE</t>
        </is>
      </c>
      <c r="WJ49" t="inlineStr">
        <is>
          <t xml:space="preserve">N_WITH_TILDE_SMALL</t>
        </is>
      </c>
      <c r="WL49" t="inlineStr">
        <is>
          <t xml:space="preserve">U"\f\f\f" N_WITH_TILDE_SMALL</t>
        </is>
      </c>
      <c r="WM49" t="inlineStr">
        <is>
          <t xml:space="preserve">N_WITH_TILDE</t>
        </is>
      </c>
      <c r="WN49" t="inlineStr">
        <is>
          <t xml:space="preserve">N_WITH_TILDE_SMALL</t>
        </is>
      </c>
      <c r="WP49" t="inlineStr">
        <is>
          <t xml:space="preserve">U"\f\f" N_WITH_TILDE_SMALL</t>
        </is>
      </c>
      <c r="WQ49" t="inlineStr">
        <is>
          <t xml:space="preserve">N_WITH_TILDE</t>
        </is>
      </c>
      <c r="WR49" t="inlineStr">
        <is>
          <t xml:space="preserve">N_WITH_TILDE_SMALL</t>
        </is>
      </c>
      <c r="WX49" t="inlineStr">
        <is>
          <t xml:space="preserve">U"\f\f\f" N_WITH_TILDE_SMALL</t>
        </is>
      </c>
      <c r="WY49" t="inlineStr">
        <is>
          <t xml:space="preserve">N_WITH_TILDE</t>
        </is>
      </c>
      <c r="WZ49" t="inlineStr">
        <is>
          <t xml:space="preserve">N_WITH_TILDE_SMALL</t>
        </is>
      </c>
      <c r="XB49" t="inlineStr">
        <is>
          <t xml:space="preserve">ARABIC_06A9</t>
        </is>
      </c>
      <c r="XC49" t="inlineStr">
        <is>
          <t xml:space="preserve">:</t>
        </is>
      </c>
      <c r="XD49" t="inlineStr">
        <is>
          <t xml:space="preserve">ARABIC_06A9</t>
        </is>
      </c>
      <c r="XE49" t="inlineStr">
        <is>
          <t xml:space="preserve">ARABIC_0643</t>
        </is>
      </c>
      <c r="XF49" t="inlineStr">
        <is>
          <t xml:space="preserve">;</t>
        </is>
      </c>
      <c r="XG49" t="inlineStr">
        <is>
          <t xml:space="preserve">:</t>
        </is>
      </c>
      <c r="XH49" t="inlineStr">
        <is>
          <t xml:space="preserve">;</t>
        </is>
      </c>
      <c r="XN49" t="inlineStr">
        <is>
          <t xml:space="preserve">CHEROKEE_13E8</t>
        </is>
      </c>
      <c r="XO49" t="inlineStr">
        <is>
          <t xml:space="preserve">CHEROKEE_13E0</t>
        </is>
      </c>
      <c r="XP49" t="inlineStr">
        <is>
          <t xml:space="preserve">CHEROKEE_13E8</t>
        </is>
      </c>
      <c r="XQ49" t="inlineStr">
        <is>
          <t xml:space="preserve">;</t>
        </is>
      </c>
    </row>
    <row r="50" s="116" customFormat="true" ht="15" hidden="false" customHeight="false" outlineLevel="0" collapsed="false">
      <c r="A50" s="93" t="s">
        <v>1331</v>
      </c>
      <c r="B50" s="94" t="s">
        <v>1222</v>
      </c>
      <c r="C50" s="94" t="s">
        <v>8</v>
      </c>
      <c r="D50" s="94" t="s">
        <v>1222</v>
      </c>
      <c r="E50" s="94"/>
      <c r="F50" t="inlineStr">
        <is>
          <t xml:space="preserve">U"\f\f" UMLAUT_A_SMALL</t>
        </is>
      </c>
      <c r="G50" t="inlineStr">
        <is>
          <t xml:space="preserve">UMLAUT_A</t>
        </is>
      </c>
      <c r="H50" s="95"/>
      <c r="I50" s="95"/>
      <c r="J50" t="inlineStr">
        <is>
          <t xml:space="preserve">U"\f" U_WITH_GRAVE</t>
        </is>
      </c>
      <c r="K50" s="96" t="s">
        <v>1256</v>
      </c>
      <c r="L50" s="96"/>
      <c r="M50" s="96"/>
      <c r="N50" s="97" t="s">
        <v>80</v>
      </c>
      <c r="O50" s="97" t="s">
        <v>59</v>
      </c>
      <c r="P50" s="97" t="s">
        <v>80</v>
      </c>
      <c r="Q50" s="97" t="s">
        <v>1137</v>
      </c>
      <c r="R50" s="138" t="s">
        <v>92</v>
      </c>
      <c r="S50" s="138" t="s">
        <v>64</v>
      </c>
      <c r="T50" s="138" t="s">
        <v>92</v>
      </c>
      <c r="U50" s="138"/>
      <c r="V50" t="inlineStr">
        <is>
          <t xml:space="preserve">U"\f\f" A_WITH_GRAVE_SMALL</t>
        </is>
      </c>
      <c r="W50" t="inlineStr">
        <is>
          <t xml:space="preserve">U"\f\f" O_WITH_ACUTE_SMALL</t>
        </is>
      </c>
      <c r="X50" s="99" t="s">
        <v>104</v>
      </c>
      <c r="Y50" s="99" t="s">
        <v>1228</v>
      </c>
      <c r="Z50" s="100" t="s">
        <v>1162</v>
      </c>
      <c r="AA50" s="100" t="s">
        <v>175</v>
      </c>
      <c r="AB50" s="100"/>
      <c r="AC50" s="100"/>
      <c r="AD50" s="101"/>
      <c r="AE50" s="101"/>
      <c r="AF50" s="101"/>
      <c r="AG50" s="101"/>
      <c r="AH50" t="inlineStr">
        <is>
          <t xml:space="preserve">:</t>
        </is>
      </c>
      <c r="AI50" t="inlineStr">
        <is>
          <t xml:space="preserve">*</t>
        </is>
      </c>
      <c r="AJ50" t="inlineStr">
        <is>
          <t xml:space="preserve">:</t>
        </is>
      </c>
      <c r="AK50" t="inlineStr">
        <is>
          <t xml:space="preserve">HIRAGANA_KE</t>
        </is>
      </c>
      <c r="AL50" s="103" t="s">
        <v>564</v>
      </c>
      <c r="AM50" s="103" t="s">
        <v>8</v>
      </c>
      <c r="AN50" s="103" t="s">
        <v>564</v>
      </c>
      <c r="AO50" s="103"/>
      <c r="AP50" s="104" t="s">
        <v>1222</v>
      </c>
      <c r="AQ50" s="104" t="s">
        <v>8</v>
      </c>
      <c r="AR50" s="104" t="s">
        <v>1222</v>
      </c>
      <c r="AS50" s="104"/>
      <c r="AT50" t="inlineStr">
        <is>
          <t xml:space="preserve">U"\f\f" CYRILLIC_SM_UA_IE</t>
        </is>
      </c>
      <c r="AU50" t="inlineStr">
        <is>
          <t xml:space="preserve">CYRILLIC_UA_IE</t>
        </is>
      </c>
      <c r="AV50" s="105"/>
      <c r="AW50" t="inlineStr">
        <is>
          <t xml:space="preserve">CYRILLIC_SM_E</t>
        </is>
      </c>
      <c r="AX50" t="inlineStr">
        <is>
          <t xml:space="preserve">U"\f\f" CYRILLIC_SM_E</t>
        </is>
      </c>
      <c r="AY50" t="inlineStr">
        <is>
          <t xml:space="preserve">CYRILLIC_E</t>
        </is>
      </c>
      <c r="AZ50" s="106"/>
      <c r="BA50" s="106"/>
      <c r="BB50" s="107" t="s">
        <v>398</v>
      </c>
      <c r="BC50" t="inlineStr">
        <is>
          <t xml:space="preserve">CYRILLIC_E</t>
        </is>
      </c>
      <c r="BD50" s="107"/>
      <c r="BE50" s="107"/>
      <c r="BF50" t="inlineStr">
        <is>
          <t xml:space="preserve">U"\f\f" CYRILLIC_SM_E</t>
        </is>
      </c>
      <c r="BG50" t="inlineStr">
        <is>
          <t xml:space="preserve">CYRILLIC_E</t>
        </is>
      </c>
      <c r="BH50" s="108"/>
      <c r="BI50" s="108"/>
      <c r="BJ50" s="109" t="s">
        <v>389</v>
      </c>
      <c r="BK50" t="inlineStr">
        <is>
          <t xml:space="preserve">CYRILLIC_CHE</t>
        </is>
      </c>
      <c r="BL50" s="109"/>
      <c r="BM50" s="109"/>
      <c r="BN50" s="95" t="s">
        <v>1332</v>
      </c>
      <c r="BO50" s="95" t="s">
        <v>1333</v>
      </c>
      <c r="BP50" s="95" t="s">
        <v>1332</v>
      </c>
      <c r="BQ50" s="128" t="s">
        <v>135</v>
      </c>
      <c r="BR50" s="110" t="s">
        <v>1334</v>
      </c>
      <c r="BS50" t="inlineStr">
        <is>
          <t xml:space="preserve">LATIN_0162</t>
        </is>
      </c>
      <c r="BT50" s="110" t="s">
        <v>1335</v>
      </c>
      <c r="BU50" t="inlineStr">
        <is>
          <t xml:space="preserve">U"’ \""</t>
        </is>
      </c>
      <c r="BZ50" s="111" t="s">
        <v>1268</v>
      </c>
      <c r="CA50" s="111" t="s">
        <v>1337</v>
      </c>
      <c r="CB50" s="111" t="s">
        <v>1268</v>
      </c>
      <c r="CC50" s="111"/>
      <c r="CD50" s="95" t="s">
        <v>10</v>
      </c>
      <c r="CE50" s="128" t="s">
        <v>8</v>
      </c>
      <c r="CF50" s="95"/>
      <c r="CG50" s="95"/>
      <c r="CH50" t="inlineStr">
        <is>
          <t xml:space="preserve">U"\f\f\f" UMLAUT_A_SMALL</t>
        </is>
      </c>
      <c r="CI50" t="inlineStr">
        <is>
          <t xml:space="preserve">UMLAUT_A</t>
        </is>
      </c>
      <c r="CJ50" s="112" t="s">
        <v>139</v>
      </c>
      <c r="CK50" s="112"/>
      <c r="CL50" t="inlineStr">
        <is>
          <t xml:space="preserve">U"\f\f" UMLAUT_A_SMALL</t>
        </is>
      </c>
      <c r="CM50" t="inlineStr">
        <is>
          <t xml:space="preserve">UMLAUT_A</t>
        </is>
      </c>
      <c r="CN50" s="113" t="s">
        <v>139</v>
      </c>
      <c r="CO50" s="113"/>
      <c r="CP50" s="84" t="s">
        <v>1338</v>
      </c>
      <c r="CQ50" s="84" t="s">
        <v>1339</v>
      </c>
      <c r="CR50" s="84" t="s">
        <v>1338</v>
      </c>
      <c r="CS50" s="84"/>
      <c r="CT50" t="inlineStr">
        <is>
          <t xml:space="preserve">U"\f\f" LATIN_00C6</t>
        </is>
      </c>
      <c r="CU50" t="inlineStr">
        <is>
          <t xml:space="preserve">LATIN_00E6</t>
        </is>
      </c>
      <c r="CV50" s="110" t="s">
        <v>1338</v>
      </c>
      <c r="CW50" s="110"/>
      <c r="CX50" t="inlineStr">
        <is>
          <t xml:space="preserve">U"\f\f" LATIN_00E1</t>
        </is>
      </c>
      <c r="CY50" t="inlineStr">
        <is>
          <t xml:space="preserve">LATIN_00C1</t>
        </is>
      </c>
      <c r="CZ50" s="114" t="s">
        <v>1340</v>
      </c>
      <c r="DA50" s="114" t="s">
        <v>135</v>
      </c>
      <c r="DB50" t="inlineStr">
        <is>
          <t xml:space="preserve">U"\f\f\f" SECTION</t>
        </is>
      </c>
      <c r="DC50" s="115" t="s">
        <v>1236</v>
      </c>
      <c r="DD50" t="inlineStr">
        <is>
          <t xml:space="preserve">U"\f\f\f" SECTION</t>
        </is>
      </c>
      <c r="DE50" s="115" t="s">
        <v>135</v>
      </c>
      <c r="DF50" t="inlineStr">
        <is>
          <t xml:space="preserve">U"\f\f" LATIN_0107</t>
        </is>
      </c>
      <c r="DG50" t="inlineStr">
        <is>
          <t xml:space="preserve">LATIN_0106</t>
        </is>
      </c>
      <c r="DJ50" t="inlineStr">
        <is>
          <t xml:space="preserve">U"\f\f\f" SECTION</t>
        </is>
      </c>
      <c r="DK50" t="inlineStr">
        <is>
          <t xml:space="preserve">!</t>
        </is>
      </c>
      <c r="DL50" t="inlineStr">
        <is>
          <t xml:space="preserve">U"\f\f\f" SECTION</t>
        </is>
      </c>
      <c r="DV50" t="inlineStr">
        <is>
          <t xml:space="preserve">U"\f\f" UMLAUT_A_SMALL</t>
        </is>
      </c>
      <c r="DW50" t="inlineStr">
        <is>
          <t xml:space="preserve">LATIN_00C4</t>
        </is>
      </c>
      <c r="DZ50" t="inlineStr">
        <is>
          <t xml:space="preserve">~</t>
        </is>
      </c>
      <c r="EA50" t="inlineStr">
        <is>
          <t xml:space="preserve">^</t>
        </is>
      </c>
      <c r="EB50" t="inlineStr">
        <is>
          <t xml:space="preserve">~</t>
        </is>
      </c>
      <c r="ED50" t="inlineStr">
        <is>
          <t xml:space="preserve">U"\f" CYRILLIC_SM_TSHE</t>
        </is>
      </c>
      <c r="EE50" t="inlineStr">
        <is>
          <t xml:space="preserve">CYRILLIC_TSHE</t>
        </is>
      </c>
      <c r="EH50" t="inlineStr">
        <is>
          <t xml:space="preserve">CYRILLIC_SM_KJE</t>
        </is>
      </c>
      <c r="EI50" t="inlineStr">
        <is>
          <t xml:space="preserve">CYRILLIC_KJE</t>
        </is>
      </c>
      <c r="EL50" t="inlineStr">
        <is>
          <t xml:space="preserve">ARABIC_GAF</t>
        </is>
      </c>
      <c r="EN50" t="inlineStr">
        <is>
          <t xml:space="preserve">ARABIC_GAF</t>
        </is>
      </c>
      <c r="EP50" t="inlineStr">
        <is>
          <t xml:space="preserve">DEVANAGARI_091F</t>
        </is>
      </c>
      <c r="EQ50" t="inlineStr">
        <is>
          <t xml:space="preserve">DEVANAGARI_0920</t>
        </is>
      </c>
      <c r="ER50" t="inlineStr">
        <is>
          <t xml:space="preserve">DEVANAGARI_091F</t>
        </is>
      </c>
      <c r="ET50" t="inlineStr">
        <is>
          <t xml:space="preserve">DEVANAGARI_091F</t>
        </is>
      </c>
      <c r="EU50" t="inlineStr">
        <is>
          <t xml:space="preserve">DEVANAGARI_0920</t>
        </is>
      </c>
      <c r="EV50" t="inlineStr">
        <is>
          <t xml:space="preserve">DEVANAGARI_091F</t>
        </is>
      </c>
      <c r="EX50" t="inlineStr">
        <is>
          <t xml:space="preserve">DEVANAGARI_091F</t>
        </is>
      </c>
      <c r="EY50" t="inlineStr">
        <is>
          <t xml:space="preserve">DEVANAGARI_0920</t>
        </is>
      </c>
      <c r="EZ50" t="inlineStr">
        <is>
          <t xml:space="preserve">DEVANAGARI_091F</t>
        </is>
      </c>
      <c r="FB50" t="inlineStr">
        <is>
          <t xml:space="preserve">CYRILLIC_SM_PE</t>
        </is>
      </c>
      <c r="FC50" t="inlineStr">
        <is>
          <t xml:space="preserve">CYRILLIC_PE</t>
        </is>
      </c>
      <c r="FF50" t="inlineStr">
        <is>
          <t xml:space="preserve">'</t>
        </is>
      </c>
      <c r="FG50" t="inlineStr">
        <is>
          <t xml:space="preserve">QUOTE</t>
        </is>
      </c>
      <c r="FH50" t="inlineStr">
        <is>
          <t xml:space="preserve">'</t>
        </is>
      </c>
      <c r="FJ50" t="inlineStr">
        <is>
          <t xml:space="preserve">'</t>
        </is>
      </c>
      <c r="FK50" t="inlineStr">
        <is>
          <t xml:space="preserve">@</t>
        </is>
      </c>
      <c r="FL50" t="inlineStr">
        <is>
          <t xml:space="preserve">'</t>
        </is>
      </c>
      <c r="FN50" t="inlineStr">
        <is>
          <t xml:space="preserve">{</t>
        </is>
      </c>
      <c r="FO50" t="inlineStr">
        <is>
          <t xml:space="preserve">[</t>
        </is>
      </c>
      <c r="FP50" t="inlineStr">
        <is>
          <t xml:space="preserve">{</t>
        </is>
      </c>
      <c r="FQ50" t="inlineStr">
        <is>
          <t xml:space="preserve">^</t>
        </is>
      </c>
      <c r="FR50" t="inlineStr">
        <is>
          <t xml:space="preserve">UMLAUT_A_SMALL</t>
        </is>
      </c>
      <c r="FS50" t="inlineStr">
        <is>
          <t xml:space="preserve">A_WITH_GRAVE_SMALL</t>
        </is>
      </c>
      <c r="FT50" t="inlineStr">
        <is>
          <t xml:space="preserve">UMLAUT_A_SMALL</t>
        </is>
      </c>
      <c r="FU50" t="inlineStr">
        <is>
          <t xml:space="preserve">{</t>
        </is>
      </c>
      <c r="FV50" t="inlineStr">
        <is>
          <t xml:space="preserve">U"\f\f\f" U_WITH_GRAVE_SMALL</t>
        </is>
      </c>
      <c r="FW50" t="inlineStr">
        <is>
          <t xml:space="preserve">%</t>
        </is>
      </c>
      <c r="FX50" t="inlineStr">
        <is>
          <t xml:space="preserve">U_WITH_GRAVE_SMALL</t>
        </is>
      </c>
      <c r="FY50" t="inlineStr">
        <is>
          <t xml:space="preserve">ACUTE_ACCENT</t>
        </is>
      </c>
      <c r="FZ50" t="inlineStr">
        <is>
          <t xml:space="preserve">GRAVE_ACCENT</t>
        </is>
      </c>
      <c r="GA50" t="inlineStr">
        <is>
          <t xml:space="preserve">GRAVE_ACCENT</t>
        </is>
      </c>
      <c r="GB50" t="inlineStr">
        <is>
          <t xml:space="preserve">GRAVE_ACCENT</t>
        </is>
      </c>
      <c r="GC50" t="inlineStr">
        <is>
          <t xml:space="preserve">{</t>
        </is>
      </c>
      <c r="GD50" t="inlineStr">
        <is>
          <t xml:space="preserve">THAI_0E07</t>
        </is>
      </c>
      <c r="GE50" t="inlineStr">
        <is>
          <t xml:space="preserve">.</t>
        </is>
      </c>
      <c r="GF50" t="inlineStr">
        <is>
          <t xml:space="preserve">THAI_0E07</t>
        </is>
      </c>
      <c r="GH50" t="inlineStr">
        <is>
          <t xml:space="preserve">BENGALI_099F</t>
        </is>
      </c>
      <c r="GI50" t="inlineStr">
        <is>
          <t xml:space="preserve">BENGALI_09A0</t>
        </is>
      </c>
      <c r="GJ50" t="inlineStr">
        <is>
          <t xml:space="preserve">BENGALI_099F</t>
        </is>
      </c>
      <c r="GL50" t="inlineStr">
        <is>
          <t xml:space="preserve">TELUGU_0C1F</t>
        </is>
      </c>
      <c r="GM50" t="inlineStr">
        <is>
          <t xml:space="preserve">TELUGU_0C20</t>
        </is>
      </c>
      <c r="GN50" t="inlineStr">
        <is>
          <t xml:space="preserve">TELUGU_0C1F</t>
        </is>
      </c>
      <c r="GP50" t="inlineStr">
        <is>
          <t xml:space="preserve">TAMIL_0B9F</t>
        </is>
      </c>
      <c r="GR50" t="inlineStr">
        <is>
          <t xml:space="preserve">TAMIL_0B9F</t>
        </is>
      </c>
      <c r="HB50" t="inlineStr">
        <is>
          <t xml:space="preserve">ARMENIAN_0580</t>
        </is>
      </c>
      <c r="HC50" t="inlineStr">
        <is>
          <t xml:space="preserve">ARMENIAN_0550</t>
        </is>
      </c>
      <c r="HJ50" t="inlineStr">
        <is>
          <t xml:space="preserve">LATIN_0259</t>
        </is>
      </c>
      <c r="HK50" t="inlineStr">
        <is>
          <t xml:space="preserve">LATIN_018F</t>
        </is>
      </c>
      <c r="HN50" t="inlineStr">
        <is>
          <t xml:space="preserve">ACUTE_ACCENT</t>
        </is>
      </c>
      <c r="HO50" t="inlineStr">
        <is>
          <t xml:space="preserve">ACUTE_ACCENT</t>
        </is>
      </c>
      <c r="HP50" t="inlineStr">
        <is>
          <t xml:space="preserve">ACUTE_ACCENT</t>
        </is>
      </c>
      <c r="HV50" t="inlineStr">
        <is>
          <t xml:space="preserve">'</t>
        </is>
      </c>
      <c r="HW50" t="inlineStr">
        <is>
          <t xml:space="preserve">QUOTE</t>
        </is>
      </c>
      <c r="HX50" t="inlineStr">
        <is>
          <t xml:space="preserve">'</t>
        </is>
      </c>
      <c r="IO50" t="inlineStr">
        <is>
          <t xml:space="preserve">OKINA</t>
        </is>
      </c>
      <c r="IX50" t="inlineStr">
        <is>
          <t xml:space="preserve">OKINA</t>
        </is>
      </c>
      <c r="IY50" t="inlineStr">
        <is>
          <t xml:space="preserve">QUOTE</t>
        </is>
      </c>
      <c r="IZ50" t="inlineStr">
        <is>
          <t xml:space="preserve">OKINA</t>
        </is>
      </c>
      <c r="JA50" t="inlineStr">
        <is>
          <t xml:space="preserve">'</t>
        </is>
      </c>
      <c r="JE50" t="inlineStr">
        <is>
          <t xml:space="preserve">ACUTE_ACCENT</t>
        </is>
      </c>
      <c r="JI50" t="inlineStr">
        <is>
          <t xml:space="preserve">ACUTE_ACCENT</t>
        </is>
      </c>
      <c r="JJ50" t="inlineStr">
        <is>
          <t xml:space="preserve">ARABIC_TAH</t>
        </is>
      </c>
      <c r="JK50" t="inlineStr">
        <is>
          <t xml:space="preserve">QUOTE</t>
        </is>
      </c>
      <c r="JL50" t="inlineStr">
        <is>
          <t xml:space="preserve">ARABIC_TAH</t>
        </is>
      </c>
      <c r="JR50" t="inlineStr">
        <is>
          <t xml:space="preserve">ETHIOPIC_1366</t>
        </is>
      </c>
      <c r="JS50" t="inlineStr">
        <is>
          <t xml:space="preserve">ETHIOPIC_1365</t>
        </is>
      </c>
      <c r="JT50" t="inlineStr">
        <is>
          <t xml:space="preserve">ETHIOPIC_1366</t>
        </is>
      </c>
      <c r="KD50" t="inlineStr">
        <is>
          <t xml:space="preserve">ARABIC_TAH</t>
        </is>
      </c>
      <c r="KE50" t="inlineStr">
        <is>
          <t xml:space="preserve">QUOTE</t>
        </is>
      </c>
      <c r="KF50" t="inlineStr">
        <is>
          <t xml:space="preserve">ARABIC_TAH</t>
        </is>
      </c>
      <c r="KH50" t="inlineStr">
        <is>
          <t xml:space="preserve">ARABIC_TAH</t>
        </is>
      </c>
      <c r="KI50" t="inlineStr">
        <is>
          <t xml:space="preserve">QUOTE</t>
        </is>
      </c>
      <c r="KJ50" t="inlineStr">
        <is>
          <t xml:space="preserve">ARABIC_TAH</t>
        </is>
      </c>
      <c r="KT50" t="inlineStr">
        <is>
          <t xml:space="preserve">OKINA</t>
        </is>
      </c>
      <c r="KU50" t="inlineStr">
        <is>
          <t xml:space="preserve">QUOTE</t>
        </is>
      </c>
      <c r="KV50" t="inlineStr">
        <is>
          <t xml:space="preserve">OKINA</t>
        </is>
      </c>
      <c r="LA50" t="inlineStr">
        <is>
          <t xml:space="preserve">{</t>
        </is>
      </c>
      <c r="LB50" t="inlineStr">
        <is>
          <t xml:space="preserve">{</t>
        </is>
      </c>
      <c r="LC50" t="inlineStr">
        <is>
          <t xml:space="preserve">[</t>
        </is>
      </c>
      <c r="LD50" t="inlineStr">
        <is>
          <t xml:space="preserve">{</t>
        </is>
      </c>
      <c r="LE50" t="inlineStr">
        <is>
          <t xml:space="preserve">^</t>
        </is>
      </c>
      <c r="LJ50" t="inlineStr">
        <is>
          <t xml:space="preserve">U_WITH_GRAVE</t>
        </is>
      </c>
      <c r="LK50" t="inlineStr">
        <is>
          <t xml:space="preserve">%</t>
        </is>
      </c>
      <c r="LN50" t="inlineStr">
        <is>
          <t xml:space="preserve">{</t>
        </is>
      </c>
      <c r="LO50" t="inlineStr">
        <is>
          <t xml:space="preserve">[</t>
        </is>
      </c>
      <c r="LP50" t="inlineStr">
        <is>
          <t xml:space="preserve">{</t>
        </is>
      </c>
      <c r="LQ50" t="inlineStr">
        <is>
          <t xml:space="preserve">^</t>
        </is>
      </c>
      <c r="LR50" t="inlineStr">
        <is>
          <t xml:space="preserve">{</t>
        </is>
      </c>
      <c r="LS50" t="inlineStr">
        <is>
          <t xml:space="preserve">[</t>
        </is>
      </c>
      <c r="LT50" t="inlineStr">
        <is>
          <t xml:space="preserve">{</t>
        </is>
      </c>
      <c r="LU50" t="inlineStr">
        <is>
          <t xml:space="preserve">^</t>
        </is>
      </c>
      <c r="LV50" t="inlineStr">
        <is>
          <t xml:space="preserve">{</t>
        </is>
      </c>
      <c r="LW50" t="inlineStr">
        <is>
          <t xml:space="preserve">[</t>
        </is>
      </c>
      <c r="LX50" t="inlineStr">
        <is>
          <t xml:space="preserve">{</t>
        </is>
      </c>
      <c r="LY50" t="inlineStr">
        <is>
          <t xml:space="preserve">^</t>
        </is>
      </c>
      <c r="LZ50" t="inlineStr">
        <is>
          <t xml:space="preserve">{</t>
        </is>
      </c>
      <c r="MA50" t="inlineStr">
        <is>
          <t xml:space="preserve">[</t>
        </is>
      </c>
      <c r="MB50" t="inlineStr">
        <is>
          <t xml:space="preserve">{</t>
        </is>
      </c>
      <c r="MC50" t="inlineStr">
        <is>
          <t xml:space="preserve">^</t>
        </is>
      </c>
      <c r="MD50" t="inlineStr">
        <is>
          <t xml:space="preserve">{</t>
        </is>
      </c>
      <c r="ME50" t="inlineStr">
        <is>
          <t xml:space="preserve">[</t>
        </is>
      </c>
      <c r="MF50" t="inlineStr">
        <is>
          <t xml:space="preserve">{</t>
        </is>
      </c>
      <c r="MG50" t="inlineStr">
        <is>
          <t xml:space="preserve">^</t>
        </is>
      </c>
      <c r="MH50" t="inlineStr">
        <is>
          <t xml:space="preserve">{</t>
        </is>
      </c>
      <c r="MI50" t="inlineStr">
        <is>
          <t xml:space="preserve">[</t>
        </is>
      </c>
      <c r="MJ50" t="inlineStr">
        <is>
          <t xml:space="preserve">{</t>
        </is>
      </c>
      <c r="MK50" t="inlineStr">
        <is>
          <t xml:space="preserve">^</t>
        </is>
      </c>
      <c r="ML50" t="inlineStr">
        <is>
          <t xml:space="preserve">{</t>
        </is>
      </c>
      <c r="MM50" t="inlineStr">
        <is>
          <t xml:space="preserve">[</t>
        </is>
      </c>
      <c r="MN50" t="inlineStr">
        <is>
          <t xml:space="preserve">{</t>
        </is>
      </c>
      <c r="MO50" t="inlineStr">
        <is>
          <t xml:space="preserve">^</t>
        </is>
      </c>
      <c r="MP50" t="inlineStr">
        <is>
          <t xml:space="preserve">{</t>
        </is>
      </c>
      <c r="MQ50" t="inlineStr">
        <is>
          <t xml:space="preserve">[</t>
        </is>
      </c>
      <c r="MR50" t="inlineStr">
        <is>
          <t xml:space="preserve">{</t>
        </is>
      </c>
      <c r="MS50" t="inlineStr">
        <is>
          <t xml:space="preserve">^</t>
        </is>
      </c>
      <c r="MT50" t="inlineStr">
        <is>
          <t xml:space="preserve">{</t>
        </is>
      </c>
      <c r="MU50" t="inlineStr">
        <is>
          <t xml:space="preserve">[</t>
        </is>
      </c>
      <c r="MV50" t="inlineStr">
        <is>
          <t xml:space="preserve">{</t>
        </is>
      </c>
      <c r="MW50" t="inlineStr">
        <is>
          <t xml:space="preserve">^</t>
        </is>
      </c>
      <c r="MX50" t="inlineStr">
        <is>
          <t xml:space="preserve">{</t>
        </is>
      </c>
      <c r="MY50" t="inlineStr">
        <is>
          <t xml:space="preserve">[</t>
        </is>
      </c>
      <c r="MZ50" t="inlineStr">
        <is>
          <t xml:space="preserve">{</t>
        </is>
      </c>
      <c r="NA50" t="inlineStr">
        <is>
          <t xml:space="preserve">^</t>
        </is>
      </c>
      <c r="NB50" t="inlineStr">
        <is>
          <t xml:space="preserve">{</t>
        </is>
      </c>
      <c r="NC50" t="inlineStr">
        <is>
          <t xml:space="preserve">[</t>
        </is>
      </c>
      <c r="ND50" t="inlineStr">
        <is>
          <t xml:space="preserve">{</t>
        </is>
      </c>
      <c r="NE50" t="inlineStr">
        <is>
          <t xml:space="preserve">^</t>
        </is>
      </c>
      <c r="NF50" t="inlineStr">
        <is>
          <t xml:space="preserve">{</t>
        </is>
      </c>
      <c r="NG50" t="inlineStr">
        <is>
          <t xml:space="preserve">[</t>
        </is>
      </c>
      <c r="NH50" t="inlineStr">
        <is>
          <t xml:space="preserve">{</t>
        </is>
      </c>
      <c r="NI50" t="inlineStr">
        <is>
          <t xml:space="preserve">^</t>
        </is>
      </c>
      <c r="NJ50" t="inlineStr">
        <is>
          <t xml:space="preserve">{</t>
        </is>
      </c>
      <c r="NK50" t="inlineStr">
        <is>
          <t xml:space="preserve">[</t>
        </is>
      </c>
      <c r="NL50" t="inlineStr">
        <is>
          <t xml:space="preserve">{</t>
        </is>
      </c>
      <c r="NM50" t="inlineStr">
        <is>
          <t xml:space="preserve">^</t>
        </is>
      </c>
      <c r="NN50" t="inlineStr">
        <is>
          <t xml:space="preserve">{</t>
        </is>
      </c>
      <c r="NO50" t="inlineStr">
        <is>
          <t xml:space="preserve">[</t>
        </is>
      </c>
      <c r="NP50" t="inlineStr">
        <is>
          <t xml:space="preserve">{</t>
        </is>
      </c>
      <c r="NQ50" t="inlineStr">
        <is>
          <t xml:space="preserve">^</t>
        </is>
      </c>
      <c r="NR50" t="inlineStr">
        <is>
          <t xml:space="preserve">{</t>
        </is>
      </c>
      <c r="NS50" t="inlineStr">
        <is>
          <t xml:space="preserve">[</t>
        </is>
      </c>
      <c r="NT50" t="inlineStr">
        <is>
          <t xml:space="preserve">{</t>
        </is>
      </c>
      <c r="NU50" t="inlineStr">
        <is>
          <t xml:space="preserve">^</t>
        </is>
      </c>
      <c r="NV50" t="inlineStr">
        <is>
          <t xml:space="preserve">U"\f\f" UMLAUT_A_SMALL</t>
        </is>
      </c>
      <c r="NW50" t="inlineStr">
        <is>
          <t xml:space="preserve">UMLAUT_A</t>
        </is>
      </c>
      <c r="NZ50" t="inlineStr">
        <is>
          <t xml:space="preserve">U"\f\f\f" U_WITH_GRAVE_SMALL</t>
        </is>
      </c>
      <c r="OA50" t="inlineStr">
        <is>
          <t xml:space="preserve">%</t>
        </is>
      </c>
      <c r="OB50" t="inlineStr">
        <is>
          <t xml:space="preserve">U_WITH_GRAVE_SMALL</t>
        </is>
      </c>
      <c r="OC50" t="inlineStr">
        <is>
          <t xml:space="preserve">ACUTE_ACCENT</t>
        </is>
      </c>
      <c r="OD50" t="inlineStr">
        <is>
          <t xml:space="preserve">ACUTE_ACCENT</t>
        </is>
      </c>
      <c r="OE50" t="inlineStr">
        <is>
          <t xml:space="preserve">DIAERESIS</t>
        </is>
      </c>
      <c r="OF50" t="inlineStr">
        <is>
          <t xml:space="preserve">ACUTE_ACCENT</t>
        </is>
      </c>
      <c r="OG50" t="inlineStr">
        <is>
          <t xml:space="preserve">{</t>
        </is>
      </c>
      <c r="OH50" t="inlineStr">
        <is>
          <t xml:space="preserve">'</t>
        </is>
      </c>
      <c r="OI50" t="inlineStr">
        <is>
          <t xml:space="preserve">@</t>
        </is>
      </c>
      <c r="OJ50" t="inlineStr">
        <is>
          <t xml:space="preserve">'</t>
        </is>
      </c>
      <c r="OL50" t="inlineStr">
        <is>
          <t xml:space="preserve">LATIN_0107</t>
        </is>
      </c>
      <c r="OM50" t="inlineStr">
        <is>
          <t xml:space="preserve">LATIN_0106</t>
        </is>
      </c>
      <c r="OP50" t="inlineStr">
        <is>
          <t xml:space="preserve">U"\f\f" UMLAUT_A_SMALL</t>
        </is>
      </c>
      <c r="OQ50" t="inlineStr">
        <is>
          <t xml:space="preserve">U"\f\f" A_WITH_GRAVE_SMALL</t>
        </is>
      </c>
      <c r="OR50" t="inlineStr">
        <is>
          <t xml:space="preserve">UMLAUT_A_SMALL</t>
        </is>
      </c>
      <c r="OS50" t="inlineStr">
        <is>
          <t xml:space="preserve">{</t>
        </is>
      </c>
      <c r="OT50" t="inlineStr">
        <is>
          <t xml:space="preserve">U"\f\f\f" LATIN_0107</t>
        </is>
      </c>
      <c r="OU50" t="inlineStr">
        <is>
          <t xml:space="preserve">LATIN_0106</t>
        </is>
      </c>
      <c r="OX50" t="inlineStr">
        <is>
          <t xml:space="preserve">U"\f\f" LATIN_00C6</t>
        </is>
      </c>
      <c r="OY50" t="inlineStr">
        <is>
          <t xml:space="preserve">LATIN_00E6</t>
        </is>
      </c>
      <c r="OZ50" t="inlineStr">
        <is>
          <t xml:space="preserve">LATIN_00C6</t>
        </is>
      </c>
      <c r="PB50" t="inlineStr">
        <is>
          <t xml:space="preserve">ARABIC_TAH</t>
        </is>
      </c>
      <c r="PC50" t="inlineStr">
        <is>
          <t xml:space="preserve">QUOTE</t>
        </is>
      </c>
      <c r="PD50" t="inlineStr">
        <is>
          <t xml:space="preserve">ARABIC_TAH</t>
        </is>
      </c>
      <c r="PF50" t="inlineStr">
        <is>
          <t xml:space="preserve">ARABIC_TAH</t>
        </is>
      </c>
      <c r="PG50" t="inlineStr">
        <is>
          <t xml:space="preserve">QUOTE</t>
        </is>
      </c>
      <c r="PH50" t="inlineStr">
        <is>
          <t xml:space="preserve">ARABIC_TAH</t>
        </is>
      </c>
      <c r="PJ50" t="inlineStr">
        <is>
          <t xml:space="preserve">ARABIC_TAH</t>
        </is>
      </c>
      <c r="PK50" t="inlineStr">
        <is>
          <t xml:space="preserve">QUOTE</t>
        </is>
      </c>
      <c r="PL50" t="inlineStr">
        <is>
          <t xml:space="preserve">ARABIC_TAH</t>
        </is>
      </c>
      <c r="PN50" t="inlineStr">
        <is>
          <t xml:space="preserve">ARABIC_TAH</t>
        </is>
      </c>
      <c r="PO50" t="inlineStr">
        <is>
          <t xml:space="preserve">QUOTE</t>
        </is>
      </c>
      <c r="PP50" t="inlineStr">
        <is>
          <t xml:space="preserve">ARABIC_TAH</t>
        </is>
      </c>
      <c r="PR50" t="inlineStr">
        <is>
          <t xml:space="preserve">ARABIC_TAH</t>
        </is>
      </c>
      <c r="PS50" t="inlineStr">
        <is>
          <t xml:space="preserve">QUOTE</t>
        </is>
      </c>
      <c r="PT50" t="inlineStr">
        <is>
          <t xml:space="preserve">ARABIC_TAH</t>
        </is>
      </c>
      <c r="PV50" t="inlineStr">
        <is>
          <t xml:space="preserve">ARABIC_TAH</t>
        </is>
      </c>
      <c r="PW50" t="inlineStr">
        <is>
          <t xml:space="preserve">QUOTE</t>
        </is>
      </c>
      <c r="PX50" t="inlineStr">
        <is>
          <t xml:space="preserve">ARABIC_TAH</t>
        </is>
      </c>
      <c r="PZ50" t="inlineStr">
        <is>
          <t xml:space="preserve">ARABIC_TAH</t>
        </is>
      </c>
      <c r="QA50" t="inlineStr">
        <is>
          <t xml:space="preserve">QUOTE</t>
        </is>
      </c>
      <c r="QB50" t="inlineStr">
        <is>
          <t xml:space="preserve">ARABIC_TAH</t>
        </is>
      </c>
      <c r="QD50" t="inlineStr">
        <is>
          <t xml:space="preserve">ARABIC_TAH</t>
        </is>
      </c>
      <c r="QE50" t="inlineStr">
        <is>
          <t xml:space="preserve">QUOTE</t>
        </is>
      </c>
      <c r="QF50" t="inlineStr">
        <is>
          <t xml:space="preserve">ARABIC_TAH</t>
        </is>
      </c>
      <c r="QH50" t="inlineStr">
        <is>
          <t xml:space="preserve">ARABIC_TAH</t>
        </is>
      </c>
      <c r="QI50" t="inlineStr">
        <is>
          <t xml:space="preserve">QUOTE</t>
        </is>
      </c>
      <c r="QJ50" t="inlineStr">
        <is>
          <t xml:space="preserve">ARABIC_TAH</t>
        </is>
      </c>
      <c r="QL50" t="inlineStr">
        <is>
          <t xml:space="preserve">ARABIC_TAH</t>
        </is>
      </c>
      <c r="QM50" t="inlineStr">
        <is>
          <t xml:space="preserve">QUOTE</t>
        </is>
      </c>
      <c r="QN50" t="inlineStr">
        <is>
          <t xml:space="preserve">ARABIC_TAH</t>
        </is>
      </c>
      <c r="QP50" t="inlineStr">
        <is>
          <t xml:space="preserve">ARABIC_TAH</t>
        </is>
      </c>
      <c r="QQ50" t="inlineStr">
        <is>
          <t xml:space="preserve">QUOTE</t>
        </is>
      </c>
      <c r="QR50" t="inlineStr">
        <is>
          <t xml:space="preserve">ARABIC_TAH</t>
        </is>
      </c>
      <c r="QT50" t="inlineStr">
        <is>
          <t xml:space="preserve">ARABIC_TAH</t>
        </is>
      </c>
      <c r="QU50" t="inlineStr">
        <is>
          <t xml:space="preserve">QUOTE</t>
        </is>
      </c>
      <c r="QV50" t="inlineStr">
        <is>
          <t xml:space="preserve">ARABIC_TAH</t>
        </is>
      </c>
      <c r="QX50" t="inlineStr">
        <is>
          <t xml:space="preserve">ARABIC_TAH</t>
        </is>
      </c>
      <c r="QY50" t="inlineStr">
        <is>
          <t xml:space="preserve">QUOTE</t>
        </is>
      </c>
      <c r="QZ50" t="inlineStr">
        <is>
          <t xml:space="preserve">ARABIC_TAH</t>
        </is>
      </c>
      <c r="RB50" t="inlineStr">
        <is>
          <t xml:space="preserve">ARABIC_TAH</t>
        </is>
      </c>
      <c r="RC50" t="inlineStr">
        <is>
          <t xml:space="preserve">QUOTE</t>
        </is>
      </c>
      <c r="RD50" t="inlineStr">
        <is>
          <t xml:space="preserve">ARABIC_TAH</t>
        </is>
      </c>
      <c r="RF50" t="inlineStr">
        <is>
          <t xml:space="preserve">U_WITH_GRAVE</t>
        </is>
      </c>
      <c r="RG50" t="inlineStr">
        <is>
          <t xml:space="preserve">%</t>
        </is>
      </c>
      <c r="RJ50" t="inlineStr">
        <is>
          <t xml:space="preserve">U_WITH_GRAVE</t>
        </is>
      </c>
      <c r="RK50" t="inlineStr">
        <is>
          <t xml:space="preserve">%</t>
        </is>
      </c>
      <c r="RN50" t="inlineStr">
        <is>
          <t xml:space="preserve">U_WITH_GRAVE</t>
        </is>
      </c>
      <c r="RO50" t="inlineStr">
        <is>
          <t xml:space="preserve">%</t>
        </is>
      </c>
      <c r="RR50" t="inlineStr">
        <is>
          <t xml:space="preserve">U_WITH_GRAVE</t>
        </is>
      </c>
      <c r="RS50" t="inlineStr">
        <is>
          <t xml:space="preserve">%</t>
        </is>
      </c>
      <c r="RV50" t="inlineStr">
        <is>
          <t xml:space="preserve">U_WITH_GRAVE</t>
        </is>
      </c>
      <c r="RW50" t="inlineStr">
        <is>
          <t xml:space="preserve">%</t>
        </is>
      </c>
      <c r="SP50" t="inlineStr">
        <is>
          <t xml:space="preserve">MASC_ORDINAL_IND</t>
        </is>
      </c>
      <c r="SQ50" t="inlineStr">
        <is>
          <t xml:space="preserve">FEM_ORDINAL_IND</t>
        </is>
      </c>
      <c r="SR50" t="inlineStr">
        <is>
          <t xml:space="preserve">MASC_ORDINAL_IND</t>
        </is>
      </c>
      <c r="ST50" t="inlineStr">
        <is>
          <t xml:space="preserve">MASC_ORDINAL_IND</t>
        </is>
      </c>
      <c r="SU50" t="inlineStr">
        <is>
          <t xml:space="preserve">FEM_ORDINAL_IND</t>
        </is>
      </c>
      <c r="SV50" t="inlineStr">
        <is>
          <t xml:space="preserve">MASC_ORDINAL_IND</t>
        </is>
      </c>
      <c r="SX50" t="inlineStr">
        <is>
          <t xml:space="preserve">BENGALI_099F</t>
        </is>
      </c>
      <c r="SY50" t="inlineStr">
        <is>
          <t xml:space="preserve">BENGALI_09A0</t>
        </is>
      </c>
      <c r="SZ50" t="inlineStr">
        <is>
          <t xml:space="preserve">BENGALI_099F</t>
        </is>
      </c>
      <c r="TV50" t="inlineStr">
        <is>
          <t xml:space="preserve">CYRILLIC_SM_E</t>
        </is>
      </c>
      <c r="TW50" t="inlineStr">
        <is>
          <t xml:space="preserve">CYRILLIC_E</t>
        </is>
      </c>
      <c r="TZ50" t="inlineStr">
        <is>
          <t xml:space="preserve">CYRILLIC_SM_E</t>
        </is>
      </c>
      <c r="UA50" t="inlineStr">
        <is>
          <t xml:space="preserve">CYRILLIC_E</t>
        </is>
      </c>
      <c r="UT50" t="inlineStr">
        <is>
          <t xml:space="preserve">U_WITH_GRAVE</t>
        </is>
      </c>
      <c r="UU50" t="inlineStr">
        <is>
          <t xml:space="preserve">%</t>
        </is>
      </c>
      <c r="VA50" t="inlineStr">
        <is>
          <t xml:space="preserve">OKINA</t>
        </is>
      </c>
      <c r="VB50" t="inlineStr">
        <is>
          <t xml:space="preserve">ACUTE_ACCENT</t>
        </is>
      </c>
      <c r="VC50" t="inlineStr">
        <is>
          <t xml:space="preserve">DIAERESIS</t>
        </is>
      </c>
      <c r="VD50" t="inlineStr">
        <is>
          <t xml:space="preserve">ACUTE_ACCENT</t>
        </is>
      </c>
      <c r="VE50" t="inlineStr">
        <is>
          <t xml:space="preserve">{</t>
        </is>
      </c>
      <c r="VF50" t="inlineStr">
        <is>
          <t xml:space="preserve">ACUTE_ACCENT</t>
        </is>
      </c>
      <c r="VG50" t="inlineStr">
        <is>
          <t xml:space="preserve">DIAERESIS</t>
        </is>
      </c>
      <c r="VH50" t="inlineStr">
        <is>
          <t xml:space="preserve">ACUTE_ACCENT</t>
        </is>
      </c>
      <c r="VI50" t="inlineStr">
        <is>
          <t xml:space="preserve">{</t>
        </is>
      </c>
      <c r="VJ50" t="inlineStr">
        <is>
          <t xml:space="preserve">U"\f\f\f" UMLAUT_A_SMALL</t>
        </is>
      </c>
      <c r="VK50" t="inlineStr">
        <is>
          <t xml:space="preserve">U"\f\f\f" A_WITH_GRAVE_SMALL</t>
        </is>
      </c>
      <c r="VL50" t="inlineStr">
        <is>
          <t xml:space="preserve">UMLAUT_A_SMALL</t>
        </is>
      </c>
      <c r="VM50" t="inlineStr">
        <is>
          <t xml:space="preserve">{</t>
        </is>
      </c>
      <c r="VN50" t="inlineStr">
        <is>
          <t xml:space="preserve">'</t>
        </is>
      </c>
      <c r="VO50" t="inlineStr">
        <is>
          <t xml:space="preserve">@</t>
        </is>
      </c>
      <c r="VP50" t="inlineStr">
        <is>
          <t xml:space="preserve">'</t>
        </is>
      </c>
      <c r="VR50" t="inlineStr">
        <is>
          <t xml:space="preserve">'</t>
        </is>
      </c>
      <c r="VS50" t="inlineStr">
        <is>
          <t xml:space="preserve">@</t>
        </is>
      </c>
      <c r="VT50" t="inlineStr">
        <is>
          <t xml:space="preserve">'</t>
        </is>
      </c>
      <c r="VV50" t="inlineStr">
        <is>
          <t xml:space="preserve">'</t>
        </is>
      </c>
      <c r="VW50" t="inlineStr">
        <is>
          <t xml:space="preserve">@</t>
        </is>
      </c>
      <c r="VX50" t="inlineStr">
        <is>
          <t xml:space="preserve">'</t>
        </is>
      </c>
      <c r="VY50" t="inlineStr">
        <is>
          <t xml:space="preserve">^</t>
        </is>
      </c>
      <c r="VZ50" t="inlineStr">
        <is>
          <t xml:space="preserve">U"\f\f" UMLAUT_A_SMALL</t>
        </is>
      </c>
      <c r="WA50" t="inlineStr">
        <is>
          <t xml:space="preserve">U"\f\f" A_WITH_GRAVE_SMALL</t>
        </is>
      </c>
      <c r="WB50" t="inlineStr">
        <is>
          <t xml:space="preserve">UMLAUT_A_SMALL</t>
        </is>
      </c>
      <c r="WC50" t="inlineStr">
        <is>
          <t xml:space="preserve">{</t>
        </is>
      </c>
      <c r="WD50" t="inlineStr">
        <is>
          <t xml:space="preserve">U"\f\f\f" LETTER_AE_SMALL</t>
        </is>
      </c>
      <c r="WE50" t="inlineStr">
        <is>
          <t xml:space="preserve">LATIN_00C6</t>
        </is>
      </c>
      <c r="WG50" t="inlineStr">
        <is>
          <t xml:space="preserve">UMLAUT_A_SMALL</t>
        </is>
      </c>
      <c r="WH50" t="inlineStr">
        <is>
          <t xml:space="preserve">{</t>
        </is>
      </c>
      <c r="WI50" t="inlineStr">
        <is>
          <t xml:space="preserve">[</t>
        </is>
      </c>
      <c r="WJ50" t="inlineStr">
        <is>
          <t xml:space="preserve">{</t>
        </is>
      </c>
      <c r="WK50" t="inlineStr">
        <is>
          <t xml:space="preserve">^</t>
        </is>
      </c>
      <c r="WL50" t="inlineStr">
        <is>
          <t xml:space="preserve">{</t>
        </is>
      </c>
      <c r="WM50" t="inlineStr">
        <is>
          <t xml:space="preserve">[</t>
        </is>
      </c>
      <c r="WN50" t="inlineStr">
        <is>
          <t xml:space="preserve">{</t>
        </is>
      </c>
      <c r="WO50" t="inlineStr">
        <is>
          <t xml:space="preserve">^</t>
        </is>
      </c>
      <c r="WP50" t="inlineStr">
        <is>
          <t xml:space="preserve">{</t>
        </is>
      </c>
      <c r="WQ50" t="inlineStr">
        <is>
          <t xml:space="preserve">[</t>
        </is>
      </c>
      <c r="WR50" t="inlineStr">
        <is>
          <t xml:space="preserve">{</t>
        </is>
      </c>
      <c r="WS50" t="inlineStr">
        <is>
          <t xml:space="preserve">^</t>
        </is>
      </c>
      <c r="WX50" t="inlineStr">
        <is>
          <t xml:space="preserve">{</t>
        </is>
      </c>
      <c r="WY50" t="inlineStr">
        <is>
          <t xml:space="preserve">[</t>
        </is>
      </c>
      <c r="WZ50" t="inlineStr">
        <is>
          <t xml:space="preserve">{</t>
        </is>
      </c>
      <c r="XA50" t="inlineStr">
        <is>
          <t xml:space="preserve">^</t>
        </is>
      </c>
      <c r="XB50" t="inlineStr">
        <is>
          <t xml:space="preserve">ARABIC_06AB</t>
        </is>
      </c>
      <c r="XC50" t="inlineStr">
        <is>
          <t xml:space="preserve">ARABIC_SEMICOLON</t>
        </is>
      </c>
      <c r="XD50" t="inlineStr">
        <is>
          <t xml:space="preserve">ARABIC_06AB</t>
        </is>
      </c>
      <c r="XE50" t="inlineStr">
        <is>
          <t xml:space="preserve">ARABIC_06AF</t>
        </is>
      </c>
      <c r="XF50" t="inlineStr">
        <is>
          <t xml:space="preserve">'</t>
        </is>
      </c>
      <c r="XG50" t="inlineStr">
        <is>
          <t xml:space="preserve">QUOTE</t>
        </is>
      </c>
      <c r="XH50" t="inlineStr">
        <is>
          <t xml:space="preserve">'</t>
        </is>
      </c>
      <c r="XN50" t="inlineStr">
        <is>
          <t xml:space="preserve">'</t>
        </is>
      </c>
      <c r="XO50" t="inlineStr">
        <is>
          <t xml:space="preserve">QUOTE</t>
        </is>
      </c>
      <c r="XP50" t="inlineStr">
        <is>
          <t xml:space="preserve">'</t>
        </is>
      </c>
    </row>
    <row r="51" s="116" customFormat="true" ht="15" hidden="false" customHeight="false" outlineLevel="0" collapsed="false">
      <c r="A51" s="93" t="s">
        <v>1342</v>
      </c>
      <c r="B51" s="94" t="s">
        <v>18</v>
      </c>
      <c r="C51" s="94" t="s">
        <v>1234</v>
      </c>
      <c r="D51" s="94" t="s">
        <v>18</v>
      </c>
      <c r="E51" s="94"/>
      <c r="F51" s="95" t="s">
        <v>1245</v>
      </c>
      <c r="G51" s="95" t="s">
        <v>72</v>
      </c>
      <c r="H51" s="95" t="s">
        <v>1245</v>
      </c>
      <c r="I51" s="95"/>
      <c r="J51" t="inlineStr">
        <is>
          <t xml:space="preserve">U"\v" SUPER_SCRIPT_2</t>
        </is>
      </c>
      <c r="K51" s="96" t="s">
        <v>6</v>
      </c>
      <c r="L51" t="inlineStr">
        <is>
          <t xml:space="preserve">U"\v" SUPER_SCRIPT_2</t>
        </is>
      </c>
      <c r="M51" s="96"/>
      <c r="N51" s="140" t="s">
        <v>92</v>
      </c>
      <c r="O51" s="140" t="s">
        <v>64</v>
      </c>
      <c r="P51" s="140" t="s">
        <v>92</v>
      </c>
      <c r="Q51" s="140" t="s">
        <v>16</v>
      </c>
      <c r="R51" s="138" t="s">
        <v>16</v>
      </c>
      <c r="S51" s="138" t="s">
        <v>1224</v>
      </c>
      <c r="T51" s="138" t="s">
        <v>16</v>
      </c>
      <c r="U51" s="138"/>
      <c r="V51" s="139" t="s">
        <v>16</v>
      </c>
      <c r="W51" s="139" t="s">
        <v>1224</v>
      </c>
      <c r="X51" s="139" t="s">
        <v>16</v>
      </c>
      <c r="Y51" s="139"/>
      <c r="Z51" s="130" t="s">
        <v>8</v>
      </c>
      <c r="AA51" s="130" t="s">
        <v>112</v>
      </c>
      <c r="AB51" s="130"/>
      <c r="AC51" s="100" t="s">
        <v>1181</v>
      </c>
      <c r="AD51" s="101"/>
      <c r="AE51" s="101"/>
      <c r="AF51" s="101"/>
      <c r="AG51" s="101"/>
      <c r="AH51" t="inlineStr">
        <is>
          <t xml:space="preserve">U"\x100027"</t>
        </is>
      </c>
      <c r="AL51" s="103" t="s">
        <v>1223</v>
      </c>
      <c r="AM51" s="103" t="s">
        <v>1181</v>
      </c>
      <c r="AN51" s="103" t="s">
        <v>1223</v>
      </c>
      <c r="AO51" s="103"/>
      <c r="AP51" s="104" t="s">
        <v>18</v>
      </c>
      <c r="AQ51" s="104" t="s">
        <v>1234</v>
      </c>
      <c r="AR51" s="104" t="s">
        <v>18</v>
      </c>
      <c r="AS51" s="104"/>
      <c r="AT51" s="105" t="s">
        <v>18</v>
      </c>
      <c r="AU51" s="119" t="s">
        <v>684</v>
      </c>
      <c r="AV51" s="105"/>
      <c r="AW51" s="105"/>
      <c r="AX51" t="inlineStr">
        <is>
          <t xml:space="preserve">U"\f\f" CYRILLIC_SM_IO</t>
        </is>
      </c>
      <c r="AY51" t="inlineStr">
        <is>
          <t xml:space="preserve">CYRILLIC_IO</t>
        </is>
      </c>
      <c r="AZ51" s="106"/>
      <c r="BA51" s="106"/>
      <c r="BB51" s="107" t="s">
        <v>404</v>
      </c>
      <c r="BC51" t="inlineStr">
        <is>
          <t xml:space="preserve">CYRILLIC_IO</t>
        </is>
      </c>
      <c r="BD51" s="107"/>
      <c r="BE51" s="107"/>
      <c r="BF51" s="108" t="s">
        <v>1257</v>
      </c>
      <c r="BG51" s="122" t="s">
        <v>1276</v>
      </c>
      <c r="BH51" s="108" t="s">
        <v>1257</v>
      </c>
      <c r="BI51" t="inlineStr">
        <is>
          <t xml:space="preserve">CYRILLIC_SM_IO</t>
        </is>
      </c>
      <c r="BJ51" s="109" t="s">
        <v>1257</v>
      </c>
      <c r="BK51" s="123" t="s">
        <v>1276</v>
      </c>
      <c r="BL51" s="109" t="s">
        <v>1257</v>
      </c>
      <c r="BM51" s="109"/>
      <c r="BN51" s="128" t="s">
        <v>196</v>
      </c>
      <c r="BO51" s="128" t="s">
        <v>192</v>
      </c>
      <c r="BP51" s="128" t="s">
        <v>196</v>
      </c>
      <c r="BR51" s="124" t="s">
        <v>1315</v>
      </c>
      <c r="BS51" s="124" t="s">
        <v>1316</v>
      </c>
      <c r="BT51" s="124" t="s">
        <v>1315</v>
      </c>
      <c r="BU51" t="inlineStr">
        <is>
          <t xml:space="preserve">U"` ~"</t>
        </is>
      </c>
      <c r="BZ51" s="111" t="s">
        <v>1195</v>
      </c>
      <c r="CA51" t="inlineStr">
        <is>
          <t xml:space="preserve">U"\f\f\f\x06" SECTION</t>
        </is>
      </c>
      <c r="CB51" s="111" t="s">
        <v>1195</v>
      </c>
      <c r="CC51" s="111" t="s">
        <v>68</v>
      </c>
      <c r="CD51" s="95" t="s">
        <v>1197</v>
      </c>
      <c r="CE51" s="95" t="s">
        <v>1234</v>
      </c>
      <c r="CF51" s="95"/>
      <c r="CG51" t="inlineStr">
        <is>
          <t xml:space="preserve">U"\f\f\f\f\f\f" HEBREW_HATAF_SEGOL</t>
        </is>
      </c>
      <c r="CH51" t="inlineStr">
        <is>
          <t xml:space="preserve">U"\f\f\f" SECTION</t>
        </is>
      </c>
      <c r="CI51" s="134" t="s">
        <v>98</v>
      </c>
      <c r="CJ51" t="inlineStr">
        <is>
          <t xml:space="preserve">U"\f\f\f" SECTION</t>
        </is>
      </c>
      <c r="CK51" s="112"/>
      <c r="CL51" t="inlineStr">
        <is>
          <t xml:space="preserve">U"\f\f\f" SECTION</t>
        </is>
      </c>
      <c r="CM51" s="135" t="s">
        <v>98</v>
      </c>
      <c r="CN51" t="inlineStr">
        <is>
          <t xml:space="preserve">U"\f\f\f" SECTION</t>
        </is>
      </c>
      <c r="CO51" s="113"/>
      <c r="CP51" s="131" t="s">
        <v>1224</v>
      </c>
      <c r="CQ51" t="inlineStr">
        <is>
          <t xml:space="preserve">U"\f\f\f" SECTION</t>
        </is>
      </c>
      <c r="CR51" s="131" t="s">
        <v>1224</v>
      </c>
      <c r="CS51" s="84"/>
      <c r="CT51" t="inlineStr">
        <is>
          <t xml:space="preserve">U"\f\f" HALF_SIGN</t>
        </is>
      </c>
      <c r="CU51" t="inlineStr">
        <is>
          <t xml:space="preserve">U"\f\f\f" SECTION</t>
        </is>
      </c>
      <c r="CV51" s="124" t="s">
        <v>98</v>
      </c>
      <c r="CW51" s="110"/>
      <c r="CX51" s="114" t="s">
        <v>12</v>
      </c>
      <c r="CY51" s="126" t="s">
        <v>1316</v>
      </c>
      <c r="CZ51" s="114" t="s">
        <v>12</v>
      </c>
      <c r="DA51" s="114"/>
      <c r="DB51" s="115" t="s">
        <v>1197</v>
      </c>
      <c r="DC51" s="127" t="s">
        <v>72</v>
      </c>
      <c r="DD51" s="115" t="s">
        <v>1197</v>
      </c>
      <c r="DE51" s="115"/>
      <c r="DF51" t="inlineStr">
        <is>
          <t xml:space="preserve">CEDILLA</t>
        </is>
      </c>
      <c r="DG51" t="inlineStr">
        <is>
          <t xml:space="preserve">DIAERESIS</t>
        </is>
      </c>
      <c r="DH51" t="inlineStr">
        <is>
          <t xml:space="preserve">CEDILLA</t>
        </is>
      </c>
      <c r="DJ51" t="inlineStr">
        <is>
          <t xml:space="preserve">;</t>
        </is>
      </c>
      <c r="DK51" t="inlineStr">
        <is>
          <t xml:space="preserve">DEGREE</t>
        </is>
      </c>
      <c r="DL51" t="inlineStr">
        <is>
          <t xml:space="preserve">;</t>
        </is>
      </c>
      <c r="EP51" t="inlineStr">
        <is>
          <t xml:space="preserve">DEVA_DC_094A</t>
        </is>
      </c>
      <c r="EQ51" t="inlineStr">
        <is>
          <t xml:space="preserve">DEVANAGARI_0912</t>
        </is>
      </c>
      <c r="ER51" t="inlineStr">
        <is>
          <t xml:space="preserve">DEVA_DC_094A</t>
        </is>
      </c>
      <c r="ET51" t="inlineStr">
        <is>
          <t xml:space="preserve">DEVA_DC_094A</t>
        </is>
      </c>
      <c r="EU51" t="inlineStr">
        <is>
          <t xml:space="preserve">DEVANAGARI_0912</t>
        </is>
      </c>
      <c r="EV51" t="inlineStr">
        <is>
          <t xml:space="preserve">DEVA_DC_094A</t>
        </is>
      </c>
      <c r="EX51" t="inlineStr">
        <is>
          <t xml:space="preserve">DEVA_DC_094A</t>
        </is>
      </c>
      <c r="EY51" t="inlineStr">
        <is>
          <t xml:space="preserve">DEVANAGARI_0912</t>
        </is>
      </c>
      <c r="EZ51" t="inlineStr">
        <is>
          <t xml:space="preserve">DEVA_DC_094A</t>
        </is>
      </c>
      <c r="FB51" t="inlineStr">
        <is>
          <t xml:space="preserve">=</t>
        </is>
      </c>
      <c r="FC51" t="inlineStr">
        <is>
          <t xml:space="preserve">+</t>
        </is>
      </c>
      <c r="FD51" t="inlineStr">
        <is>
          <t xml:space="preserve">=</t>
        </is>
      </c>
      <c r="FF51" t="inlineStr">
        <is>
          <t xml:space="preserve">`</t>
        </is>
      </c>
      <c r="FG51" t="inlineStr">
        <is>
          <t xml:space="preserve">~</t>
        </is>
      </c>
      <c r="FH51" t="inlineStr">
        <is>
          <t xml:space="preserve">`</t>
        </is>
      </c>
      <c r="FJ51" t="inlineStr">
        <is>
          <t xml:space="preserve">GRAVE_ACCENT</t>
        </is>
      </c>
      <c r="FK51" t="inlineStr">
        <is>
          <t xml:space="preserve">NOT_SIGN</t>
        </is>
      </c>
      <c r="FL51" t="inlineStr">
        <is>
          <t xml:space="preserve">GRAVE_ACCENT</t>
        </is>
      </c>
      <c r="FM51" t="inlineStr">
        <is>
          <t xml:space="preserve">|</t>
        </is>
      </c>
      <c r="FN51" t="inlineStr">
        <is>
          <t xml:space="preserve">|</t>
        </is>
      </c>
      <c r="FO51" t="inlineStr">
        <is>
          <t xml:space="preserve">DEGREE</t>
        </is>
      </c>
      <c r="FP51" t="inlineStr">
        <is>
          <t xml:space="preserve">|</t>
        </is>
      </c>
      <c r="FQ51" t="inlineStr">
        <is>
          <t xml:space="preserve">NOT_SIGN</t>
        </is>
      </c>
      <c r="FR51" t="inlineStr">
        <is>
          <t xml:space="preserve">U"\f\f\f" SECTION</t>
        </is>
      </c>
      <c r="FS51" t="inlineStr">
        <is>
          <t xml:space="preserve">DEGREE</t>
        </is>
      </c>
      <c r="FT51" t="inlineStr">
        <is>
          <t xml:space="preserve">U"\f\f\f" SECTION</t>
        </is>
      </c>
      <c r="FV51" t="inlineStr">
        <is>
          <t xml:space="preserve">SUPER_SCRIPT_2</t>
        </is>
      </c>
      <c r="FW51" t="inlineStr">
        <is>
          <t xml:space="preserve">SUPER_SCRIPT_3</t>
        </is>
      </c>
      <c r="FX51" t="inlineStr">
        <is>
          <t xml:space="preserve">SUPER_SCRIPT_2</t>
        </is>
      </c>
      <c r="FY51" t="inlineStr">
        <is>
          <t xml:space="preserve">NOT_SIGN</t>
        </is>
      </c>
      <c r="FZ51" t="inlineStr">
        <is>
          <t xml:space="preserve">#</t>
        </is>
      </c>
      <c r="GA51" t="inlineStr">
        <is>
          <t xml:space="preserve">|</t>
        </is>
      </c>
      <c r="GB51" t="inlineStr">
        <is>
          <t xml:space="preserve">#</t>
        </is>
      </c>
      <c r="GC51" t="inlineStr">
        <is>
          <t xml:space="preserve">BACKSLASH</t>
        </is>
      </c>
      <c r="GD51" t="inlineStr">
        <is>
          <t xml:space="preserve">_</t>
        </is>
      </c>
      <c r="GE51" t="inlineStr">
        <is>
          <t xml:space="preserve">%</t>
        </is>
      </c>
      <c r="GF51" t="inlineStr">
        <is>
          <t xml:space="preserve">_</t>
        </is>
      </c>
      <c r="GL51" t="inlineStr">
        <is>
          <t xml:space="preserve">TELU_DC_0C4A</t>
        </is>
      </c>
      <c r="GM51" t="inlineStr">
        <is>
          <t xml:space="preserve">TELUGU_0C12</t>
        </is>
      </c>
      <c r="GN51" t="inlineStr">
        <is>
          <t xml:space="preserve">TELU_DC_0C4A</t>
        </is>
      </c>
      <c r="GP51" t="inlineStr">
        <is>
          <t xml:space="preserve">TAML_DC_0BCA</t>
        </is>
      </c>
      <c r="GQ51" t="inlineStr">
        <is>
          <t xml:space="preserve"/>
        </is>
      </c>
      <c r="GR51" t="inlineStr">
        <is>
          <t xml:space="preserve">TAML_DC_0BCA</t>
        </is>
      </c>
      <c r="HB51" t="inlineStr">
        <is>
          <t xml:space="preserve">ARMENIAN_055D</t>
        </is>
      </c>
      <c r="HC51" t="inlineStr">
        <is>
          <t xml:space="preserve">ARMENIAN_055C</t>
        </is>
      </c>
      <c r="HD51" t="inlineStr">
        <is>
          <t xml:space="preserve">ARMENIAN_055D</t>
        </is>
      </c>
      <c r="HN51" t="inlineStr">
        <is>
          <t xml:space="preserve">MOD_RING</t>
        </is>
      </c>
      <c r="HO51" t="inlineStr">
        <is>
          <t xml:space="preserve">DIAERESIS</t>
        </is>
      </c>
      <c r="HP51" t="inlineStr">
        <is>
          <t xml:space="preserve">MOD_RING</t>
        </is>
      </c>
      <c r="HV51" t="inlineStr">
        <is>
          <t xml:space="preserve">GRAVE_ACCENT</t>
        </is>
      </c>
      <c r="HW51" t="inlineStr">
        <is>
          <t xml:space="preserve">~</t>
        </is>
      </c>
      <c r="HX51" t="inlineStr">
        <is>
          <t xml:space="preserve">GRAVE_ACCENT</t>
        </is>
      </c>
      <c r="JJ51" t="inlineStr">
        <is>
          <t xml:space="preserve">&gt;</t>
        </is>
      </c>
      <c r="JK51" t="inlineStr">
        <is>
          <t xml:space="preserve">&lt;</t>
        </is>
      </c>
      <c r="JL51" t="inlineStr">
        <is>
          <t xml:space="preserve">&gt;</t>
        </is>
      </c>
      <c r="KD51" t="inlineStr">
        <is>
          <t xml:space="preserve">&gt;</t>
        </is>
      </c>
      <c r="KE51" t="inlineStr">
        <is>
          <t xml:space="preserve">&lt;</t>
        </is>
      </c>
      <c r="KF51" t="inlineStr">
        <is>
          <t xml:space="preserve">&gt;</t>
        </is>
      </c>
      <c r="KH51" t="inlineStr">
        <is>
          <t xml:space="preserve">&gt;</t>
        </is>
      </c>
      <c r="KI51" t="inlineStr">
        <is>
          <t xml:space="preserve">&lt;</t>
        </is>
      </c>
      <c r="KJ51" t="inlineStr">
        <is>
          <t xml:space="preserve">&gt;</t>
        </is>
      </c>
      <c r="KL51" t="inlineStr">
        <is>
          <t xml:space="preserve">GRAVE_ACCENT</t>
        </is>
      </c>
      <c r="KM51" t="inlineStr">
        <is>
          <t xml:space="preserve">DEVISION_SIGN</t>
        </is>
      </c>
      <c r="KN51" t="inlineStr">
        <is>
          <t xml:space="preserve">GRAVE_ACCENT</t>
        </is>
      </c>
      <c r="KO51" t="inlineStr">
        <is>
          <t xml:space="preserve">~</t>
        </is>
      </c>
      <c r="LA51" t="inlineStr">
        <is>
          <t xml:space="preserve">|</t>
        </is>
      </c>
      <c r="LB51" t="inlineStr">
        <is>
          <t xml:space="preserve">|</t>
        </is>
      </c>
      <c r="LC51" t="inlineStr">
        <is>
          <t xml:space="preserve">DEGREE</t>
        </is>
      </c>
      <c r="LD51" t="inlineStr">
        <is>
          <t xml:space="preserve">|</t>
        </is>
      </c>
      <c r="LE51" t="inlineStr">
        <is>
          <t xml:space="preserve">NOT_SIGN</t>
        </is>
      </c>
      <c r="LJ51" t="inlineStr">
        <is>
          <t xml:space="preserve">U"\v" SUPER_SCRIPT_2</t>
        </is>
      </c>
      <c r="LK51" t="inlineStr">
        <is>
          <t xml:space="preserve">SPACE</t>
        </is>
      </c>
      <c r="LL51" t="inlineStr">
        <is>
          <t xml:space="preserve">U"\v" SUPER_SCRIPT_2</t>
        </is>
      </c>
      <c r="LN51" t="inlineStr">
        <is>
          <t xml:space="preserve">|</t>
        </is>
      </c>
      <c r="LO51" t="inlineStr">
        <is>
          <t xml:space="preserve">DEGREE</t>
        </is>
      </c>
      <c r="LP51" t="inlineStr">
        <is>
          <t xml:space="preserve">|</t>
        </is>
      </c>
      <c r="LQ51" t="inlineStr">
        <is>
          <t xml:space="preserve">NOT_SIGN</t>
        </is>
      </c>
      <c r="LR51" t="inlineStr">
        <is>
          <t xml:space="preserve">|</t>
        </is>
      </c>
      <c r="LS51" t="inlineStr">
        <is>
          <t xml:space="preserve">DEGREE</t>
        </is>
      </c>
      <c r="LT51" t="inlineStr">
        <is>
          <t xml:space="preserve">|</t>
        </is>
      </c>
      <c r="LU51" t="inlineStr">
        <is>
          <t xml:space="preserve">NOT_SIGN</t>
        </is>
      </c>
      <c r="LV51" t="inlineStr">
        <is>
          <t xml:space="preserve">|</t>
        </is>
      </c>
      <c r="LW51" t="inlineStr">
        <is>
          <t xml:space="preserve">DEGREE</t>
        </is>
      </c>
      <c r="LX51" t="inlineStr">
        <is>
          <t xml:space="preserve">|</t>
        </is>
      </c>
      <c r="LY51" t="inlineStr">
        <is>
          <t xml:space="preserve">NOT_SIGN</t>
        </is>
      </c>
      <c r="LZ51" t="inlineStr">
        <is>
          <t xml:space="preserve">|</t>
        </is>
      </c>
      <c r="MA51" t="inlineStr">
        <is>
          <t xml:space="preserve">DEGREE</t>
        </is>
      </c>
      <c r="MB51" t="inlineStr">
        <is>
          <t xml:space="preserve">|</t>
        </is>
      </c>
      <c r="MC51" t="inlineStr">
        <is>
          <t xml:space="preserve">NOT_SIGN</t>
        </is>
      </c>
      <c r="MD51" t="inlineStr">
        <is>
          <t xml:space="preserve">|</t>
        </is>
      </c>
      <c r="ME51" t="inlineStr">
        <is>
          <t xml:space="preserve">DEGREE</t>
        </is>
      </c>
      <c r="MF51" t="inlineStr">
        <is>
          <t xml:space="preserve">|</t>
        </is>
      </c>
      <c r="MG51" t="inlineStr">
        <is>
          <t xml:space="preserve">NOT_SIGN</t>
        </is>
      </c>
      <c r="MH51" t="inlineStr">
        <is>
          <t xml:space="preserve">|</t>
        </is>
      </c>
      <c r="MI51" t="inlineStr">
        <is>
          <t xml:space="preserve">DEGREE</t>
        </is>
      </c>
      <c r="MJ51" t="inlineStr">
        <is>
          <t xml:space="preserve">|</t>
        </is>
      </c>
      <c r="MK51" t="inlineStr">
        <is>
          <t xml:space="preserve">NOT_SIGN</t>
        </is>
      </c>
      <c r="ML51" t="inlineStr">
        <is>
          <t xml:space="preserve">|</t>
        </is>
      </c>
      <c r="MM51" t="inlineStr">
        <is>
          <t xml:space="preserve">DEGREE</t>
        </is>
      </c>
      <c r="MN51" t="inlineStr">
        <is>
          <t xml:space="preserve">|</t>
        </is>
      </c>
      <c r="MO51" t="inlineStr">
        <is>
          <t xml:space="preserve">NOT_SIGN</t>
        </is>
      </c>
      <c r="MP51" t="inlineStr">
        <is>
          <t xml:space="preserve">|</t>
        </is>
      </c>
      <c r="MQ51" t="inlineStr">
        <is>
          <t xml:space="preserve">DEGREE</t>
        </is>
      </c>
      <c r="MR51" t="inlineStr">
        <is>
          <t xml:space="preserve">|</t>
        </is>
      </c>
      <c r="MS51" t="inlineStr">
        <is>
          <t xml:space="preserve">NOT_SIGN</t>
        </is>
      </c>
      <c r="MT51" t="inlineStr">
        <is>
          <t xml:space="preserve">|</t>
        </is>
      </c>
      <c r="MU51" t="inlineStr">
        <is>
          <t xml:space="preserve">DEGREE</t>
        </is>
      </c>
      <c r="MV51" t="inlineStr">
        <is>
          <t xml:space="preserve">|</t>
        </is>
      </c>
      <c r="MW51" t="inlineStr">
        <is>
          <t xml:space="preserve">NOT_SIGN</t>
        </is>
      </c>
      <c r="MX51" t="inlineStr">
        <is>
          <t xml:space="preserve">|</t>
        </is>
      </c>
      <c r="MY51" t="inlineStr">
        <is>
          <t xml:space="preserve">DEGREE</t>
        </is>
      </c>
      <c r="MZ51" t="inlineStr">
        <is>
          <t xml:space="preserve">|</t>
        </is>
      </c>
      <c r="NA51" t="inlineStr">
        <is>
          <t xml:space="preserve">NOT_SIGN</t>
        </is>
      </c>
      <c r="NB51" t="inlineStr">
        <is>
          <t xml:space="preserve">|</t>
        </is>
      </c>
      <c r="NC51" t="inlineStr">
        <is>
          <t xml:space="preserve">DEGREE</t>
        </is>
      </c>
      <c r="ND51" t="inlineStr">
        <is>
          <t xml:space="preserve">|</t>
        </is>
      </c>
      <c r="NE51" t="inlineStr">
        <is>
          <t xml:space="preserve">NOT_SIGN</t>
        </is>
      </c>
      <c r="NF51" t="inlineStr">
        <is>
          <t xml:space="preserve">|</t>
        </is>
      </c>
      <c r="NG51" t="inlineStr">
        <is>
          <t xml:space="preserve">DEGREE</t>
        </is>
      </c>
      <c r="NH51" t="inlineStr">
        <is>
          <t xml:space="preserve">|</t>
        </is>
      </c>
      <c r="NI51" t="inlineStr">
        <is>
          <t xml:space="preserve">NOT_SIGN</t>
        </is>
      </c>
      <c r="NJ51" t="inlineStr">
        <is>
          <t xml:space="preserve">|</t>
        </is>
      </c>
      <c r="NK51" t="inlineStr">
        <is>
          <t xml:space="preserve">DEGREE</t>
        </is>
      </c>
      <c r="NL51" t="inlineStr">
        <is>
          <t xml:space="preserve">|</t>
        </is>
      </c>
      <c r="NM51" t="inlineStr">
        <is>
          <t xml:space="preserve">NOT_SIGN</t>
        </is>
      </c>
      <c r="NN51" t="inlineStr">
        <is>
          <t xml:space="preserve">|</t>
        </is>
      </c>
      <c r="NO51" t="inlineStr">
        <is>
          <t xml:space="preserve">DEGREE</t>
        </is>
      </c>
      <c r="NP51" t="inlineStr">
        <is>
          <t xml:space="preserve">|</t>
        </is>
      </c>
      <c r="NQ51" t="inlineStr">
        <is>
          <t xml:space="preserve">NOT_SIGN</t>
        </is>
      </c>
      <c r="NR51" t="inlineStr">
        <is>
          <t xml:space="preserve">|</t>
        </is>
      </c>
      <c r="NS51" t="inlineStr">
        <is>
          <t xml:space="preserve">DEGREE</t>
        </is>
      </c>
      <c r="NT51" t="inlineStr">
        <is>
          <t xml:space="preserve">|</t>
        </is>
      </c>
      <c r="NU51" t="inlineStr">
        <is>
          <t xml:space="preserve">NOT_SIGN</t>
        </is>
      </c>
      <c r="NV51" t="inlineStr">
        <is>
          <t xml:space="preserve">^</t>
        </is>
      </c>
      <c r="NW51" t="inlineStr">
        <is>
          <t xml:space="preserve">DEGREE</t>
        </is>
      </c>
      <c r="NX51" t="inlineStr">
        <is>
          <t xml:space="preserve">^</t>
        </is>
      </c>
      <c r="NZ51" t="inlineStr">
        <is>
          <t xml:space="preserve">SUPER_SCRIPT_2</t>
        </is>
      </c>
      <c r="OA51" t="inlineStr">
        <is>
          <t xml:space="preserve">SUPER_SCRIPT_3</t>
        </is>
      </c>
      <c r="OB51" t="inlineStr">
        <is>
          <t xml:space="preserve">SUPER_SCRIPT_2</t>
        </is>
      </c>
      <c r="OC51" t="inlineStr">
        <is>
          <t xml:space="preserve">NOT_SIGN</t>
        </is>
      </c>
      <c r="OD51" t="inlineStr">
        <is>
          <t xml:space="preserve">MASC_ORDINAL_IND</t>
        </is>
      </c>
      <c r="OE51" t="inlineStr">
        <is>
          <t xml:space="preserve">FEM_ORDINAL_IND</t>
        </is>
      </c>
      <c r="OF51" t="inlineStr">
        <is>
          <t xml:space="preserve">MASC_ORDINAL_IND</t>
        </is>
      </c>
      <c r="OG51" t="inlineStr">
        <is>
          <t xml:space="preserve">BACKSLASH</t>
        </is>
      </c>
      <c r="OH51" t="inlineStr">
        <is>
          <t xml:space="preserve">GRAVE_ACCENT</t>
        </is>
      </c>
      <c r="OI51" t="inlineStr">
        <is>
          <t xml:space="preserve">NOT_SIGN</t>
        </is>
      </c>
      <c r="OJ51" t="inlineStr">
        <is>
          <t xml:space="preserve">GRAVE_ACCENT</t>
        </is>
      </c>
      <c r="OK51" t="inlineStr">
        <is>
          <t xml:space="preserve">|</t>
        </is>
      </c>
      <c r="OL51" t="inlineStr">
        <is>
          <t xml:space="preserve">CEDILLA</t>
        </is>
      </c>
      <c r="OM51" t="inlineStr">
        <is>
          <t xml:space="preserve">DIAERESIS</t>
        </is>
      </c>
      <c r="ON51" t="inlineStr">
        <is>
          <t xml:space="preserve">CEDILLA</t>
        </is>
      </c>
      <c r="OP51" t="inlineStr">
        <is>
          <t xml:space="preserve">U"\f\f\f" SECTION</t>
        </is>
      </c>
      <c r="OQ51" t="inlineStr">
        <is>
          <t xml:space="preserve">DEGREE</t>
        </is>
      </c>
      <c r="OR51" t="inlineStr">
        <is>
          <t xml:space="preserve">U"\f\f\f" SECTION</t>
        </is>
      </c>
      <c r="OT51" t="inlineStr">
        <is>
          <t xml:space="preserve">CEDILLA</t>
        </is>
      </c>
      <c r="OU51" t="inlineStr">
        <is>
          <t xml:space="preserve">DIAERESIS</t>
        </is>
      </c>
      <c r="OV51" t="inlineStr">
        <is>
          <t xml:space="preserve">CEDILLA</t>
        </is>
      </c>
      <c r="OX51" t="inlineStr">
        <is>
          <t xml:space="preserve">HALF_SIGN</t>
        </is>
      </c>
      <c r="OY51" t="inlineStr">
        <is>
          <t xml:space="preserve">U"\f\f\f" SECTION</t>
        </is>
      </c>
      <c r="OZ51" t="inlineStr">
        <is>
          <t xml:space="preserve">HALF_SIGN</t>
        </is>
      </c>
      <c r="PB51" t="inlineStr">
        <is>
          <t xml:space="preserve">&gt;</t>
        </is>
      </c>
      <c r="PC51" t="inlineStr">
        <is>
          <t xml:space="preserve">&lt;</t>
        </is>
      </c>
      <c r="PD51" t="inlineStr">
        <is>
          <t xml:space="preserve">&gt;</t>
        </is>
      </c>
      <c r="PF51" t="inlineStr">
        <is>
          <t xml:space="preserve">&gt;</t>
        </is>
      </c>
      <c r="PG51" t="inlineStr">
        <is>
          <t xml:space="preserve">&lt;</t>
        </is>
      </c>
      <c r="PH51" t="inlineStr">
        <is>
          <t xml:space="preserve">&gt;</t>
        </is>
      </c>
      <c r="PJ51" t="inlineStr">
        <is>
          <t xml:space="preserve">&gt;</t>
        </is>
      </c>
      <c r="PK51" t="inlineStr">
        <is>
          <t xml:space="preserve">&lt;</t>
        </is>
      </c>
      <c r="PL51" t="inlineStr">
        <is>
          <t xml:space="preserve">&gt;</t>
        </is>
      </c>
      <c r="PN51" t="inlineStr">
        <is>
          <t xml:space="preserve">&gt;</t>
        </is>
      </c>
      <c r="PO51" t="inlineStr">
        <is>
          <t xml:space="preserve">&lt;</t>
        </is>
      </c>
      <c r="PP51" t="inlineStr">
        <is>
          <t xml:space="preserve">&gt;</t>
        </is>
      </c>
      <c r="PR51" t="inlineStr">
        <is>
          <t xml:space="preserve">&gt;</t>
        </is>
      </c>
      <c r="PS51" t="inlineStr">
        <is>
          <t xml:space="preserve">&lt;</t>
        </is>
      </c>
      <c r="PT51" t="inlineStr">
        <is>
          <t xml:space="preserve">&gt;</t>
        </is>
      </c>
      <c r="PV51" t="inlineStr">
        <is>
          <t xml:space="preserve">&gt;</t>
        </is>
      </c>
      <c r="PW51" t="inlineStr">
        <is>
          <t xml:space="preserve">&lt;</t>
        </is>
      </c>
      <c r="PX51" t="inlineStr">
        <is>
          <t xml:space="preserve">&gt;</t>
        </is>
      </c>
      <c r="PZ51" t="inlineStr">
        <is>
          <t xml:space="preserve">&gt;</t>
        </is>
      </c>
      <c r="QA51" t="inlineStr">
        <is>
          <t xml:space="preserve">&lt;</t>
        </is>
      </c>
      <c r="QB51" t="inlineStr">
        <is>
          <t xml:space="preserve">&gt;</t>
        </is>
      </c>
      <c r="QD51" t="inlineStr">
        <is>
          <t xml:space="preserve">&gt;</t>
        </is>
      </c>
      <c r="QE51" t="inlineStr">
        <is>
          <t xml:space="preserve">&lt;</t>
        </is>
      </c>
      <c r="QF51" t="inlineStr">
        <is>
          <t xml:space="preserve">&gt;</t>
        </is>
      </c>
      <c r="QH51" t="inlineStr">
        <is>
          <t xml:space="preserve">&gt;</t>
        </is>
      </c>
      <c r="QI51" t="inlineStr">
        <is>
          <t xml:space="preserve">&lt;</t>
        </is>
      </c>
      <c r="QJ51" t="inlineStr">
        <is>
          <t xml:space="preserve">&gt;</t>
        </is>
      </c>
      <c r="QL51" t="inlineStr">
        <is>
          <t xml:space="preserve">&gt;</t>
        </is>
      </c>
      <c r="QM51" t="inlineStr">
        <is>
          <t xml:space="preserve">&lt;</t>
        </is>
      </c>
      <c r="QN51" t="inlineStr">
        <is>
          <t xml:space="preserve">&gt;</t>
        </is>
      </c>
      <c r="QP51" t="inlineStr">
        <is>
          <t xml:space="preserve">&gt;</t>
        </is>
      </c>
      <c r="QQ51" t="inlineStr">
        <is>
          <t xml:space="preserve">&lt;</t>
        </is>
      </c>
      <c r="QR51" t="inlineStr">
        <is>
          <t xml:space="preserve">&gt;</t>
        </is>
      </c>
      <c r="QT51" t="inlineStr">
        <is>
          <t xml:space="preserve">&gt;</t>
        </is>
      </c>
      <c r="QU51" t="inlineStr">
        <is>
          <t xml:space="preserve">&lt;</t>
        </is>
      </c>
      <c r="QV51" t="inlineStr">
        <is>
          <t xml:space="preserve">&gt;</t>
        </is>
      </c>
      <c r="QX51" t="inlineStr">
        <is>
          <t xml:space="preserve">&gt;</t>
        </is>
      </c>
      <c r="QY51" t="inlineStr">
        <is>
          <t xml:space="preserve">&lt;</t>
        </is>
      </c>
      <c r="QZ51" t="inlineStr">
        <is>
          <t xml:space="preserve">&gt;</t>
        </is>
      </c>
      <c r="RB51" t="inlineStr">
        <is>
          <t xml:space="preserve">&gt;</t>
        </is>
      </c>
      <c r="RC51" t="inlineStr">
        <is>
          <t xml:space="preserve">&lt;</t>
        </is>
      </c>
      <c r="RD51" t="inlineStr">
        <is>
          <t xml:space="preserve">&gt;</t>
        </is>
      </c>
      <c r="RF51" t="inlineStr">
        <is>
          <t xml:space="preserve">U"\v" SUPER_SCRIPT_2</t>
        </is>
      </c>
      <c r="RG51" t="inlineStr">
        <is>
          <t xml:space="preserve">SPACE</t>
        </is>
      </c>
      <c r="RH51" t="inlineStr">
        <is>
          <t xml:space="preserve">U"\v" SUPER_SCRIPT_2</t>
        </is>
      </c>
      <c r="RJ51" t="inlineStr">
        <is>
          <t xml:space="preserve">U"\v" SUPER_SCRIPT_2</t>
        </is>
      </c>
      <c r="RK51" t="inlineStr">
        <is>
          <t xml:space="preserve">SPACE</t>
        </is>
      </c>
      <c r="RL51" t="inlineStr">
        <is>
          <t xml:space="preserve">U"\v" SUPER_SCRIPT_2</t>
        </is>
      </c>
      <c r="RN51" t="inlineStr">
        <is>
          <t xml:space="preserve">U"\v" SUPER_SCRIPT_2</t>
        </is>
      </c>
      <c r="RO51" t="inlineStr">
        <is>
          <t xml:space="preserve">SPACE</t>
        </is>
      </c>
      <c r="RP51" t="inlineStr">
        <is>
          <t xml:space="preserve">U"\v" SUPER_SCRIPT_2</t>
        </is>
      </c>
      <c r="RR51" t="inlineStr">
        <is>
          <t xml:space="preserve">U"\v" SUPER_SCRIPT_2</t>
        </is>
      </c>
      <c r="RS51" t="inlineStr">
        <is>
          <t xml:space="preserve">SPACE</t>
        </is>
      </c>
      <c r="RT51" t="inlineStr">
        <is>
          <t xml:space="preserve">U"\v" SUPER_SCRIPT_2</t>
        </is>
      </c>
      <c r="RV51" t="inlineStr">
        <is>
          <t xml:space="preserve">U"\v" SUPER_SCRIPT_2</t>
        </is>
      </c>
      <c r="RW51" t="inlineStr">
        <is>
          <t xml:space="preserve">SPACE</t>
        </is>
      </c>
      <c r="RX51" t="inlineStr">
        <is>
          <t xml:space="preserve">U"\v" SUPER_SCRIPT_2</t>
        </is>
      </c>
      <c r="SP51" t="inlineStr">
        <is>
          <t xml:space="preserve">BACKSLASH</t>
        </is>
      </c>
      <c r="SQ51" t="inlineStr">
        <is>
          <t xml:space="preserve">|</t>
        </is>
      </c>
      <c r="SR51" t="inlineStr">
        <is>
          <t xml:space="preserve">BACKSLASH</t>
        </is>
      </c>
      <c r="ST51" t="inlineStr">
        <is>
          <t xml:space="preserve">BACKSLASH</t>
        </is>
      </c>
      <c r="SU51" t="inlineStr">
        <is>
          <t xml:space="preserve">|</t>
        </is>
      </c>
      <c r="SV51" t="inlineStr">
        <is>
          <t xml:space="preserve">BACKSLASH</t>
        </is>
      </c>
      <c r="TV51" t="inlineStr">
        <is>
          <t xml:space="preserve">CYRILLIC_SM_IO</t>
        </is>
      </c>
      <c r="TW51" t="inlineStr">
        <is>
          <t xml:space="preserve">CYRILLIC_IO</t>
        </is>
      </c>
      <c r="TZ51" t="inlineStr">
        <is>
          <t xml:space="preserve">CYRILLIC_SM_IO</t>
        </is>
      </c>
      <c r="UA51" t="inlineStr">
        <is>
          <t xml:space="preserve">CYRILLIC_IO</t>
        </is>
      </c>
      <c r="UT51" t="inlineStr">
        <is>
          <t xml:space="preserve">U"\v" SUPER_SCRIPT_2</t>
        </is>
      </c>
      <c r="UU51" t="inlineStr">
        <is>
          <t xml:space="preserve">SPACE</t>
        </is>
      </c>
      <c r="UV51" t="inlineStr">
        <is>
          <t xml:space="preserve">U"\v" SUPER_SCRIPT_2</t>
        </is>
      </c>
      <c r="VB51" t="inlineStr">
        <is>
          <t xml:space="preserve">MASC_ORDINAL_IND</t>
        </is>
      </c>
      <c r="VC51" t="inlineStr">
        <is>
          <t xml:space="preserve">FEM_ORDINAL_IND</t>
        </is>
      </c>
      <c r="VD51" t="inlineStr">
        <is>
          <t xml:space="preserve">MASC_ORDINAL_IND</t>
        </is>
      </c>
      <c r="VE51" t="inlineStr">
        <is>
          <t xml:space="preserve">BACKSLASH</t>
        </is>
      </c>
      <c r="VF51" t="inlineStr">
        <is>
          <t xml:space="preserve">MASC_ORDINAL_IND</t>
        </is>
      </c>
      <c r="VG51" t="inlineStr">
        <is>
          <t xml:space="preserve">FEM_ORDINAL_IND</t>
        </is>
      </c>
      <c r="VH51" t="inlineStr">
        <is>
          <t xml:space="preserve">MASC_ORDINAL_IND</t>
        </is>
      </c>
      <c r="VI51" t="inlineStr">
        <is>
          <t xml:space="preserve">BACKSLASH</t>
        </is>
      </c>
      <c r="VJ51" t="inlineStr">
        <is>
          <t xml:space="preserve">U"\f\f\f" SECTION</t>
        </is>
      </c>
      <c r="VK51" t="inlineStr">
        <is>
          <t xml:space="preserve">DEGREE</t>
        </is>
      </c>
      <c r="VL51" t="inlineStr">
        <is>
          <t xml:space="preserve">U"\f\f\f" SECTION</t>
        </is>
      </c>
      <c r="VN51" t="inlineStr">
        <is>
          <t xml:space="preserve">GRAVE_ACCENT</t>
        </is>
      </c>
      <c r="VO51" t="inlineStr">
        <is>
          <t xml:space="preserve">NOT_SIGN</t>
        </is>
      </c>
      <c r="VP51" t="inlineStr">
        <is>
          <t xml:space="preserve">GRAVE_ACCENT</t>
        </is>
      </c>
      <c r="VQ51" t="inlineStr">
        <is>
          <t xml:space="preserve">|</t>
        </is>
      </c>
      <c r="VR51" t="inlineStr">
        <is>
          <t xml:space="preserve">GRAVE_ACCENT</t>
        </is>
      </c>
      <c r="VS51" t="inlineStr">
        <is>
          <t xml:space="preserve">NOT_SIGN</t>
        </is>
      </c>
      <c r="VT51" t="inlineStr">
        <is>
          <t xml:space="preserve">GRAVE_ACCENT</t>
        </is>
      </c>
      <c r="VU51" t="inlineStr">
        <is>
          <t xml:space="preserve">|</t>
        </is>
      </c>
      <c r="VV51" t="inlineStr">
        <is>
          <t xml:space="preserve">U"\f\f" LATIN_010B</t>
        </is>
      </c>
      <c r="VW51" t="inlineStr">
        <is>
          <t xml:space="preserve">LATIN_010A</t>
        </is>
      </c>
      <c r="VY51" t="inlineStr">
        <is>
          <t xml:space="preserve">GRAVE_ACCENT</t>
        </is>
      </c>
      <c r="VZ51" t="inlineStr">
        <is>
          <t xml:space="preserve">U"\f\f\f" SECTION</t>
        </is>
      </c>
      <c r="WA51" t="inlineStr">
        <is>
          <t xml:space="preserve">DEGREE</t>
        </is>
      </c>
      <c r="WB51" t="inlineStr">
        <is>
          <t xml:space="preserve">U"\f\f\f" SECTION</t>
        </is>
      </c>
      <c r="WH51" t="inlineStr">
        <is>
          <t xml:space="preserve">|</t>
        </is>
      </c>
      <c r="WI51" t="inlineStr">
        <is>
          <t xml:space="preserve">DEGREE</t>
        </is>
      </c>
      <c r="WJ51" t="inlineStr">
        <is>
          <t xml:space="preserve">|</t>
        </is>
      </c>
      <c r="WK51" t="inlineStr">
        <is>
          <t xml:space="preserve">NOT_SIGN</t>
        </is>
      </c>
      <c r="WL51" t="inlineStr">
        <is>
          <t xml:space="preserve">|</t>
        </is>
      </c>
      <c r="WM51" t="inlineStr">
        <is>
          <t xml:space="preserve">DEGREE</t>
        </is>
      </c>
      <c r="WN51" t="inlineStr">
        <is>
          <t xml:space="preserve">|</t>
        </is>
      </c>
      <c r="WO51" t="inlineStr">
        <is>
          <t xml:space="preserve">NOT_SIGN</t>
        </is>
      </c>
      <c r="WP51" t="inlineStr">
        <is>
          <t xml:space="preserve">|</t>
        </is>
      </c>
      <c r="WQ51" t="inlineStr">
        <is>
          <t xml:space="preserve">DEGREE</t>
        </is>
      </c>
      <c r="WR51" t="inlineStr">
        <is>
          <t xml:space="preserve">|</t>
        </is>
      </c>
      <c r="WS51" t="inlineStr">
        <is>
          <t xml:space="preserve">NOT_SIGN</t>
        </is>
      </c>
      <c r="WX51" t="inlineStr">
        <is>
          <t xml:space="preserve">|</t>
        </is>
      </c>
      <c r="WY51" t="inlineStr">
        <is>
          <t xml:space="preserve">DEGREE</t>
        </is>
      </c>
      <c r="WZ51" t="inlineStr">
        <is>
          <t xml:space="preserve">|</t>
        </is>
      </c>
      <c r="XA51" t="inlineStr">
        <is>
          <t xml:space="preserve">NOT_SIGN</t>
        </is>
      </c>
      <c r="XF51" t="inlineStr">
        <is>
          <t xml:space="preserve">UCAS_157B</t>
        </is>
      </c>
      <c r="XG51" t="inlineStr">
        <is>
          <t xml:space="preserve">UCAS_1575</t>
        </is>
      </c>
      <c r="XH51" t="inlineStr">
        <is>
          <t xml:space="preserve">UCAS_157B</t>
        </is>
      </c>
      <c r="XN51" t="inlineStr">
        <is>
          <t xml:space="preserve">`</t>
        </is>
      </c>
      <c r="XO51" t="inlineStr">
        <is>
          <t xml:space="preserve">CHEROKEE_13CA</t>
        </is>
      </c>
      <c r="XP51" t="inlineStr">
        <is>
          <t xml:space="preserve">`</t>
        </is>
      </c>
      <c r="XQ51" t="inlineStr">
        <is>
          <t xml:space="preserve">CHEROKEE_13C0</t>
        </is>
      </c>
    </row>
    <row r="52" s="116" customFormat="true" ht="15" hidden="false" customHeight="false" outlineLevel="0" collapsed="false">
      <c r="A52" s="93" t="s">
        <v>1346</v>
      </c>
      <c r="B52" s="94" t="s">
        <v>10</v>
      </c>
      <c r="C52" s="94" t="s">
        <v>1181</v>
      </c>
      <c r="D52" s="94" t="s">
        <v>10</v>
      </c>
      <c r="E52" s="94"/>
      <c r="F52" s="95" t="s">
        <v>10</v>
      </c>
      <c r="G52" s="95" t="s">
        <v>1197</v>
      </c>
      <c r="H52" s="95"/>
      <c r="I52" s="95"/>
      <c r="J52" s="96" t="s">
        <v>1197</v>
      </c>
      <c r="K52" s="96" t="s">
        <v>1267</v>
      </c>
      <c r="L52" s="96"/>
      <c r="M52" s="96"/>
      <c r="N52" s="97" t="s">
        <v>10</v>
      </c>
      <c r="O52" s="97" t="s">
        <v>1197</v>
      </c>
      <c r="P52" s="97" t="s">
        <v>10</v>
      </c>
      <c r="Q52" s="97"/>
      <c r="R52" s="98" t="s">
        <v>10</v>
      </c>
      <c r="S52" s="98" t="s">
        <v>1197</v>
      </c>
      <c r="T52" s="98" t="s">
        <v>10</v>
      </c>
      <c r="U52" s="98"/>
      <c r="V52" s="99" t="s">
        <v>10</v>
      </c>
      <c r="W52" s="99" t="s">
        <v>1197</v>
      </c>
      <c r="X52" s="99" t="s">
        <v>10</v>
      </c>
      <c r="Y52" s="139" t="s">
        <v>66</v>
      </c>
      <c r="Z52" s="100" t="s">
        <v>161</v>
      </c>
      <c r="AA52" s="100" t="s">
        <v>125</v>
      </c>
      <c r="AB52" s="100"/>
      <c r="AC52" s="100"/>
      <c r="AD52" s="101"/>
      <c r="AE52" s="101"/>
      <c r="AF52" s="101"/>
      <c r="AG52" s="101"/>
      <c r="AH52" t="inlineStr">
        <is>
          <t xml:space="preserve">COMMA</t>
        </is>
      </c>
      <c r="AI52" t="inlineStr">
        <is>
          <t xml:space="preserve">&lt;</t>
        </is>
      </c>
      <c r="AJ52" t="inlineStr">
        <is>
          <t xml:space="preserve">COMMA</t>
        </is>
      </c>
      <c r="AK52" t="inlineStr">
        <is>
          <t xml:space="preserve">HIRAGANA_NE</t>
        </is>
      </c>
      <c r="AL52" s="103" t="s">
        <v>604</v>
      </c>
      <c r="AM52" s="103" t="s">
        <v>10</v>
      </c>
      <c r="AN52" s="103" t="s">
        <v>604</v>
      </c>
      <c r="AO52" s="103"/>
      <c r="AP52" s="104" t="s">
        <v>10</v>
      </c>
      <c r="AQ52" s="104" t="s">
        <v>1181</v>
      </c>
      <c r="AR52" s="104" t="s">
        <v>10</v>
      </c>
      <c r="AS52" s="104"/>
      <c r="AT52" t="inlineStr">
        <is>
          <t xml:space="preserve">U"\f" CYRILLIC_SM_BE</t>
        </is>
      </c>
      <c r="AU52" t="inlineStr">
        <is>
          <t xml:space="preserve">CYRILLIC_BE</t>
        </is>
      </c>
      <c r="AV52" s="105"/>
      <c r="AW52" s="105"/>
      <c r="AX52" s="106" t="s">
        <v>361</v>
      </c>
      <c r="AY52" t="inlineStr">
        <is>
          <t xml:space="preserve">CYRILLIC_BE</t>
        </is>
      </c>
      <c r="AZ52" s="106"/>
      <c r="BA52" s="106"/>
      <c r="BB52" s="107" t="s">
        <v>361</v>
      </c>
      <c r="BC52" t="inlineStr">
        <is>
          <t xml:space="preserve">CYRILLIC_BE</t>
        </is>
      </c>
      <c r="BD52" s="107"/>
      <c r="BE52" s="107"/>
      <c r="BF52" t="inlineStr">
        <is>
          <t xml:space="preserve">U"\f" CYRILLIC_SM_BE</t>
        </is>
      </c>
      <c r="BG52" t="inlineStr">
        <is>
          <t xml:space="preserve">CYRILLIC_BE</t>
        </is>
      </c>
      <c r="BH52" s="108"/>
      <c r="BI52" s="108"/>
      <c r="BJ52" s="109" t="s">
        <v>382</v>
      </c>
      <c r="BK52" t="inlineStr">
        <is>
          <t xml:space="preserve">CYRILLIC_ER</t>
        </is>
      </c>
      <c r="BL52" s="109"/>
      <c r="BM52" s="109"/>
      <c r="BN52" s="95" t="s">
        <v>10</v>
      </c>
      <c r="BO52" s="95" t="s">
        <v>1197</v>
      </c>
      <c r="BP52" s="95" t="s">
        <v>10</v>
      </c>
      <c r="BQ52" s="95" t="s">
        <v>1181</v>
      </c>
      <c r="BR52" s="110" t="s">
        <v>10</v>
      </c>
      <c r="BS52" s="110" t="s">
        <v>1197</v>
      </c>
      <c r="BT52" s="110" t="s">
        <v>10</v>
      </c>
      <c r="BU52" t="inlineStr">
        <is>
          <t xml:space="preserve">U"&lt; " DBL_ANGLE_QMARK_L</t>
        </is>
      </c>
      <c r="BZ52" s="111" t="s">
        <v>1179</v>
      </c>
      <c r="CA52" s="111" t="s">
        <v>1197</v>
      </c>
      <c r="CB52" s="111"/>
      <c r="CC52" s="111"/>
      <c r="CD52" s="95" t="s">
        <v>497</v>
      </c>
      <c r="CE52" s="128"/>
      <c r="CF52" s="95"/>
      <c r="CG52" s="95"/>
      <c r="CH52" s="112" t="s">
        <v>10</v>
      </c>
      <c r="CI52" s="112" t="s">
        <v>1197</v>
      </c>
      <c r="CJ52" s="112" t="s">
        <v>10</v>
      </c>
      <c r="CK52" s="112"/>
      <c r="CL52" s="113" t="s">
        <v>10</v>
      </c>
      <c r="CM52" s="113" t="s">
        <v>1197</v>
      </c>
      <c r="CN52" s="113" t="s">
        <v>10</v>
      </c>
      <c r="CO52" s="113"/>
      <c r="CP52" s="84" t="s">
        <v>10</v>
      </c>
      <c r="CQ52" s="84" t="s">
        <v>1197</v>
      </c>
      <c r="CR52" s="84" t="s">
        <v>10</v>
      </c>
      <c r="CS52" s="84"/>
      <c r="CT52" s="110" t="s">
        <v>10</v>
      </c>
      <c r="CU52" s="110" t="s">
        <v>1197</v>
      </c>
      <c r="CV52" s="110" t="s">
        <v>10</v>
      </c>
      <c r="CW52" s="110"/>
      <c r="CX52" s="114" t="s">
        <v>10</v>
      </c>
      <c r="CY52" s="114" t="s">
        <v>1180</v>
      </c>
      <c r="CZ52" s="114" t="s">
        <v>10</v>
      </c>
      <c r="DA52" s="114" t="s">
        <v>1197</v>
      </c>
      <c r="DB52" s="115" t="s">
        <v>10</v>
      </c>
      <c r="DC52" s="115" t="s">
        <v>1180</v>
      </c>
      <c r="DD52" s="115" t="s">
        <v>10</v>
      </c>
      <c r="DE52" s="115" t="s">
        <v>1181</v>
      </c>
      <c r="EL52" t="inlineStr">
        <is>
          <t xml:space="preserve">ARABIC_WAW</t>
        </is>
      </c>
      <c r="EN52" t="inlineStr">
        <is>
          <t xml:space="preserve">ARABIC_WAW</t>
        </is>
      </c>
      <c r="EP52" t="inlineStr">
        <is>
          <t xml:space="preserve">,</t>
        </is>
      </c>
      <c r="EQ52" t="inlineStr">
        <is>
          <t xml:space="preserve">DEVANAGARI_0937</t>
        </is>
      </c>
      <c r="ER52" t="inlineStr">
        <is>
          <t xml:space="preserve">,</t>
        </is>
      </c>
      <c r="ET52" t="inlineStr">
        <is>
          <t xml:space="preserve">,</t>
        </is>
      </c>
      <c r="EU52" t="inlineStr">
        <is>
          <t xml:space="preserve">DEVANAGARI_0937</t>
        </is>
      </c>
      <c r="EV52" t="inlineStr">
        <is>
          <t xml:space="preserve">,</t>
        </is>
      </c>
      <c r="EX52" t="inlineStr">
        <is>
          <t xml:space="preserve">,</t>
        </is>
      </c>
      <c r="EY52" t="inlineStr">
        <is>
          <t xml:space="preserve">DEVANAGARI_0937</t>
        </is>
      </c>
      <c r="EZ52" t="inlineStr">
        <is>
          <t xml:space="preserve">,</t>
        </is>
      </c>
      <c r="FB52" t="inlineStr">
        <is>
          <t xml:space="preserve">CYRILLIC_SM_SOFT_SIGN</t>
        </is>
      </c>
      <c r="FC52" t="inlineStr">
        <is>
          <t xml:space="preserve">CYRILLIC_SOFT_SIGN</t>
        </is>
      </c>
      <c r="FF52" t="inlineStr">
        <is>
          <t xml:space="preserve">ARABIC_COMMA</t>
        </is>
      </c>
      <c r="FG52" t="inlineStr">
        <is>
          <t xml:space="preserve">&gt;</t>
        </is>
      </c>
      <c r="FH52" t="inlineStr">
        <is>
          <t xml:space="preserve">ARABIC_COMMA</t>
        </is>
      </c>
      <c r="FR52" t="inlineStr">
        <is>
          <t xml:space="preserve">COMMA</t>
        </is>
      </c>
      <c r="FS52" t="inlineStr">
        <is>
          <t xml:space="preserve">;</t>
        </is>
      </c>
      <c r="FT52" t="inlineStr">
        <is>
          <t xml:space="preserve">COMMA</t>
        </is>
      </c>
      <c r="FV52" t="inlineStr">
        <is>
          <t xml:space="preserve">;</t>
        </is>
      </c>
      <c r="FW52" t="inlineStr">
        <is>
          <t xml:space="preserve">.</t>
        </is>
      </c>
      <c r="FX52" t="inlineStr">
        <is>
          <t xml:space="preserve">;</t>
        </is>
      </c>
      <c r="GD52" t="inlineStr">
        <is>
          <t xml:space="preserve">THAI_0E21</t>
        </is>
      </c>
      <c r="GE52" t="inlineStr">
        <is>
          <t xml:space="preserve">THAI_0E12</t>
        </is>
      </c>
      <c r="GF52" t="inlineStr">
        <is>
          <t xml:space="preserve">THAI_0E21</t>
        </is>
      </c>
      <c r="GH52" t="inlineStr">
        <is>
          <t xml:space="preserve">,</t>
        </is>
      </c>
      <c r="GI52" t="inlineStr">
        <is>
          <t xml:space="preserve">BENGALI_09B7</t>
        </is>
      </c>
      <c r="GJ52" t="inlineStr">
        <is>
          <t xml:space="preserve">,</t>
        </is>
      </c>
      <c r="GL52" t="inlineStr">
        <is>
          <t xml:space="preserve">,</t>
        </is>
      </c>
      <c r="GM52" t="inlineStr">
        <is>
          <t xml:space="preserve">TELUGU_0C37</t>
        </is>
      </c>
      <c r="GN52" t="inlineStr">
        <is>
          <t xml:space="preserve">,</t>
        </is>
      </c>
      <c r="GP52" t="inlineStr">
        <is>
          <t xml:space="preserve">,</t>
        </is>
      </c>
      <c r="GQ52" t="inlineStr">
        <is>
          <t xml:space="preserve">TAMIL_0BB7</t>
        </is>
      </c>
      <c r="GR52" t="inlineStr">
        <is>
          <t xml:space="preserve">,</t>
        </is>
      </c>
      <c r="GT52" t="inlineStr">
        <is>
          <t xml:space="preserve">ZHUYIN_311D</t>
        </is>
      </c>
      <c r="GV52" t="inlineStr">
        <is>
          <t xml:space="preserve">ZHUYIN_311D</t>
        </is>
      </c>
      <c r="HB52" t="inlineStr">
        <is>
          <t xml:space="preserve">ARMENIAN_056D</t>
        </is>
      </c>
      <c r="HC52" t="inlineStr">
        <is>
          <t xml:space="preserve">U"\x06\x06" ARMENIAN_053D</t>
        </is>
      </c>
      <c r="HJ52" t="inlineStr">
        <is>
          <t xml:space="preserve">C_WITH_CEDILLA_SMALL</t>
        </is>
      </c>
      <c r="HK52" t="inlineStr">
        <is>
          <t xml:space="preserve">C_WITH_CEDILLA</t>
        </is>
      </c>
      <c r="HV52" t="inlineStr">
        <is>
          <t xml:space="preserve">COMMA</t>
        </is>
      </c>
      <c r="HW52" t="inlineStr">
        <is>
          <t xml:space="preserve">LANGLE_BRACKET_DBL</t>
        </is>
      </c>
      <c r="HX52" t="inlineStr">
        <is>
          <t xml:space="preserve">COMMA</t>
        </is>
      </c>
      <c r="JJ52" t="inlineStr">
        <is>
          <t xml:space="preserve">ARABIC_WAW</t>
        </is>
      </c>
      <c r="JK52" t="inlineStr">
        <is>
          <t xml:space="preserve">COMMA</t>
        </is>
      </c>
      <c r="JL52" t="inlineStr">
        <is>
          <t xml:space="preserve">ARABIC_WAW</t>
        </is>
      </c>
      <c r="JR52" t="inlineStr">
        <is>
          <t xml:space="preserve">ETHIOPIC_1363</t>
        </is>
      </c>
      <c r="JT52" t="inlineStr">
        <is>
          <t xml:space="preserve">ETHIOPIC_1363</t>
        </is>
      </c>
      <c r="KD52" t="inlineStr">
        <is>
          <t xml:space="preserve">ARABIC_WAW</t>
        </is>
      </c>
      <c r="KE52" t="inlineStr">
        <is>
          <t xml:space="preserve">COMMA</t>
        </is>
      </c>
      <c r="KF52" t="inlineStr">
        <is>
          <t xml:space="preserve">ARABIC_WAW</t>
        </is>
      </c>
      <c r="KH52" t="inlineStr">
        <is>
          <t xml:space="preserve">ARABIC_WAW</t>
        </is>
      </c>
      <c r="KI52" t="inlineStr">
        <is>
          <t xml:space="preserve">COMMA</t>
        </is>
      </c>
      <c r="KJ52" t="inlineStr">
        <is>
          <t xml:space="preserve">ARABIC_WAW</t>
        </is>
      </c>
      <c r="KL52" t="inlineStr">
        <is>
          <t xml:space="preserve">ARABIC_COMMA</t>
        </is>
      </c>
      <c r="KM52" t="inlineStr">
        <is>
          <t xml:space="preserve">&gt;</t>
        </is>
      </c>
      <c r="KN52" t="inlineStr">
        <is>
          <t xml:space="preserve">ARABIC_COMMA</t>
        </is>
      </c>
      <c r="LJ52" t="inlineStr">
        <is>
          <t xml:space="preserve">;</t>
        </is>
      </c>
      <c r="LK52" t="inlineStr">
        <is>
          <t xml:space="preserve">.</t>
        </is>
      </c>
      <c r="NV52" t="inlineStr">
        <is>
          <t xml:space="preserve">COMMA</t>
        </is>
      </c>
      <c r="NW52" t="inlineStr">
        <is>
          <t xml:space="preserve">;</t>
        </is>
      </c>
      <c r="NZ52" t="inlineStr">
        <is>
          <t xml:space="preserve">;</t>
        </is>
      </c>
      <c r="OA52" t="inlineStr">
        <is>
          <t xml:space="preserve">.</t>
        </is>
      </c>
      <c r="OB52" t="inlineStr">
        <is>
          <t xml:space="preserve">;</t>
        </is>
      </c>
      <c r="OD52" t="inlineStr">
        <is>
          <t xml:space="preserve">COMMA</t>
        </is>
      </c>
      <c r="OE52" t="inlineStr">
        <is>
          <t xml:space="preserve">;</t>
        </is>
      </c>
      <c r="OF52" t="inlineStr">
        <is>
          <t xml:space="preserve">COMMA</t>
        </is>
      </c>
      <c r="OP52" t="inlineStr">
        <is>
          <t xml:space="preserve">COMMA</t>
        </is>
      </c>
      <c r="OQ52" t="inlineStr">
        <is>
          <t xml:space="preserve">;</t>
        </is>
      </c>
      <c r="OR52" t="inlineStr">
        <is>
          <t xml:space="preserve">COMMA</t>
        </is>
      </c>
      <c r="OX52" t="inlineStr">
        <is>
          <t xml:space="preserve">COMMA</t>
        </is>
      </c>
      <c r="OY52" t="inlineStr">
        <is>
          <t xml:space="preserve">;</t>
        </is>
      </c>
      <c r="OZ52" t="inlineStr">
        <is>
          <t xml:space="preserve">COMMA</t>
        </is>
      </c>
      <c r="PB52" t="inlineStr">
        <is>
          <t xml:space="preserve">ARABIC_WAW</t>
        </is>
      </c>
      <c r="PC52" t="inlineStr">
        <is>
          <t xml:space="preserve">COMMA</t>
        </is>
      </c>
      <c r="PD52" t="inlineStr">
        <is>
          <t xml:space="preserve">ARABIC_WAW</t>
        </is>
      </c>
      <c r="PF52" t="inlineStr">
        <is>
          <t xml:space="preserve">ARABIC_WAW</t>
        </is>
      </c>
      <c r="PG52" t="inlineStr">
        <is>
          <t xml:space="preserve">COMMA</t>
        </is>
      </c>
      <c r="PH52" t="inlineStr">
        <is>
          <t xml:space="preserve">ARABIC_WAW</t>
        </is>
      </c>
      <c r="PJ52" t="inlineStr">
        <is>
          <t xml:space="preserve">ARABIC_WAW</t>
        </is>
      </c>
      <c r="PK52" t="inlineStr">
        <is>
          <t xml:space="preserve">COMMA</t>
        </is>
      </c>
      <c r="PL52" t="inlineStr">
        <is>
          <t xml:space="preserve">ARABIC_WAW</t>
        </is>
      </c>
      <c r="PN52" t="inlineStr">
        <is>
          <t xml:space="preserve">ARABIC_WAW</t>
        </is>
      </c>
      <c r="PO52" t="inlineStr">
        <is>
          <t xml:space="preserve">COMMA</t>
        </is>
      </c>
      <c r="PP52" t="inlineStr">
        <is>
          <t xml:space="preserve">ARABIC_WAW</t>
        </is>
      </c>
      <c r="PR52" t="inlineStr">
        <is>
          <t xml:space="preserve">ARABIC_WAW</t>
        </is>
      </c>
      <c r="PS52" t="inlineStr">
        <is>
          <t xml:space="preserve">COMMA</t>
        </is>
      </c>
      <c r="PT52" t="inlineStr">
        <is>
          <t xml:space="preserve">ARABIC_WAW</t>
        </is>
      </c>
      <c r="PV52" t="inlineStr">
        <is>
          <t xml:space="preserve">ARABIC_WAW</t>
        </is>
      </c>
      <c r="PW52" t="inlineStr">
        <is>
          <t xml:space="preserve">COMMA</t>
        </is>
      </c>
      <c r="PX52" t="inlineStr">
        <is>
          <t xml:space="preserve">ARABIC_WAW</t>
        </is>
      </c>
      <c r="PZ52" t="inlineStr">
        <is>
          <t xml:space="preserve">ARABIC_WAW</t>
        </is>
      </c>
      <c r="QA52" t="inlineStr">
        <is>
          <t xml:space="preserve">COMMA</t>
        </is>
      </c>
      <c r="QB52" t="inlineStr">
        <is>
          <t xml:space="preserve">ARABIC_WAW</t>
        </is>
      </c>
      <c r="QD52" t="inlineStr">
        <is>
          <t xml:space="preserve">ARABIC_WAW</t>
        </is>
      </c>
      <c r="QE52" t="inlineStr">
        <is>
          <t xml:space="preserve">COMMA</t>
        </is>
      </c>
      <c r="QF52" t="inlineStr">
        <is>
          <t xml:space="preserve">ARABIC_WAW</t>
        </is>
      </c>
      <c r="QH52" t="inlineStr">
        <is>
          <t xml:space="preserve">ARABIC_WAW</t>
        </is>
      </c>
      <c r="QI52" t="inlineStr">
        <is>
          <t xml:space="preserve">COMMA</t>
        </is>
      </c>
      <c r="QJ52" t="inlineStr">
        <is>
          <t xml:space="preserve">ARABIC_WAW</t>
        </is>
      </c>
      <c r="QL52" t="inlineStr">
        <is>
          <t xml:space="preserve">ARABIC_WAW</t>
        </is>
      </c>
      <c r="QM52" t="inlineStr">
        <is>
          <t xml:space="preserve">COMMA</t>
        </is>
      </c>
      <c r="QN52" t="inlineStr">
        <is>
          <t xml:space="preserve">ARABIC_WAW</t>
        </is>
      </c>
      <c r="QP52" t="inlineStr">
        <is>
          <t xml:space="preserve">ARABIC_WAW</t>
        </is>
      </c>
      <c r="QQ52" t="inlineStr">
        <is>
          <t xml:space="preserve">COMMA</t>
        </is>
      </c>
      <c r="QR52" t="inlineStr">
        <is>
          <t xml:space="preserve">ARABIC_WAW</t>
        </is>
      </c>
      <c r="QT52" t="inlineStr">
        <is>
          <t xml:space="preserve">ARABIC_WAW</t>
        </is>
      </c>
      <c r="QU52" t="inlineStr">
        <is>
          <t xml:space="preserve">COMMA</t>
        </is>
      </c>
      <c r="QV52" t="inlineStr">
        <is>
          <t xml:space="preserve">ARABIC_WAW</t>
        </is>
      </c>
      <c r="QX52" t="inlineStr">
        <is>
          <t xml:space="preserve">ARABIC_WAW</t>
        </is>
      </c>
      <c r="QY52" t="inlineStr">
        <is>
          <t xml:space="preserve">COMMA</t>
        </is>
      </c>
      <c r="QZ52" t="inlineStr">
        <is>
          <t xml:space="preserve">ARABIC_WAW</t>
        </is>
      </c>
      <c r="RB52" t="inlineStr">
        <is>
          <t xml:space="preserve">ARABIC_WAW</t>
        </is>
      </c>
      <c r="RC52" t="inlineStr">
        <is>
          <t xml:space="preserve">COMMA</t>
        </is>
      </c>
      <c r="RD52" t="inlineStr">
        <is>
          <t xml:space="preserve">ARABIC_WAW</t>
        </is>
      </c>
      <c r="RF52" t="inlineStr">
        <is>
          <t xml:space="preserve">;</t>
        </is>
      </c>
      <c r="RG52" t="inlineStr">
        <is>
          <t xml:space="preserve">.</t>
        </is>
      </c>
      <c r="RJ52" t="inlineStr">
        <is>
          <t xml:space="preserve">;</t>
        </is>
      </c>
      <c r="RK52" t="inlineStr">
        <is>
          <t xml:space="preserve">.</t>
        </is>
      </c>
      <c r="RN52" t="inlineStr">
        <is>
          <t xml:space="preserve">;</t>
        </is>
      </c>
      <c r="RO52" t="inlineStr">
        <is>
          <t xml:space="preserve">.</t>
        </is>
      </c>
      <c r="RR52" t="inlineStr">
        <is>
          <t xml:space="preserve">;</t>
        </is>
      </c>
      <c r="RS52" t="inlineStr">
        <is>
          <t xml:space="preserve">.</t>
        </is>
      </c>
      <c r="RV52" t="inlineStr">
        <is>
          <t xml:space="preserve">;</t>
        </is>
      </c>
      <c r="RW52" t="inlineStr">
        <is>
          <t xml:space="preserve">.</t>
        </is>
      </c>
      <c r="SP52" t="inlineStr">
        <is>
          <t xml:space="preserve">COMMA</t>
        </is>
      </c>
      <c r="SQ52" t="inlineStr">
        <is>
          <t xml:space="preserve">;</t>
        </is>
      </c>
      <c r="SR52" t="inlineStr">
        <is>
          <t xml:space="preserve">COMMA</t>
        </is>
      </c>
      <c r="ST52" t="inlineStr">
        <is>
          <t xml:space="preserve">COMMA</t>
        </is>
      </c>
      <c r="SU52" t="inlineStr">
        <is>
          <t xml:space="preserve">;</t>
        </is>
      </c>
      <c r="SV52" t="inlineStr">
        <is>
          <t xml:space="preserve">COMMA</t>
        </is>
      </c>
      <c r="SX52" t="inlineStr">
        <is>
          <t xml:space="preserve">,</t>
        </is>
      </c>
      <c r="SY52" t="inlineStr">
        <is>
          <t xml:space="preserve">BENGALI_09B7</t>
        </is>
      </c>
      <c r="SZ52" t="inlineStr">
        <is>
          <t xml:space="preserve">,</t>
        </is>
      </c>
      <c r="TV52" t="inlineStr">
        <is>
          <t xml:space="preserve">CYRILLIC_SM_BE</t>
        </is>
      </c>
      <c r="TW52" t="inlineStr">
        <is>
          <t xml:space="preserve">CYRILLIC_BE</t>
        </is>
      </c>
      <c r="TZ52" t="inlineStr">
        <is>
          <t xml:space="preserve">CYRILLIC_SM_BE</t>
        </is>
      </c>
      <c r="UA52" t="inlineStr">
        <is>
          <t xml:space="preserve">CYRILLIC_BE</t>
        </is>
      </c>
      <c r="UT52" t="inlineStr">
        <is>
          <t xml:space="preserve">;</t>
        </is>
      </c>
      <c r="UU52" t="inlineStr">
        <is>
          <t xml:space="preserve">.</t>
        </is>
      </c>
      <c r="VB52" t="inlineStr">
        <is>
          <t xml:space="preserve">COMMA</t>
        </is>
      </c>
      <c r="VC52" t="inlineStr">
        <is>
          <t xml:space="preserve">;</t>
        </is>
      </c>
      <c r="VD52" t="inlineStr">
        <is>
          <t xml:space="preserve">COMMA</t>
        </is>
      </c>
      <c r="VE52" t="inlineStr">
        <is>
          <t xml:space="preserve">O_WITH_GRAVE_SMALL</t>
        </is>
      </c>
      <c r="VF52" t="inlineStr">
        <is>
          <t xml:space="preserve">COMMA</t>
        </is>
      </c>
      <c r="VG52" t="inlineStr">
        <is>
          <t xml:space="preserve">;</t>
        </is>
      </c>
      <c r="VH52" t="inlineStr">
        <is>
          <t xml:space="preserve">COMMA</t>
        </is>
      </c>
      <c r="VJ52" t="inlineStr">
        <is>
          <t xml:space="preserve">COMMA</t>
        </is>
      </c>
      <c r="VK52" t="inlineStr">
        <is>
          <t xml:space="preserve">;</t>
        </is>
      </c>
      <c r="VL52" t="inlineStr">
        <is>
          <t xml:space="preserve">COMMA</t>
        </is>
      </c>
      <c r="VZ52" t="inlineStr">
        <is>
          <t xml:space="preserve">COMMA</t>
        </is>
      </c>
      <c r="WA52" t="inlineStr">
        <is>
          <t xml:space="preserve">;</t>
        </is>
      </c>
      <c r="WB52" t="inlineStr">
        <is>
          <t xml:space="preserve">COMMA</t>
        </is>
      </c>
      <c r="XB52" t="inlineStr">
        <is>
          <t xml:space="preserve">U"\f\f\f" ARABIC_WAW</t>
        </is>
      </c>
      <c r="XC52" t="inlineStr">
        <is>
          <t xml:space="preserve">ARABIC_060C</t>
        </is>
      </c>
      <c r="XD52" t="inlineStr">
        <is>
          <t xml:space="preserve">ARABIC_0648</t>
        </is>
      </c>
      <c r="XE52" t="inlineStr">
        <is>
          <t xml:space="preserve">COMMA</t>
        </is>
      </c>
      <c r="XF52" t="inlineStr">
        <is>
          <t xml:space="preserve">,</t>
        </is>
      </c>
      <c r="XG52" t="inlineStr">
        <is>
          <t xml:space="preserve">&lt;</t>
        </is>
      </c>
      <c r="XH52" t="inlineStr">
        <is>
          <t xml:space="preserve">,</t>
        </is>
      </c>
      <c r="XN52" t="inlineStr">
        <is>
          <t xml:space="preserve">,</t>
        </is>
      </c>
      <c r="XO52" t="inlineStr">
        <is>
          <t xml:space="preserve">CHEROKEE_13E2</t>
        </is>
      </c>
      <c r="XP52" t="inlineStr">
        <is>
          <t xml:space="preserve">,</t>
        </is>
      </c>
      <c r="XQ52" t="inlineStr">
        <is>
          <t xml:space="preserve">&lt;</t>
        </is>
      </c>
    </row>
    <row r="53" s="116" customFormat="true" ht="15" hidden="false" customHeight="false" outlineLevel="0" collapsed="false">
      <c r="A53" s="93" t="s">
        <v>1348</v>
      </c>
      <c r="B53" s="94" t="s">
        <v>1267</v>
      </c>
      <c r="C53" s="94" t="s">
        <v>1223</v>
      </c>
      <c r="D53" s="94" t="s">
        <v>1267</v>
      </c>
      <c r="E53" s="94"/>
      <c r="F53" s="95" t="s">
        <v>1267</v>
      </c>
      <c r="G53" s="95" t="s">
        <v>1198</v>
      </c>
      <c r="H53" s="95"/>
      <c r="I53" s="95"/>
      <c r="J53" s="96" t="s">
        <v>1198</v>
      </c>
      <c r="K53" s="96" t="s">
        <v>1173</v>
      </c>
      <c r="L53" s="96"/>
      <c r="M53" s="96"/>
      <c r="N53" s="97" t="s">
        <v>1267</v>
      </c>
      <c r="O53" s="97" t="s">
        <v>1198</v>
      </c>
      <c r="P53" s="97" t="s">
        <v>1267</v>
      </c>
      <c r="Q53" s="97"/>
      <c r="R53" s="98" t="s">
        <v>1267</v>
      </c>
      <c r="S53" s="98" t="s">
        <v>1198</v>
      </c>
      <c r="T53" s="98" t="s">
        <v>1267</v>
      </c>
      <c r="U53" s="98"/>
      <c r="V53" s="99" t="s">
        <v>1267</v>
      </c>
      <c r="W53" s="99" t="s">
        <v>1198</v>
      </c>
      <c r="X53" s="99" t="s">
        <v>1267</v>
      </c>
      <c r="Y53" s="139" t="s">
        <v>94</v>
      </c>
      <c r="Z53" s="100" t="s">
        <v>143</v>
      </c>
      <c r="AA53" s="100" t="s">
        <v>108</v>
      </c>
      <c r="AB53" s="100"/>
      <c r="AC53" s="100"/>
      <c r="AD53" s="101"/>
      <c r="AE53" s="101"/>
      <c r="AF53" s="101"/>
      <c r="AG53" s="101"/>
      <c r="AH53" t="inlineStr">
        <is>
          <t xml:space="preserve">.</t>
        </is>
      </c>
      <c r="AI53" t="inlineStr">
        <is>
          <t xml:space="preserve">&gt;</t>
        </is>
      </c>
      <c r="AJ53" t="inlineStr">
        <is>
          <t xml:space="preserve">.</t>
        </is>
      </c>
      <c r="AK53" t="inlineStr">
        <is>
          <t xml:space="preserve">HIRAGANA_RU</t>
        </is>
      </c>
      <c r="AL53" s="103" t="s">
        <v>554</v>
      </c>
      <c r="AM53" s="103" t="s">
        <v>1267</v>
      </c>
      <c r="AN53" s="103" t="s">
        <v>554</v>
      </c>
      <c r="AO53" t="inlineStr">
        <is>
          <t xml:space="preserve">ARABIC_JEH</t>
        </is>
      </c>
      <c r="AP53" s="104" t="s">
        <v>1267</v>
      </c>
      <c r="AQ53" s="104" t="s">
        <v>1223</v>
      </c>
      <c r="AR53" s="104" t="s">
        <v>1267</v>
      </c>
      <c r="AS53" s="104"/>
      <c r="AT53" t="inlineStr">
        <is>
          <t xml:space="preserve">U"\f\f" CYRILLIC_SM_YU</t>
        </is>
      </c>
      <c r="AU53" t="inlineStr">
        <is>
          <t xml:space="preserve">CYRILLIC_YU</t>
        </is>
      </c>
      <c r="AV53" s="105"/>
      <c r="AW53" s="105"/>
      <c r="AX53" t="inlineStr">
        <is>
          <t xml:space="preserve">U"\f\f" CYRILLIC_SM_YU</t>
        </is>
      </c>
      <c r="AY53" t="inlineStr">
        <is>
          <t xml:space="preserve">CYRILLIC_YU</t>
        </is>
      </c>
      <c r="AZ53" s="106"/>
      <c r="BA53" s="106"/>
      <c r="BB53" s="107" t="s">
        <v>400</v>
      </c>
      <c r="BC53" t="inlineStr">
        <is>
          <t xml:space="preserve">CYRILLIC_YU</t>
        </is>
      </c>
      <c r="BD53" s="107"/>
      <c r="BE53" s="107"/>
      <c r="BF53" t="inlineStr">
        <is>
          <t xml:space="preserve">U"\f\f" CYRILLIC_SM_YU</t>
        </is>
      </c>
      <c r="BG53" t="inlineStr">
        <is>
          <t xml:space="preserve">CYRILLIC_YU</t>
        </is>
      </c>
      <c r="BH53" s="108"/>
      <c r="BI53" s="108"/>
      <c r="BJ53" s="109" t="s">
        <v>372</v>
      </c>
      <c r="BK53" t="inlineStr">
        <is>
          <t xml:space="preserve">CYRILLIC_EL</t>
        </is>
      </c>
      <c r="BL53" s="109"/>
      <c r="BM53" s="109"/>
      <c r="BN53" s="95" t="s">
        <v>1267</v>
      </c>
      <c r="BO53" s="95" t="s">
        <v>1198</v>
      </c>
      <c r="BP53" s="95" t="s">
        <v>1267</v>
      </c>
      <c r="BQ53" s="95" t="s">
        <v>1223</v>
      </c>
      <c r="BR53" s="110" t="s">
        <v>1267</v>
      </c>
      <c r="BS53" s="110" t="s">
        <v>1198</v>
      </c>
      <c r="BT53" s="110" t="s">
        <v>1267</v>
      </c>
      <c r="BU53" t="inlineStr">
        <is>
          <t xml:space="preserve">U"&gt; " DBL_ANGLE_QMARK_R</t>
        </is>
      </c>
      <c r="BZ53" s="111" t="s">
        <v>1267</v>
      </c>
      <c r="CA53" s="111" t="s">
        <v>1198</v>
      </c>
      <c r="CB53" s="111" t="s">
        <v>1267</v>
      </c>
      <c r="CC53" s="111" t="s">
        <v>86</v>
      </c>
      <c r="CD53" s="95" t="s">
        <v>492</v>
      </c>
      <c r="CE53" t="inlineStr">
        <is>
          <t xml:space="preserve">U"\f\f\f\f" HEBREW_NUNHAFUKHA</t>
        </is>
      </c>
      <c r="CF53" s="95"/>
      <c r="CG53" s="95"/>
      <c r="CH53" s="112" t="s">
        <v>1267</v>
      </c>
      <c r="CI53" s="112" t="s">
        <v>1198</v>
      </c>
      <c r="CJ53" s="112" t="s">
        <v>1267</v>
      </c>
      <c r="CK53" s="112"/>
      <c r="CL53" s="113" t="s">
        <v>1267</v>
      </c>
      <c r="CM53" s="113" t="s">
        <v>1198</v>
      </c>
      <c r="CN53" s="113" t="s">
        <v>1267</v>
      </c>
      <c r="CO53" s="113"/>
      <c r="CP53" s="84" t="s">
        <v>1267</v>
      </c>
      <c r="CQ53" s="84" t="s">
        <v>1198</v>
      </c>
      <c r="CR53" s="84" t="s">
        <v>1267</v>
      </c>
      <c r="CS53" s="84"/>
      <c r="CT53" s="110" t="s">
        <v>1267</v>
      </c>
      <c r="CU53" s="110" t="s">
        <v>1198</v>
      </c>
      <c r="CV53" s="110" t="s">
        <v>1267</v>
      </c>
      <c r="CW53" s="110"/>
      <c r="CX53" s="114" t="s">
        <v>1267</v>
      </c>
      <c r="CY53" s="114" t="s">
        <v>1198</v>
      </c>
      <c r="CZ53" s="114" t="s">
        <v>1267</v>
      </c>
      <c r="DA53" s="114" t="s">
        <v>1223</v>
      </c>
      <c r="DB53" s="115" t="s">
        <v>1267</v>
      </c>
      <c r="DC53" s="115" t="s">
        <v>1198</v>
      </c>
      <c r="DD53" s="115" t="s">
        <v>1267</v>
      </c>
      <c r="DE53" s="115" t="s">
        <v>1223</v>
      </c>
      <c r="EP53" t="inlineStr">
        <is>
          <t xml:space="preserve">.</t>
        </is>
      </c>
      <c r="EQ53" t="inlineStr">
        <is>
          <t xml:space="preserve">DEVANAGARI_0964</t>
        </is>
      </c>
      <c r="ER53" t="inlineStr">
        <is>
          <t xml:space="preserve">.</t>
        </is>
      </c>
      <c r="ET53" t="inlineStr">
        <is>
          <t xml:space="preserve">.</t>
        </is>
      </c>
      <c r="EU53" t="inlineStr">
        <is>
          <t xml:space="preserve">DEVANAGARI_0964</t>
        </is>
      </c>
      <c r="EV53" t="inlineStr">
        <is>
          <t xml:space="preserve">.</t>
        </is>
      </c>
      <c r="EX53" t="inlineStr">
        <is>
          <t xml:space="preserve">.</t>
        </is>
      </c>
      <c r="EY53" t="inlineStr">
        <is>
          <t xml:space="preserve">DEVANAGARI_0964</t>
        </is>
      </c>
      <c r="EZ53" t="inlineStr">
        <is>
          <t xml:space="preserve">.</t>
        </is>
      </c>
      <c r="FB53" t="inlineStr">
        <is>
          <t xml:space="preserve">CYRILLIC_SM_VE</t>
        </is>
      </c>
      <c r="FC53" t="inlineStr">
        <is>
          <t xml:space="preserve">CYRILLIC_VE</t>
        </is>
      </c>
      <c r="FF53" t="inlineStr">
        <is>
          <t xml:space="preserve">ARABIC_FULL_STOP</t>
        </is>
      </c>
      <c r="FG53" t="inlineStr">
        <is>
          <t xml:space="preserve">&lt;</t>
        </is>
      </c>
      <c r="FH53" t="inlineStr">
        <is>
          <t xml:space="preserve">ARABIC_FULL_STOP</t>
        </is>
      </c>
      <c r="FR53" t="inlineStr">
        <is>
          <t xml:space="preserve">.</t>
        </is>
      </c>
      <c r="FS53" t="inlineStr">
        <is>
          <t xml:space="preserve">:</t>
        </is>
      </c>
      <c r="FT53" t="inlineStr">
        <is>
          <t xml:space="preserve">.</t>
        </is>
      </c>
      <c r="FV53" t="inlineStr">
        <is>
          <t xml:space="preserve">:</t>
        </is>
      </c>
      <c r="FW53" t="inlineStr">
        <is>
          <t xml:space="preserve">/</t>
        </is>
      </c>
      <c r="FX53" t="inlineStr">
        <is>
          <t xml:space="preserve">:</t>
        </is>
      </c>
      <c r="GD53" t="inlineStr">
        <is>
          <t xml:space="preserve">THAI_0E43</t>
        </is>
      </c>
      <c r="GE53" t="inlineStr">
        <is>
          <t xml:space="preserve">THAI_0E2C</t>
        </is>
      </c>
      <c r="GF53" t="inlineStr">
        <is>
          <t xml:space="preserve">THAI_0E43</t>
        </is>
      </c>
      <c r="GH53" t="inlineStr">
        <is>
          <t xml:space="preserve">.</t>
        </is>
      </c>
      <c r="GJ53" t="inlineStr">
        <is>
          <t xml:space="preserve">.</t>
        </is>
      </c>
      <c r="GL53" t="inlineStr">
        <is>
          <t xml:space="preserve">.</t>
        </is>
      </c>
      <c r="GN53" t="inlineStr">
        <is>
          <t xml:space="preserve">.</t>
        </is>
      </c>
      <c r="GP53" t="inlineStr">
        <is>
          <t xml:space="preserve">.</t>
        </is>
      </c>
      <c r="GR53" t="inlineStr">
        <is>
          <t xml:space="preserve">.</t>
        </is>
      </c>
      <c r="GT53" t="inlineStr">
        <is>
          <t xml:space="preserve">ZHUYIN_3121</t>
        </is>
      </c>
      <c r="GV53" t="inlineStr">
        <is>
          <t xml:space="preserve">ZHUYIN_3121</t>
        </is>
      </c>
      <c r="HB53" t="inlineStr">
        <is>
          <t xml:space="preserve">ARMENIAN_0577</t>
        </is>
      </c>
      <c r="HC53" t="inlineStr">
        <is>
          <t xml:space="preserve">ARMENIAN_0547</t>
        </is>
      </c>
      <c r="HJ53" t="inlineStr">
        <is>
          <t xml:space="preserve">S_WITH_CEDILLA_SMALL</t>
        </is>
      </c>
      <c r="HK53" t="inlineStr">
        <is>
          <t xml:space="preserve">S_WITH_CEDILLA</t>
        </is>
      </c>
      <c r="HV53" t="inlineStr">
        <is>
          <t xml:space="preserve">CJK_IDEOG_FSTOP</t>
        </is>
      </c>
      <c r="HW53" t="inlineStr">
        <is>
          <t xml:space="preserve">RANGLE_BRACKET_DBL</t>
        </is>
      </c>
      <c r="JE53" t="inlineStr">
        <is>
          <t xml:space="preserve">MOD_DOT_ACCENT</t>
        </is>
      </c>
      <c r="JI53" t="inlineStr">
        <is>
          <t xml:space="preserve">MOD_DOT_ACCENT</t>
        </is>
      </c>
      <c r="JJ53" t="inlineStr">
        <is>
          <t xml:space="preserve">ARABIC_ZAIN</t>
        </is>
      </c>
      <c r="JK53" t="inlineStr">
        <is>
          <t xml:space="preserve">.</t>
        </is>
      </c>
      <c r="JL53" t="inlineStr">
        <is>
          <t xml:space="preserve">ARABIC_ZAIN</t>
        </is>
      </c>
      <c r="JM53" t="inlineStr">
        <is>
          <t xml:space="preserve">ARABIC_JEH</t>
        </is>
      </c>
      <c r="JR53" t="inlineStr">
        <is>
          <t xml:space="preserve">ETHIOPIC_1364</t>
        </is>
      </c>
      <c r="JT53" t="inlineStr">
        <is>
          <t xml:space="preserve">ETHIOPIC_1364</t>
        </is>
      </c>
      <c r="KD53" t="inlineStr">
        <is>
          <t xml:space="preserve">ARABIC_ZAIN</t>
        </is>
      </c>
      <c r="KE53" t="inlineStr">
        <is>
          <t xml:space="preserve">.</t>
        </is>
      </c>
      <c r="KF53" t="inlineStr">
        <is>
          <t xml:space="preserve">ARABIC_ZAIN</t>
        </is>
      </c>
      <c r="KG53" t="inlineStr">
        <is>
          <t xml:space="preserve">ARABIC_JEH</t>
        </is>
      </c>
      <c r="KH53" t="inlineStr">
        <is>
          <t xml:space="preserve">ARABIC_ZAIN</t>
        </is>
      </c>
      <c r="KI53" t="inlineStr">
        <is>
          <t xml:space="preserve">.</t>
        </is>
      </c>
      <c r="KJ53" t="inlineStr">
        <is>
          <t xml:space="preserve">ARABIC_ZAIN</t>
        </is>
      </c>
      <c r="KK53" t="inlineStr">
        <is>
          <t xml:space="preserve">ARABIC_JEH</t>
        </is>
      </c>
      <c r="KL53" t="inlineStr">
        <is>
          <t xml:space="preserve">.</t>
        </is>
      </c>
      <c r="KM53" t="inlineStr">
        <is>
          <t xml:space="preserve">&lt;</t>
        </is>
      </c>
      <c r="KN53" t="inlineStr">
        <is>
          <t xml:space="preserve">.</t>
        </is>
      </c>
      <c r="KO53" t="inlineStr">
        <is>
          <t xml:space="preserve">U"\x06\x06\x05\x05'"</t>
        </is>
      </c>
      <c r="LJ53" t="inlineStr">
        <is>
          <t xml:space="preserve">:</t>
        </is>
      </c>
      <c r="LK53" t="inlineStr">
        <is>
          <t xml:space="preserve">/</t>
        </is>
      </c>
      <c r="NV53" t="inlineStr">
        <is>
          <t xml:space="preserve">.</t>
        </is>
      </c>
      <c r="NW53" t="inlineStr">
        <is>
          <t xml:space="preserve">:</t>
        </is>
      </c>
      <c r="NZ53" t="inlineStr">
        <is>
          <t xml:space="preserve">:</t>
        </is>
      </c>
      <c r="OA53" t="inlineStr">
        <is>
          <t xml:space="preserve">/</t>
        </is>
      </c>
      <c r="OB53" t="inlineStr">
        <is>
          <t xml:space="preserve">:</t>
        </is>
      </c>
      <c r="OD53" t="inlineStr">
        <is>
          <t xml:space="preserve">.</t>
        </is>
      </c>
      <c r="OE53" t="inlineStr">
        <is>
          <t xml:space="preserve">:</t>
        </is>
      </c>
      <c r="OF53" t="inlineStr">
        <is>
          <t xml:space="preserve">.</t>
        </is>
      </c>
      <c r="OP53" t="inlineStr">
        <is>
          <t xml:space="preserve">.</t>
        </is>
      </c>
      <c r="OQ53" t="inlineStr">
        <is>
          <t xml:space="preserve">:</t>
        </is>
      </c>
      <c r="OR53" t="inlineStr">
        <is>
          <t xml:space="preserve">.</t>
        </is>
      </c>
      <c r="OX53" t="inlineStr">
        <is>
          <t xml:space="preserve">.</t>
        </is>
      </c>
      <c r="OY53" t="inlineStr">
        <is>
          <t xml:space="preserve">:</t>
        </is>
      </c>
      <c r="OZ53" t="inlineStr">
        <is>
          <t xml:space="preserve">.</t>
        </is>
      </c>
      <c r="PB53" t="inlineStr">
        <is>
          <t xml:space="preserve">ARABIC_ZAIN</t>
        </is>
      </c>
      <c r="PC53" t="inlineStr">
        <is>
          <t xml:space="preserve">.</t>
        </is>
      </c>
      <c r="PD53" t="inlineStr">
        <is>
          <t xml:space="preserve">ARABIC_ZAIN</t>
        </is>
      </c>
      <c r="PE53" t="inlineStr">
        <is>
          <t xml:space="preserve">ARABIC_JEH</t>
        </is>
      </c>
      <c r="PF53" t="inlineStr">
        <is>
          <t xml:space="preserve">ARABIC_ZAIN</t>
        </is>
      </c>
      <c r="PG53" t="inlineStr">
        <is>
          <t xml:space="preserve">.</t>
        </is>
      </c>
      <c r="PH53" t="inlineStr">
        <is>
          <t xml:space="preserve">ARABIC_ZAIN</t>
        </is>
      </c>
      <c r="PI53" t="inlineStr">
        <is>
          <t xml:space="preserve">ARABIC_JEH</t>
        </is>
      </c>
      <c r="PJ53" t="inlineStr">
        <is>
          <t xml:space="preserve">ARABIC_ZAIN</t>
        </is>
      </c>
      <c r="PK53" t="inlineStr">
        <is>
          <t xml:space="preserve">.</t>
        </is>
      </c>
      <c r="PL53" t="inlineStr">
        <is>
          <t xml:space="preserve">ARABIC_ZAIN</t>
        </is>
      </c>
      <c r="PM53" t="inlineStr">
        <is>
          <t xml:space="preserve">ARABIC_JEH</t>
        </is>
      </c>
      <c r="PN53" t="inlineStr">
        <is>
          <t xml:space="preserve">ARABIC_ZAIN</t>
        </is>
      </c>
      <c r="PO53" t="inlineStr">
        <is>
          <t xml:space="preserve">.</t>
        </is>
      </c>
      <c r="PP53" t="inlineStr">
        <is>
          <t xml:space="preserve">ARABIC_ZAIN</t>
        </is>
      </c>
      <c r="PQ53" t="inlineStr">
        <is>
          <t xml:space="preserve">ARABIC_JEH</t>
        </is>
      </c>
      <c r="PR53" t="inlineStr">
        <is>
          <t xml:space="preserve">ARABIC_ZAIN</t>
        </is>
      </c>
      <c r="PS53" t="inlineStr">
        <is>
          <t xml:space="preserve">.</t>
        </is>
      </c>
      <c r="PT53" t="inlineStr">
        <is>
          <t xml:space="preserve">ARABIC_ZAIN</t>
        </is>
      </c>
      <c r="PU53" t="inlineStr">
        <is>
          <t xml:space="preserve">ARABIC_JEH</t>
        </is>
      </c>
      <c r="PV53" t="inlineStr">
        <is>
          <t xml:space="preserve">ARABIC_ZAIN</t>
        </is>
      </c>
      <c r="PW53" t="inlineStr">
        <is>
          <t xml:space="preserve">.</t>
        </is>
      </c>
      <c r="PX53" t="inlineStr">
        <is>
          <t xml:space="preserve">ARABIC_ZAIN</t>
        </is>
      </c>
      <c r="PY53" t="inlineStr">
        <is>
          <t xml:space="preserve">ARABIC_JEH</t>
        </is>
      </c>
      <c r="PZ53" t="inlineStr">
        <is>
          <t xml:space="preserve">ARABIC_ZAIN</t>
        </is>
      </c>
      <c r="QA53" t="inlineStr">
        <is>
          <t xml:space="preserve">.</t>
        </is>
      </c>
      <c r="QB53" t="inlineStr">
        <is>
          <t xml:space="preserve">ARABIC_ZAIN</t>
        </is>
      </c>
      <c r="QC53" t="inlineStr">
        <is>
          <t xml:space="preserve">ARABIC_JEH</t>
        </is>
      </c>
      <c r="QD53" t="inlineStr">
        <is>
          <t xml:space="preserve">ARABIC_ZAIN</t>
        </is>
      </c>
      <c r="QE53" t="inlineStr">
        <is>
          <t xml:space="preserve">.</t>
        </is>
      </c>
      <c r="QF53" t="inlineStr">
        <is>
          <t xml:space="preserve">ARABIC_ZAIN</t>
        </is>
      </c>
      <c r="QG53" t="inlineStr">
        <is>
          <t xml:space="preserve">ARABIC_JEH</t>
        </is>
      </c>
      <c r="QH53" t="inlineStr">
        <is>
          <t xml:space="preserve">ARABIC_ZAIN</t>
        </is>
      </c>
      <c r="QI53" t="inlineStr">
        <is>
          <t xml:space="preserve">.</t>
        </is>
      </c>
      <c r="QJ53" t="inlineStr">
        <is>
          <t xml:space="preserve">ARABIC_ZAIN</t>
        </is>
      </c>
      <c r="QK53" t="inlineStr">
        <is>
          <t xml:space="preserve">ARABIC_JEH</t>
        </is>
      </c>
      <c r="QL53" t="inlineStr">
        <is>
          <t xml:space="preserve">ARABIC_ZAIN</t>
        </is>
      </c>
      <c r="QM53" t="inlineStr">
        <is>
          <t xml:space="preserve">.</t>
        </is>
      </c>
      <c r="QN53" t="inlineStr">
        <is>
          <t xml:space="preserve">ARABIC_ZAIN</t>
        </is>
      </c>
      <c r="QO53" t="inlineStr">
        <is>
          <t xml:space="preserve">ARABIC_JEH</t>
        </is>
      </c>
      <c r="QP53" t="inlineStr">
        <is>
          <t xml:space="preserve">ARABIC_ZAIN</t>
        </is>
      </c>
      <c r="QQ53" t="inlineStr">
        <is>
          <t xml:space="preserve">.</t>
        </is>
      </c>
      <c r="QR53" t="inlineStr">
        <is>
          <t xml:space="preserve">ARABIC_ZAIN</t>
        </is>
      </c>
      <c r="QS53" t="inlineStr">
        <is>
          <t xml:space="preserve">ARABIC_JEH</t>
        </is>
      </c>
      <c r="QT53" t="inlineStr">
        <is>
          <t xml:space="preserve">ARABIC_ZAIN</t>
        </is>
      </c>
      <c r="QU53" t="inlineStr">
        <is>
          <t xml:space="preserve">.</t>
        </is>
      </c>
      <c r="QV53" t="inlineStr">
        <is>
          <t xml:space="preserve">ARABIC_ZAIN</t>
        </is>
      </c>
      <c r="QW53" t="inlineStr">
        <is>
          <t xml:space="preserve">ARABIC_JEH</t>
        </is>
      </c>
      <c r="QX53" t="inlineStr">
        <is>
          <t xml:space="preserve">ARABIC_ZAIN</t>
        </is>
      </c>
      <c r="QY53" t="inlineStr">
        <is>
          <t xml:space="preserve">.</t>
        </is>
      </c>
      <c r="QZ53" t="inlineStr">
        <is>
          <t xml:space="preserve">ARABIC_ZAIN</t>
        </is>
      </c>
      <c r="RA53" t="inlineStr">
        <is>
          <t xml:space="preserve">ARABIC_JEH</t>
        </is>
      </c>
      <c r="RB53" t="inlineStr">
        <is>
          <t xml:space="preserve">ARABIC_ZAIN</t>
        </is>
      </c>
      <c r="RC53" t="inlineStr">
        <is>
          <t xml:space="preserve">.</t>
        </is>
      </c>
      <c r="RD53" t="inlineStr">
        <is>
          <t xml:space="preserve">ARABIC_ZAIN</t>
        </is>
      </c>
      <c r="RE53" t="inlineStr">
        <is>
          <t xml:space="preserve">ARABIC_JEH</t>
        </is>
      </c>
      <c r="RF53" t="inlineStr">
        <is>
          <t xml:space="preserve">:</t>
        </is>
      </c>
      <c r="RG53" t="inlineStr">
        <is>
          <t xml:space="preserve">/</t>
        </is>
      </c>
      <c r="RJ53" t="inlineStr">
        <is>
          <t xml:space="preserve">:</t>
        </is>
      </c>
      <c r="RK53" t="inlineStr">
        <is>
          <t xml:space="preserve">/</t>
        </is>
      </c>
      <c r="RN53" t="inlineStr">
        <is>
          <t xml:space="preserve">:</t>
        </is>
      </c>
      <c r="RO53" t="inlineStr">
        <is>
          <t xml:space="preserve">/</t>
        </is>
      </c>
      <c r="RR53" t="inlineStr">
        <is>
          <t xml:space="preserve">:</t>
        </is>
      </c>
      <c r="RS53" t="inlineStr">
        <is>
          <t xml:space="preserve">/</t>
        </is>
      </c>
      <c r="RV53" t="inlineStr">
        <is>
          <t xml:space="preserve">:</t>
        </is>
      </c>
      <c r="RW53" t="inlineStr">
        <is>
          <t xml:space="preserve">/</t>
        </is>
      </c>
      <c r="SP53" t="inlineStr">
        <is>
          <t xml:space="preserve">.</t>
        </is>
      </c>
      <c r="SQ53" t="inlineStr">
        <is>
          <t xml:space="preserve">:</t>
        </is>
      </c>
      <c r="SR53" t="inlineStr">
        <is>
          <t xml:space="preserve">.</t>
        </is>
      </c>
      <c r="ST53" t="inlineStr">
        <is>
          <t xml:space="preserve">.</t>
        </is>
      </c>
      <c r="SU53" t="inlineStr">
        <is>
          <t xml:space="preserve">:</t>
        </is>
      </c>
      <c r="SV53" t="inlineStr">
        <is>
          <t xml:space="preserve">.</t>
        </is>
      </c>
      <c r="SX53" t="inlineStr">
        <is>
          <t xml:space="preserve">.</t>
        </is>
      </c>
      <c r="SZ53" t="inlineStr">
        <is>
          <t xml:space="preserve">.</t>
        </is>
      </c>
      <c r="TV53" t="inlineStr">
        <is>
          <t xml:space="preserve">CYRILLIC_SM_YU</t>
        </is>
      </c>
      <c r="TW53" t="inlineStr">
        <is>
          <t xml:space="preserve">CYRILLIC_YU</t>
        </is>
      </c>
      <c r="TZ53" t="inlineStr">
        <is>
          <t xml:space="preserve">CYRILLIC_SM_YU</t>
        </is>
      </c>
      <c r="UA53" t="inlineStr">
        <is>
          <t xml:space="preserve">CYRILLIC_YU</t>
        </is>
      </c>
      <c r="UT53" t="inlineStr">
        <is>
          <t xml:space="preserve">:</t>
        </is>
      </c>
      <c r="UU53" t="inlineStr">
        <is>
          <t xml:space="preserve">/</t>
        </is>
      </c>
      <c r="VB53" t="inlineStr">
        <is>
          <t xml:space="preserve">.</t>
        </is>
      </c>
      <c r="VC53" t="inlineStr">
        <is>
          <t xml:space="preserve">:</t>
        </is>
      </c>
      <c r="VD53" t="inlineStr">
        <is>
          <t xml:space="preserve">.</t>
        </is>
      </c>
      <c r="VE53" t="inlineStr">
        <is>
          <t xml:space="preserve">O_WITH_ACUTE_SMALL</t>
        </is>
      </c>
      <c r="VF53" t="inlineStr">
        <is>
          <t xml:space="preserve">.</t>
        </is>
      </c>
      <c r="VG53" t="inlineStr">
        <is>
          <t xml:space="preserve">:</t>
        </is>
      </c>
      <c r="VH53" t="inlineStr">
        <is>
          <t xml:space="preserve">.</t>
        </is>
      </c>
      <c r="VJ53" t="inlineStr">
        <is>
          <t xml:space="preserve">.</t>
        </is>
      </c>
      <c r="VK53" t="inlineStr">
        <is>
          <t xml:space="preserve">:</t>
        </is>
      </c>
      <c r="VL53" t="inlineStr">
        <is>
          <t xml:space="preserve">.</t>
        </is>
      </c>
      <c r="VZ53" t="inlineStr">
        <is>
          <t xml:space="preserve">.</t>
        </is>
      </c>
      <c r="WA53" t="inlineStr">
        <is>
          <t xml:space="preserve">:</t>
        </is>
      </c>
      <c r="WB53" t="inlineStr">
        <is>
          <t xml:space="preserve">.</t>
        </is>
      </c>
      <c r="XB53" t="inlineStr">
        <is>
          <t xml:space="preserve">U"\f\f\f" ARABIC_0696</t>
        </is>
      </c>
      <c r="XC53" t="inlineStr">
        <is>
          <t xml:space="preserve">.</t>
        </is>
      </c>
      <c r="XD53" t="inlineStr">
        <is>
          <t xml:space="preserve">ARABIC_0696</t>
        </is>
      </c>
      <c r="XE53" t="inlineStr">
        <is>
          <t xml:space="preserve">ARABIC_06C7</t>
        </is>
      </c>
      <c r="XF53" t="inlineStr">
        <is>
          <t xml:space="preserve">.</t>
        </is>
      </c>
      <c r="XG53" t="inlineStr">
        <is>
          <t xml:space="preserve">&gt;</t>
        </is>
      </c>
      <c r="XH53" t="inlineStr">
        <is>
          <t xml:space="preserve">.</t>
        </is>
      </c>
      <c r="XN53" t="inlineStr">
        <is>
          <t xml:space="preserve">.</t>
        </is>
      </c>
      <c r="XO53" t="inlineStr">
        <is>
          <t xml:space="preserve">CHEROKEE_13B4</t>
        </is>
      </c>
      <c r="XP53" t="inlineStr">
        <is>
          <t xml:space="preserve">.</t>
        </is>
      </c>
      <c r="XQ53" t="inlineStr">
        <is>
          <t xml:space="preserve">&gt;</t>
        </is>
      </c>
    </row>
    <row r="54" s="116" customFormat="true" ht="15" hidden="false" customHeight="false" outlineLevel="0" collapsed="false">
      <c r="A54" s="93" t="s">
        <v>1351</v>
      </c>
      <c r="B54" s="94" t="s">
        <v>1173</v>
      </c>
      <c r="C54" s="94" t="s">
        <v>1180</v>
      </c>
      <c r="D54" s="94" t="s">
        <v>1173</v>
      </c>
      <c r="E54" s="94"/>
      <c r="F54" s="95" t="s">
        <v>1262</v>
      </c>
      <c r="G54" s="95" t="s">
        <v>1269</v>
      </c>
      <c r="H54" s="95" t="s">
        <v>1262</v>
      </c>
      <c r="I54" s="95"/>
      <c r="J54" s="96" t="s">
        <v>1236</v>
      </c>
      <c r="K54" t="inlineStr">
        <is>
          <t xml:space="preserve">U"\f\f\f" SECTION</t>
        </is>
      </c>
      <c r="L54" s="96"/>
      <c r="M54" s="96"/>
      <c r="N54" s="97" t="s">
        <v>1262</v>
      </c>
      <c r="O54" s="97" t="s">
        <v>1269</v>
      </c>
      <c r="P54" s="97" t="s">
        <v>1262</v>
      </c>
      <c r="Q54" s="97"/>
      <c r="R54" s="98" t="s">
        <v>1262</v>
      </c>
      <c r="S54" s="98" t="s">
        <v>1269</v>
      </c>
      <c r="T54" s="98" t="s">
        <v>1262</v>
      </c>
      <c r="U54" s="98"/>
      <c r="V54" s="99" t="s">
        <v>1262</v>
      </c>
      <c r="W54" s="99" t="s">
        <v>1269</v>
      </c>
      <c r="X54" s="99" t="s">
        <v>1262</v>
      </c>
      <c r="Y54" s="99" t="s">
        <v>72</v>
      </c>
      <c r="Z54" s="100" t="s">
        <v>1267</v>
      </c>
      <c r="AA54" s="100" t="s">
        <v>1198</v>
      </c>
      <c r="AB54" s="100" t="s">
        <v>1267</v>
      </c>
      <c r="AC54" s="100"/>
      <c r="AD54" s="101"/>
      <c r="AE54" s="101"/>
      <c r="AF54" s="101"/>
      <c r="AG54" s="101"/>
      <c r="AH54" t="inlineStr">
        <is>
          <t xml:space="preserve">/</t>
        </is>
      </c>
      <c r="AI54" t="inlineStr">
        <is>
          <t xml:space="preserve">?</t>
        </is>
      </c>
      <c r="AJ54" t="inlineStr">
        <is>
          <t xml:space="preserve">/</t>
        </is>
      </c>
      <c r="AK54" t="inlineStr">
        <is>
          <t xml:space="preserve">HIRAGANA_ME</t>
        </is>
      </c>
      <c r="AL54" s="103" t="s">
        <v>566</v>
      </c>
      <c r="AM54" s="103" t="s">
        <v>509</v>
      </c>
      <c r="AN54" s="103" t="s">
        <v>566</v>
      </c>
      <c r="AO54" s="103"/>
      <c r="AP54" s="104" t="s">
        <v>1173</v>
      </c>
      <c r="AQ54" s="104" t="s">
        <v>1180</v>
      </c>
      <c r="AR54" s="104" t="s">
        <v>1173</v>
      </c>
      <c r="AS54" s="104"/>
      <c r="AT54" s="105" t="s">
        <v>1267</v>
      </c>
      <c r="AU54" s="105" t="s">
        <v>10</v>
      </c>
      <c r="AV54" s="105" t="s">
        <v>1267</v>
      </c>
      <c r="AW54" s="105"/>
      <c r="AX54" s="106" t="s">
        <v>1267</v>
      </c>
      <c r="AY54" s="106" t="s">
        <v>10</v>
      </c>
      <c r="AZ54" s="106" t="s">
        <v>1267</v>
      </c>
      <c r="BA54" s="106"/>
      <c r="BB54" s="107" t="s">
        <v>1267</v>
      </c>
      <c r="BC54" s="107" t="s">
        <v>10</v>
      </c>
      <c r="BD54" s="107" t="s">
        <v>1267</v>
      </c>
      <c r="BE54" s="107"/>
      <c r="BF54" s="108" t="s">
        <v>686</v>
      </c>
      <c r="BG54" t="inlineStr">
        <is>
          <t xml:space="preserve">U"\x06\x06?"</t>
        </is>
      </c>
      <c r="BH54" s="108" t="s">
        <v>686</v>
      </c>
      <c r="BI54" s="108"/>
      <c r="BJ54" s="109" t="s">
        <v>361</v>
      </c>
      <c r="BK54" t="inlineStr">
        <is>
          <t xml:space="preserve">CYRILLIC_BE</t>
        </is>
      </c>
      <c r="BL54" s="109"/>
      <c r="BM54" s="109"/>
      <c r="BN54" s="95" t="s">
        <v>1262</v>
      </c>
      <c r="BO54" s="95" t="s">
        <v>1269</v>
      </c>
      <c r="BP54" s="95" t="s">
        <v>1262</v>
      </c>
      <c r="BQ54" s="95"/>
      <c r="BR54" s="110" t="s">
        <v>1173</v>
      </c>
      <c r="BS54" s="110" t="s">
        <v>1180</v>
      </c>
      <c r="BT54" s="110" t="s">
        <v>1173</v>
      </c>
      <c r="BU54" s="110"/>
      <c r="BZ54" s="111" t="s">
        <v>1262</v>
      </c>
      <c r="CA54" s="111" t="s">
        <v>1293</v>
      </c>
      <c r="CB54" s="111" t="s">
        <v>1262</v>
      </c>
      <c r="CC54" s="111"/>
      <c r="CD54" s="95" t="s">
        <v>1267</v>
      </c>
      <c r="CE54" s="95" t="s">
        <v>1180</v>
      </c>
      <c r="CF54" s="95"/>
      <c r="CG54" s="95"/>
      <c r="CH54" s="112" t="s">
        <v>1262</v>
      </c>
      <c r="CI54" s="112" t="s">
        <v>1269</v>
      </c>
      <c r="CJ54" s="112" t="s">
        <v>1262</v>
      </c>
      <c r="CK54" s="112"/>
      <c r="CL54" s="113" t="s">
        <v>1262</v>
      </c>
      <c r="CM54" s="113" t="s">
        <v>1269</v>
      </c>
      <c r="CN54" s="113" t="s">
        <v>1262</v>
      </c>
      <c r="CO54" s="113"/>
      <c r="CP54" s="84" t="s">
        <v>1262</v>
      </c>
      <c r="CQ54" s="84" t="s">
        <v>1269</v>
      </c>
      <c r="CR54" s="84" t="s">
        <v>1262</v>
      </c>
      <c r="CS54" s="84"/>
      <c r="CT54" s="110" t="s">
        <v>1262</v>
      </c>
      <c r="CU54" s="110" t="s">
        <v>1269</v>
      </c>
      <c r="CV54" s="110" t="s">
        <v>1262</v>
      </c>
      <c r="CW54" s="110"/>
      <c r="CX54" s="114" t="s">
        <v>1173</v>
      </c>
      <c r="CY54" s="114" t="s">
        <v>1180</v>
      </c>
      <c r="CZ54" s="114" t="s">
        <v>1173</v>
      </c>
      <c r="DA54" s="114"/>
      <c r="DB54" s="115" t="s">
        <v>1262</v>
      </c>
      <c r="DC54" s="115" t="s">
        <v>1269</v>
      </c>
      <c r="DD54" s="115" t="s">
        <v>1262</v>
      </c>
      <c r="DE54" s="115" t="s">
        <v>1272</v>
      </c>
      <c r="EP54" t="inlineStr">
        <is>
          <t xml:space="preserve">DEVANAGARI_092F</t>
        </is>
      </c>
      <c r="EQ54" t="inlineStr">
        <is>
          <t xml:space="preserve">DEVANAGARI_095F</t>
        </is>
      </c>
      <c r="ER54" t="inlineStr">
        <is>
          <t xml:space="preserve">DEVANAGARI_092F</t>
        </is>
      </c>
      <c r="ET54" t="inlineStr">
        <is>
          <t xml:space="preserve">DEVANAGARI_092F</t>
        </is>
      </c>
      <c r="EU54" t="inlineStr">
        <is>
          <t xml:space="preserve">DEVANAGARI_095F</t>
        </is>
      </c>
      <c r="EV54" t="inlineStr">
        <is>
          <t xml:space="preserve">DEVANAGARI_092F</t>
        </is>
      </c>
      <c r="EX54" t="inlineStr">
        <is>
          <t xml:space="preserve">DEVANAGARI_092F</t>
        </is>
      </c>
      <c r="EY54" t="inlineStr">
        <is>
          <t xml:space="preserve">DEVANAGARI_095F</t>
        </is>
      </c>
      <c r="EZ54" t="inlineStr">
        <is>
          <t xml:space="preserve">DEVANAGARI_092F</t>
        </is>
      </c>
      <c r="FB54" t="inlineStr">
        <is>
          <t xml:space="preserve">CYRILLIC_SM_YU</t>
        </is>
      </c>
      <c r="FC54" t="inlineStr">
        <is>
          <t xml:space="preserve">CYRILLIC_YU</t>
        </is>
      </c>
      <c r="FF54" t="inlineStr">
        <is>
          <t xml:space="preserve">/</t>
        </is>
      </c>
      <c r="FG54" t="inlineStr">
        <is>
          <t xml:space="preserve">ARABIC_QMARK</t>
        </is>
      </c>
      <c r="FH54" t="inlineStr">
        <is>
          <t xml:space="preserve">/</t>
        </is>
      </c>
      <c r="FR54" t="inlineStr">
        <is>
          <t xml:space="preserve">-</t>
        </is>
      </c>
      <c r="FS54" t="inlineStr">
        <is>
          <t xml:space="preserve">_</t>
        </is>
      </c>
      <c r="FT54" t="inlineStr">
        <is>
          <t xml:space="preserve">-</t>
        </is>
      </c>
      <c r="FV54" t="inlineStr">
        <is>
          <t xml:space="preserve">EQUALS</t>
        </is>
      </c>
      <c r="FW54" t="inlineStr">
        <is>
          <t xml:space="preserve">+</t>
        </is>
      </c>
      <c r="FX54" t="inlineStr">
        <is>
          <t xml:space="preserve">EQUALS</t>
        </is>
      </c>
      <c r="GD54" t="inlineStr">
        <is>
          <t xml:space="preserve">THAI_0E1D</t>
        </is>
      </c>
      <c r="GE54" t="inlineStr">
        <is>
          <t xml:space="preserve">THAI_0E26</t>
        </is>
      </c>
      <c r="GF54" t="inlineStr">
        <is>
          <t xml:space="preserve">THAI_0E1D</t>
        </is>
      </c>
      <c r="GH54" t="inlineStr">
        <is>
          <t xml:space="preserve">BENGALI_09AF</t>
        </is>
      </c>
      <c r="GI54" t="inlineStr">
        <is>
          <t xml:space="preserve">BENGALI_09DF</t>
        </is>
      </c>
      <c r="GJ54" t="inlineStr">
        <is>
          <t xml:space="preserve">BENGALI_09AF</t>
        </is>
      </c>
      <c r="GL54" t="inlineStr">
        <is>
          <t xml:space="preserve">TELUGU_0C2F</t>
        </is>
      </c>
      <c r="GN54" t="inlineStr">
        <is>
          <t xml:space="preserve">TELUGU_0C2F</t>
        </is>
      </c>
      <c r="GP54" t="inlineStr">
        <is>
          <t xml:space="preserve">TAMIL_0BAF</t>
        </is>
      </c>
      <c r="GR54" t="inlineStr">
        <is>
          <t xml:space="preserve">TAMIL_0BAF</t>
        </is>
      </c>
      <c r="GT54" t="inlineStr">
        <is>
          <t xml:space="preserve">ZHUYIN_3125</t>
        </is>
      </c>
      <c r="GV54" t="inlineStr">
        <is>
          <t xml:space="preserve">ZHUYIN_3125</t>
        </is>
      </c>
      <c r="HB54" t="inlineStr">
        <is>
          <t xml:space="preserve">ARMENIAN_057C</t>
        </is>
      </c>
      <c r="HC54" t="inlineStr">
        <is>
          <t xml:space="preserve">ARMENIAN_054C</t>
        </is>
      </c>
      <c r="HJ54" t="inlineStr">
        <is>
          <t xml:space="preserve">.</t>
        </is>
      </c>
      <c r="HK54" t="inlineStr">
        <is>
          <t xml:space="preserve">COMMA</t>
        </is>
      </c>
      <c r="HL54" t="inlineStr">
        <is>
          <t xml:space="preserve">.</t>
        </is>
      </c>
      <c r="HN54" t="inlineStr">
        <is>
          <t xml:space="preserve">U"\f\f" LATIN_00FE</t>
        </is>
      </c>
      <c r="HO54" t="inlineStr">
        <is>
          <t xml:space="preserve">LATIN_00DE</t>
        </is>
      </c>
      <c r="HV54" t="inlineStr">
        <is>
          <t xml:space="preserve">/</t>
        </is>
      </c>
      <c r="HW54" t="inlineStr">
        <is>
          <t xml:space="preserve">?</t>
        </is>
      </c>
      <c r="HX54" t="inlineStr">
        <is>
          <t xml:space="preserve">/</t>
        </is>
      </c>
      <c r="JJ54" t="inlineStr">
        <is>
          <t xml:space="preserve">ARABIC_ZAH</t>
        </is>
      </c>
      <c r="JK54" t="inlineStr">
        <is>
          <t xml:space="preserve">ARABIC_QMARK</t>
        </is>
      </c>
      <c r="JL54" t="inlineStr">
        <is>
          <t xml:space="preserve">ARABIC_ZAH</t>
        </is>
      </c>
      <c r="JR54" t="inlineStr">
        <is>
          <t xml:space="preserve">ETHIOPIC_1367</t>
        </is>
      </c>
      <c r="JS54" t="inlineStr">
        <is>
          <t xml:space="preserve">?</t>
        </is>
      </c>
      <c r="JT54" t="inlineStr">
        <is>
          <t xml:space="preserve">ETHIOPIC_1367</t>
        </is>
      </c>
      <c r="KD54" t="inlineStr">
        <is>
          <t xml:space="preserve">ARABIC_ZAH</t>
        </is>
      </c>
      <c r="KE54" t="inlineStr">
        <is>
          <t xml:space="preserve">ARABIC_QMARK</t>
        </is>
      </c>
      <c r="KF54" t="inlineStr">
        <is>
          <t xml:space="preserve">ARABIC_ZAH</t>
        </is>
      </c>
      <c r="KH54" t="inlineStr">
        <is>
          <t xml:space="preserve">ARABIC_ZAH</t>
        </is>
      </c>
      <c r="KI54" t="inlineStr">
        <is>
          <t xml:space="preserve">ARABIC_QMARK</t>
        </is>
      </c>
      <c r="KJ54" t="inlineStr">
        <is>
          <t xml:space="preserve">ARABIC_ZAH</t>
        </is>
      </c>
      <c r="KL54" t="inlineStr">
        <is>
          <t xml:space="preserve">/</t>
        </is>
      </c>
      <c r="KM54" t="inlineStr">
        <is>
          <t xml:space="preserve">ARABIC_QMARK</t>
        </is>
      </c>
      <c r="KN54" t="inlineStr">
        <is>
          <t xml:space="preserve">/</t>
        </is>
      </c>
      <c r="KO54" t="inlineStr">
        <is>
          <t xml:space="preserve"/>
        </is>
      </c>
      <c r="LJ54" t="inlineStr">
        <is>
          <t xml:space="preserve">!</t>
        </is>
      </c>
      <c r="LK54" t="inlineStr">
        <is>
          <t xml:space="preserve">U"\f\f\f" SECTION</t>
        </is>
      </c>
      <c r="NV54" t="inlineStr">
        <is>
          <t xml:space="preserve">-</t>
        </is>
      </c>
      <c r="NW54" t="inlineStr">
        <is>
          <t xml:space="preserve">_</t>
        </is>
      </c>
      <c r="NX54" t="inlineStr">
        <is>
          <t xml:space="preserve">-</t>
        </is>
      </c>
      <c r="NZ54" t="inlineStr">
        <is>
          <t xml:space="preserve">EQUALS</t>
        </is>
      </c>
      <c r="OA54" t="inlineStr">
        <is>
          <t xml:space="preserve">+</t>
        </is>
      </c>
      <c r="OB54" t="inlineStr">
        <is>
          <t xml:space="preserve">EQUALS</t>
        </is>
      </c>
      <c r="OD54" t="inlineStr">
        <is>
          <t xml:space="preserve">-</t>
        </is>
      </c>
      <c r="OE54" t="inlineStr">
        <is>
          <t xml:space="preserve">_</t>
        </is>
      </c>
      <c r="OF54" t="inlineStr">
        <is>
          <t xml:space="preserve">-</t>
        </is>
      </c>
      <c r="OP54" t="inlineStr">
        <is>
          <t xml:space="preserve">-</t>
        </is>
      </c>
      <c r="OQ54" t="inlineStr">
        <is>
          <t xml:space="preserve">_</t>
        </is>
      </c>
      <c r="OR54" t="inlineStr">
        <is>
          <t xml:space="preserve">-</t>
        </is>
      </c>
      <c r="OX54" t="inlineStr">
        <is>
          <t xml:space="preserve">-</t>
        </is>
      </c>
      <c r="OY54" t="inlineStr">
        <is>
          <t xml:space="preserve">_</t>
        </is>
      </c>
      <c r="OZ54" t="inlineStr">
        <is>
          <t xml:space="preserve">-</t>
        </is>
      </c>
      <c r="PB54" t="inlineStr">
        <is>
          <t xml:space="preserve">ARABIC_ZAH</t>
        </is>
      </c>
      <c r="PC54" t="inlineStr">
        <is>
          <t xml:space="preserve">ARABIC_QMARK</t>
        </is>
      </c>
      <c r="PD54" t="inlineStr">
        <is>
          <t xml:space="preserve">ARABIC_ZAH</t>
        </is>
      </c>
      <c r="PF54" t="inlineStr">
        <is>
          <t xml:space="preserve">ARABIC_ZAH</t>
        </is>
      </c>
      <c r="PG54" t="inlineStr">
        <is>
          <t xml:space="preserve">ARABIC_QMARK</t>
        </is>
      </c>
      <c r="PH54" t="inlineStr">
        <is>
          <t xml:space="preserve">ARABIC_ZAH</t>
        </is>
      </c>
      <c r="PJ54" t="inlineStr">
        <is>
          <t xml:space="preserve">ARABIC_ZAH</t>
        </is>
      </c>
      <c r="PK54" t="inlineStr">
        <is>
          <t xml:space="preserve">ARABIC_QMARK</t>
        </is>
      </c>
      <c r="PL54" t="inlineStr">
        <is>
          <t xml:space="preserve">ARABIC_ZAH</t>
        </is>
      </c>
      <c r="PN54" t="inlineStr">
        <is>
          <t xml:space="preserve">ARABIC_ZAH</t>
        </is>
      </c>
      <c r="PO54" t="inlineStr">
        <is>
          <t xml:space="preserve">ARABIC_QMARK</t>
        </is>
      </c>
      <c r="PP54" t="inlineStr">
        <is>
          <t xml:space="preserve">ARABIC_ZAH</t>
        </is>
      </c>
      <c r="PR54" t="inlineStr">
        <is>
          <t xml:space="preserve">ARABIC_ZAH</t>
        </is>
      </c>
      <c r="PS54" t="inlineStr">
        <is>
          <t xml:space="preserve">ARABIC_QMARK</t>
        </is>
      </c>
      <c r="PT54" t="inlineStr">
        <is>
          <t xml:space="preserve">ARABIC_ZAH</t>
        </is>
      </c>
      <c r="PV54" t="inlineStr">
        <is>
          <t xml:space="preserve">ARABIC_ZAH</t>
        </is>
      </c>
      <c r="PW54" t="inlineStr">
        <is>
          <t xml:space="preserve">ARABIC_QMARK</t>
        </is>
      </c>
      <c r="PX54" t="inlineStr">
        <is>
          <t xml:space="preserve">ARABIC_ZAH</t>
        </is>
      </c>
      <c r="PZ54" t="inlineStr">
        <is>
          <t xml:space="preserve">ARABIC_ZAH</t>
        </is>
      </c>
      <c r="QA54" t="inlineStr">
        <is>
          <t xml:space="preserve">ARABIC_QMARK</t>
        </is>
      </c>
      <c r="QB54" t="inlineStr">
        <is>
          <t xml:space="preserve">ARABIC_ZAH</t>
        </is>
      </c>
      <c r="QD54" t="inlineStr">
        <is>
          <t xml:space="preserve">ARABIC_ZAH</t>
        </is>
      </c>
      <c r="QE54" t="inlineStr">
        <is>
          <t xml:space="preserve">ARABIC_QMARK</t>
        </is>
      </c>
      <c r="QF54" t="inlineStr">
        <is>
          <t xml:space="preserve">ARABIC_ZAH</t>
        </is>
      </c>
      <c r="QH54" t="inlineStr">
        <is>
          <t xml:space="preserve">ARABIC_ZAH</t>
        </is>
      </c>
      <c r="QI54" t="inlineStr">
        <is>
          <t xml:space="preserve">ARABIC_QMARK</t>
        </is>
      </c>
      <c r="QJ54" t="inlineStr">
        <is>
          <t xml:space="preserve">ARABIC_ZAH</t>
        </is>
      </c>
      <c r="QL54" t="inlineStr">
        <is>
          <t xml:space="preserve">ARABIC_ZAH</t>
        </is>
      </c>
      <c r="QM54" t="inlineStr">
        <is>
          <t xml:space="preserve">ARABIC_QMARK</t>
        </is>
      </c>
      <c r="QN54" t="inlineStr">
        <is>
          <t xml:space="preserve">ARABIC_ZAH</t>
        </is>
      </c>
      <c r="QP54" t="inlineStr">
        <is>
          <t xml:space="preserve">ARABIC_ZAH</t>
        </is>
      </c>
      <c r="QQ54" t="inlineStr">
        <is>
          <t xml:space="preserve">ARABIC_QMARK</t>
        </is>
      </c>
      <c r="QR54" t="inlineStr">
        <is>
          <t xml:space="preserve">ARABIC_ZAH</t>
        </is>
      </c>
      <c r="QT54" t="inlineStr">
        <is>
          <t xml:space="preserve">ARABIC_ZAH</t>
        </is>
      </c>
      <c r="QU54" t="inlineStr">
        <is>
          <t xml:space="preserve">ARABIC_QMARK</t>
        </is>
      </c>
      <c r="QV54" t="inlineStr">
        <is>
          <t xml:space="preserve">ARABIC_ZAH</t>
        </is>
      </c>
      <c r="QX54" t="inlineStr">
        <is>
          <t xml:space="preserve">ARABIC_ZAH</t>
        </is>
      </c>
      <c r="QY54" t="inlineStr">
        <is>
          <t xml:space="preserve">ARABIC_QMARK</t>
        </is>
      </c>
      <c r="QZ54" t="inlineStr">
        <is>
          <t xml:space="preserve">ARABIC_ZAH</t>
        </is>
      </c>
      <c r="RB54" t="inlineStr">
        <is>
          <t xml:space="preserve">ARABIC_ZAH</t>
        </is>
      </c>
      <c r="RC54" t="inlineStr">
        <is>
          <t xml:space="preserve">ARABIC_QMARK</t>
        </is>
      </c>
      <c r="RD54" t="inlineStr">
        <is>
          <t xml:space="preserve">ARABIC_ZAH</t>
        </is>
      </c>
      <c r="RF54" t="inlineStr">
        <is>
          <t xml:space="preserve">!</t>
        </is>
      </c>
      <c r="RG54" t="inlineStr">
        <is>
          <t xml:space="preserve">U"\f\f\f" SECTION</t>
        </is>
      </c>
      <c r="RJ54" t="inlineStr">
        <is>
          <t xml:space="preserve">!</t>
        </is>
      </c>
      <c r="RK54" t="inlineStr">
        <is>
          <t xml:space="preserve">U"\f\f\f" SECTION</t>
        </is>
      </c>
      <c r="RN54" t="inlineStr">
        <is>
          <t xml:space="preserve">!</t>
        </is>
      </c>
      <c r="RO54" t="inlineStr">
        <is>
          <t xml:space="preserve">U"\f\f\f" SECTION</t>
        </is>
      </c>
      <c r="RR54" t="inlineStr">
        <is>
          <t xml:space="preserve">!</t>
        </is>
      </c>
      <c r="RS54" t="inlineStr">
        <is>
          <t xml:space="preserve">U"\f\f\f" SECTION</t>
        </is>
      </c>
      <c r="RV54" t="inlineStr">
        <is>
          <t xml:space="preserve">!</t>
        </is>
      </c>
      <c r="RW54" t="inlineStr">
        <is>
          <t xml:space="preserve">U"\f\f\f" SECTION</t>
        </is>
      </c>
      <c r="SP54" t="inlineStr">
        <is>
          <t xml:space="preserve">-</t>
        </is>
      </c>
      <c r="SQ54" t="inlineStr">
        <is>
          <t xml:space="preserve">_</t>
        </is>
      </c>
      <c r="SR54" t="inlineStr">
        <is>
          <t xml:space="preserve">-</t>
        </is>
      </c>
      <c r="ST54" t="inlineStr">
        <is>
          <t xml:space="preserve">-</t>
        </is>
      </c>
      <c r="SU54" t="inlineStr">
        <is>
          <t xml:space="preserve">_</t>
        </is>
      </c>
      <c r="SV54" t="inlineStr">
        <is>
          <t xml:space="preserve">-</t>
        </is>
      </c>
      <c r="SX54" t="inlineStr">
        <is>
          <t xml:space="preserve">BENGALI_09AF</t>
        </is>
      </c>
      <c r="SY54" t="inlineStr">
        <is>
          <t xml:space="preserve">BENGALI_09DF</t>
        </is>
      </c>
      <c r="SZ54" t="inlineStr">
        <is>
          <t xml:space="preserve">BENGALI_09AF</t>
        </is>
      </c>
      <c r="TV54" t="inlineStr">
        <is>
          <t xml:space="preserve">.</t>
        </is>
      </c>
      <c r="TW54" t="inlineStr">
        <is>
          <t xml:space="preserve">COMMA</t>
        </is>
      </c>
      <c r="TX54" t="inlineStr">
        <is>
          <t xml:space="preserve">.</t>
        </is>
      </c>
      <c r="TZ54" t="inlineStr">
        <is>
          <t xml:space="preserve">.</t>
        </is>
      </c>
      <c r="UA54" t="inlineStr">
        <is>
          <t xml:space="preserve">COMMA</t>
        </is>
      </c>
      <c r="UB54" t="inlineStr">
        <is>
          <t xml:space="preserve">.</t>
        </is>
      </c>
      <c r="UT54" t="inlineStr">
        <is>
          <t xml:space="preserve">!</t>
        </is>
      </c>
      <c r="UU54" t="inlineStr">
        <is>
          <t xml:space="preserve">U"\f\f\f" SECTION</t>
        </is>
      </c>
      <c r="VB54" t="inlineStr">
        <is>
          <t xml:space="preserve">-</t>
        </is>
      </c>
      <c r="VC54" t="inlineStr">
        <is>
          <t xml:space="preserve">_</t>
        </is>
      </c>
      <c r="VD54" t="inlineStr">
        <is>
          <t xml:space="preserve">-</t>
        </is>
      </c>
      <c r="VE54" t="inlineStr">
        <is>
          <t xml:space="preserve">U"\f\f\f" INVERTED_QMARK</t>
        </is>
      </c>
      <c r="VF54" t="inlineStr">
        <is>
          <t xml:space="preserve">-</t>
        </is>
      </c>
      <c r="VG54" t="inlineStr">
        <is>
          <t xml:space="preserve">_</t>
        </is>
      </c>
      <c r="VH54" t="inlineStr">
        <is>
          <t xml:space="preserve">-</t>
        </is>
      </c>
      <c r="VJ54" t="inlineStr">
        <is>
          <t xml:space="preserve">-</t>
        </is>
      </c>
      <c r="VK54" t="inlineStr">
        <is>
          <t xml:space="preserve">_</t>
        </is>
      </c>
      <c r="VL54" t="inlineStr">
        <is>
          <t xml:space="preserve">-</t>
        </is>
      </c>
      <c r="VZ54" t="inlineStr">
        <is>
          <t xml:space="preserve">-</t>
        </is>
      </c>
      <c r="WA54" t="inlineStr">
        <is>
          <t xml:space="preserve">_</t>
        </is>
      </c>
      <c r="WB54" t="inlineStr">
        <is>
          <t xml:space="preserve">-</t>
        </is>
      </c>
      <c r="XB54" t="inlineStr">
        <is>
          <t xml:space="preserve">/</t>
        </is>
      </c>
      <c r="XC54" t="inlineStr">
        <is>
          <t xml:space="preserve">ARABIC_QMARK</t>
        </is>
      </c>
      <c r="XD54" t="inlineStr">
        <is>
          <t xml:space="preserve">/</t>
        </is>
      </c>
      <c r="XE54" t="inlineStr">
        <is>
          <t xml:space="preserve">ARABIC_06C9</t>
        </is>
      </c>
      <c r="XF54" t="inlineStr">
        <is>
          <t xml:space="preserve">UCAS_152D</t>
        </is>
      </c>
      <c r="XG54" t="inlineStr">
        <is>
          <t xml:space="preserve">UCAS_1559</t>
        </is>
      </c>
      <c r="XH54" t="inlineStr">
        <is>
          <t xml:space="preserve">UCAS_152D</t>
        </is>
      </c>
      <c r="XN54" t="inlineStr">
        <is>
          <t xml:space="preserve">CHEROKEE_13C2</t>
        </is>
      </c>
      <c r="XO54" t="inlineStr">
        <is>
          <t xml:space="preserve">CHEROKEE_13C9</t>
        </is>
      </c>
      <c r="XP54" t="inlineStr">
        <is>
          <t xml:space="preserve">CHEROKEE_13C2</t>
        </is>
      </c>
      <c r="XQ54" t="inlineStr">
        <is>
          <t xml:space="preserve">/</t>
        </is>
      </c>
    </row>
    <row r="55" s="172" customFormat="true" ht="15" hidden="false" customHeight="false" outlineLevel="0" collapsed="false">
      <c r="A55" s="141" t="s">
        <v>1352</v>
      </c>
      <c r="B55" s="142" t="s">
        <v>1181</v>
      </c>
      <c r="C55" s="142" t="s">
        <v>1223</v>
      </c>
      <c r="D55" s="142" t="s">
        <v>1181</v>
      </c>
      <c r="E55" s="142"/>
      <c r="F55" s="143" t="s">
        <v>1181</v>
      </c>
      <c r="G55" s="143" t="s">
        <v>1223</v>
      </c>
      <c r="H55" s="143"/>
      <c r="I55" s="143" t="s">
        <v>1224</v>
      </c>
      <c r="J55" s="144" t="s">
        <v>1181</v>
      </c>
      <c r="K55" s="144" t="s">
        <v>1223</v>
      </c>
      <c r="L55" s="144"/>
      <c r="M55" s="144" t="s">
        <v>1224</v>
      </c>
      <c r="N55" s="145"/>
      <c r="O55" s="145"/>
      <c r="P55" s="145"/>
      <c r="Q55" s="145"/>
      <c r="R55" s="146"/>
      <c r="S55" s="146"/>
      <c r="T55" s="146"/>
      <c r="U55" s="146"/>
      <c r="V55" s="147"/>
      <c r="W55" s="147"/>
      <c r="X55" s="147"/>
      <c r="Y55" s="147"/>
      <c r="Z55" s="148"/>
      <c r="AA55" s="148"/>
      <c r="AB55" s="148"/>
      <c r="AC55" s="148"/>
      <c r="AD55" s="149"/>
      <c r="AE55" s="149"/>
      <c r="AF55" s="149"/>
      <c r="AG55" s="149"/>
      <c r="AH55" s="150"/>
      <c r="AI55" s="150"/>
      <c r="AJ55" s="150"/>
      <c r="AK55" s="150"/>
      <c r="AL55" s="151" t="s">
        <v>16</v>
      </c>
      <c r="AM55" s="151" t="s">
        <v>1224</v>
      </c>
      <c r="AN55" s="151" t="s">
        <v>16</v>
      </c>
      <c r="AO55" s="151"/>
      <c r="AP55" s="152"/>
      <c r="AQ55" s="152"/>
      <c r="AR55" s="152"/>
      <c r="AS55" s="152"/>
      <c r="AT55" s="153" t="s">
        <v>416</v>
      </c>
      <c r="AU55" s="153" t="s">
        <v>415</v>
      </c>
      <c r="AV55" s="153"/>
      <c r="AW55" s="153"/>
      <c r="AX55" s="154" t="s">
        <v>16</v>
      </c>
      <c r="AY55" s="155" t="s">
        <v>1173</v>
      </c>
      <c r="AZ55" s="154"/>
      <c r="BA55" s="154"/>
      <c r="BB55" s="156" t="s">
        <v>16</v>
      </c>
      <c r="BC55" s="157" t="s">
        <v>1173</v>
      </c>
      <c r="BD55" s="156"/>
      <c r="BE55" s="156"/>
      <c r="BF55" s="158" t="s">
        <v>16</v>
      </c>
      <c r="BG55" s="159" t="s">
        <v>1224</v>
      </c>
      <c r="BH55" s="158"/>
      <c r="BI55" s="158"/>
      <c r="BJ55" s="160" t="s">
        <v>408</v>
      </c>
      <c r="BK55" t="inlineStr">
        <is>
          <t xml:space="preserve">CYRILLIC_I_W_GRAVE</t>
        </is>
      </c>
      <c r="BL55" s="160"/>
      <c r="BM55" s="160"/>
      <c r="BN55" s="143"/>
      <c r="BO55" s="143"/>
      <c r="BP55" s="143"/>
      <c r="BQ55" s="143"/>
      <c r="BR55" s="162" t="s">
        <v>16</v>
      </c>
      <c r="BS55" s="162" t="s">
        <v>1224</v>
      </c>
      <c r="BT55" s="162" t="s">
        <v>16</v>
      </c>
      <c r="BU55" s="162"/>
      <c r="BZ55" s="164" t="s">
        <v>1145</v>
      </c>
      <c r="CA55" s="164" t="s">
        <v>1154</v>
      </c>
      <c r="CB55" s="164" t="s">
        <v>1145</v>
      </c>
      <c r="CC55" t="inlineStr">
        <is>
          <t xml:space="preserve">U"\f\f\f" BROKEN_BAR</t>
        </is>
      </c>
      <c r="CD55" s="143" t="s">
        <v>16</v>
      </c>
      <c r="CE55" s="143" t="s">
        <v>1224</v>
      </c>
      <c r="CF55" s="143"/>
      <c r="CG55" s="143"/>
      <c r="CH55" s="166" t="s">
        <v>1181</v>
      </c>
      <c r="CI55" s="166" t="s">
        <v>1223</v>
      </c>
      <c r="CJ55" s="166" t="s">
        <v>1181</v>
      </c>
      <c r="CK55" s="166" t="s">
        <v>1224</v>
      </c>
      <c r="CL55" s="167" t="s">
        <v>1181</v>
      </c>
      <c r="CM55" s="167" t="s">
        <v>1223</v>
      </c>
      <c r="CN55" s="167" t="s">
        <v>1181</v>
      </c>
      <c r="CO55" s="167" t="s">
        <v>1224</v>
      </c>
      <c r="CP55" s="163" t="s">
        <v>1222</v>
      </c>
      <c r="CQ55" s="163" t="s">
        <v>1272</v>
      </c>
      <c r="CR55" s="163" t="s">
        <v>1222</v>
      </c>
      <c r="CS55" s="163"/>
      <c r="CT55" s="162" t="s">
        <v>1181</v>
      </c>
      <c r="CU55" s="162" t="s">
        <v>1223</v>
      </c>
      <c r="CV55" s="162" t="s">
        <v>1181</v>
      </c>
      <c r="CW55" s="162" t="s">
        <v>16</v>
      </c>
      <c r="CX55" t="inlineStr">
        <is>
          <t xml:space="preserve">U"\f\f" I_WITH_ACUTE_SMALL</t>
        </is>
      </c>
      <c r="CY55" t="inlineStr">
        <is>
          <t xml:space="preserve">I_WITH_ACUTE</t>
        </is>
      </c>
      <c r="CZ55" s="168" t="s">
        <v>151</v>
      </c>
      <c r="DA55" s="169" t="s">
        <v>51</v>
      </c>
      <c r="DB55" s="170" t="s">
        <v>16</v>
      </c>
      <c r="DC55" s="170" t="s">
        <v>1224</v>
      </c>
      <c r="DD55" s="170" t="s">
        <v>16</v>
      </c>
      <c r="DE55" s="171"/>
      <c r="DF55" t="inlineStr">
        <is>
          <t xml:space="preserve">&lt;</t>
        </is>
      </c>
      <c r="DG55" t="inlineStr">
        <is>
          <t xml:space="preserve">&gt;</t>
        </is>
      </c>
      <c r="DH55" t="inlineStr">
        <is>
          <t xml:space="preserve">&lt;</t>
        </is>
      </c>
      <c r="DI55" t="inlineStr">
        <is>
          <t xml:space="preserve">|</t>
        </is>
      </c>
      <c r="DJ55" t="inlineStr">
        <is>
          <t xml:space="preserve">&lt;</t>
        </is>
      </c>
      <c r="DK55" t="inlineStr">
        <is>
          <t xml:space="preserve">&gt;</t>
        </is>
      </c>
      <c r="DL55" t="inlineStr">
        <is>
          <t xml:space="preserve">&lt;</t>
        </is>
      </c>
      <c r="DV55" t="inlineStr">
        <is>
          <t xml:space="preserve">&lt;</t>
        </is>
      </c>
      <c r="DW55" t="inlineStr">
        <is>
          <t xml:space="preserve">&gt;</t>
        </is>
      </c>
      <c r="DX55" t="inlineStr">
        <is>
          <t xml:space="preserve">&lt;</t>
        </is>
      </c>
      <c r="DY55" t="inlineStr">
        <is>
          <t xml:space="preserve">|</t>
        </is>
      </c>
      <c r="ED55" t="inlineStr">
        <is>
          <t xml:space="preserve">&lt;</t>
        </is>
      </c>
      <c r="EE55" t="inlineStr">
        <is>
          <t xml:space="preserve">&gt;</t>
        </is>
      </c>
      <c r="EF55" t="inlineStr">
        <is>
          <t xml:space="preserve">&lt;</t>
        </is>
      </c>
      <c r="EH55" t="inlineStr">
        <is>
          <t xml:space="preserve">&lt;</t>
        </is>
      </c>
      <c r="EI55" t="inlineStr">
        <is>
          <t xml:space="preserve">&gt;</t>
        </is>
      </c>
      <c r="EJ55" t="inlineStr">
        <is>
          <t xml:space="preserve">&lt;</t>
        </is>
      </c>
      <c r="FB55" t="inlineStr">
        <is>
          <t xml:space="preserve">(</t>
        </is>
      </c>
      <c r="FC55" t="inlineStr">
        <is>
          <t xml:space="preserve">)</t>
        </is>
      </c>
      <c r="FD55" t="inlineStr">
        <is>
          <t xml:space="preserve">(</t>
        </is>
      </c>
      <c r="FJ55" t="inlineStr">
        <is>
          <t xml:space="preserve">BACKSLASH</t>
        </is>
      </c>
      <c r="FK55" t="inlineStr">
        <is>
          <t xml:space="preserve">|</t>
        </is>
      </c>
      <c r="FL55" t="inlineStr">
        <is>
          <t xml:space="preserve">BACKSLASH</t>
        </is>
      </c>
      <c r="FN55" t="inlineStr">
        <is>
          <t xml:space="preserve">&lt;</t>
        </is>
      </c>
      <c r="FO55" t="inlineStr">
        <is>
          <t xml:space="preserve">&gt;</t>
        </is>
      </c>
      <c r="FP55" t="inlineStr">
        <is>
          <t xml:space="preserve">&lt;</t>
        </is>
      </c>
      <c r="FQ55" t="inlineStr">
        <is>
          <t xml:space="preserve">BACKSLASH</t>
        </is>
      </c>
      <c r="FR55" t="inlineStr">
        <is>
          <t xml:space="preserve">&lt;</t>
        </is>
      </c>
      <c r="FS55" t="inlineStr">
        <is>
          <t xml:space="preserve">&gt;</t>
        </is>
      </c>
      <c r="FT55" t="inlineStr">
        <is>
          <t xml:space="preserve">&lt;</t>
        </is>
      </c>
      <c r="FU55" t="inlineStr">
        <is>
          <t xml:space="preserve">BACKSLASH</t>
        </is>
      </c>
      <c r="FV55" t="inlineStr">
        <is>
          <t xml:space="preserve">&lt;</t>
        </is>
      </c>
      <c r="FW55" t="inlineStr">
        <is>
          <t xml:space="preserve">&gt;</t>
        </is>
      </c>
      <c r="FX55" t="inlineStr">
        <is>
          <t xml:space="preserve">&lt;</t>
        </is>
      </c>
      <c r="FY55" t="inlineStr">
        <is>
          <t xml:space="preserve">BACKSLASH</t>
        </is>
      </c>
      <c r="FZ55" t="inlineStr">
        <is>
          <t xml:space="preserve">DBL_ANGLE_QMARK_L</t>
        </is>
      </c>
      <c r="GA55" t="inlineStr">
        <is>
          <t xml:space="preserve">DBL_ANGLE_QMARK_R</t>
        </is>
      </c>
      <c r="GB55" t="inlineStr">
        <is>
          <t xml:space="preserve">DBL_ANGLE_QMARK_L</t>
        </is>
      </c>
      <c r="GC55" t="inlineStr">
        <is>
          <t xml:space="preserve">DEGREE</t>
        </is>
      </c>
      <c r="HB55" t="inlineStr">
        <is>
          <t xml:space="preserve">?</t>
        </is>
      </c>
      <c r="HC55" t="inlineStr">
        <is>
          <t xml:space="preserve">ARMENIAN_058A</t>
        </is>
      </c>
      <c r="HD55" t="inlineStr">
        <is>
          <t xml:space="preserve">?</t>
        </is>
      </c>
      <c r="HV55" t="inlineStr">
        <is>
          <t xml:space="preserve">CJK_IDEOG_COMMA</t>
        </is>
      </c>
      <c r="HW55" t="inlineStr">
        <is>
          <t xml:space="preserve">KANGXI_RADICAL_ONE</t>
        </is>
      </c>
      <c r="HX55" t="inlineStr">
        <is>
          <t xml:space="preserve">CJK_IDEOG_COMMA</t>
        </is>
      </c>
      <c r="JJ55" t="inlineStr">
        <is>
          <t xml:space="preserve">BACKSLASH</t>
        </is>
      </c>
      <c r="JK55" t="inlineStr">
        <is>
          <t xml:space="preserve">|</t>
        </is>
      </c>
      <c r="JL55" t="inlineStr">
        <is>
          <t xml:space="preserve">BACKSLASH</t>
        </is>
      </c>
      <c r="KD55" t="inlineStr">
        <is>
          <t xml:space="preserve">BACKSLASH</t>
        </is>
      </c>
      <c r="KE55" t="inlineStr">
        <is>
          <t xml:space="preserve">|</t>
        </is>
      </c>
      <c r="KF55" t="inlineStr">
        <is>
          <t xml:space="preserve">BACKSLASH</t>
        </is>
      </c>
      <c r="KH55" t="inlineStr">
        <is>
          <t xml:space="preserve">BACKSLASH</t>
        </is>
      </c>
      <c r="KI55" t="inlineStr">
        <is>
          <t xml:space="preserve">|</t>
        </is>
      </c>
      <c r="KJ55" t="inlineStr">
        <is>
          <t xml:space="preserve">BACKSLASH</t>
        </is>
      </c>
      <c r="LB55" t="inlineStr">
        <is>
          <t xml:space="preserve">&lt;</t>
        </is>
      </c>
      <c r="LC55" t="inlineStr">
        <is>
          <t xml:space="preserve">&gt;</t>
        </is>
      </c>
      <c r="LD55" t="inlineStr">
        <is>
          <t xml:space="preserve">&lt;</t>
        </is>
      </c>
      <c r="LE55" t="inlineStr">
        <is>
          <t xml:space="preserve">BACKSLASH</t>
        </is>
      </c>
      <c r="LJ55" t="inlineStr">
        <is>
          <t xml:space="preserve">&lt;</t>
        </is>
      </c>
      <c r="LK55" t="inlineStr">
        <is>
          <t xml:space="preserve">&gt;</t>
        </is>
      </c>
      <c r="LM55" t="inlineStr">
        <is>
          <t xml:space="preserve">|</t>
        </is>
      </c>
      <c r="LN55" t="inlineStr">
        <is>
          <t xml:space="preserve">&lt;</t>
        </is>
      </c>
      <c r="LO55" t="inlineStr">
        <is>
          <t xml:space="preserve">&gt;</t>
        </is>
      </c>
      <c r="LP55" t="inlineStr">
        <is>
          <t xml:space="preserve">&lt;</t>
        </is>
      </c>
      <c r="LQ55" t="inlineStr">
        <is>
          <t xml:space="preserve">BACKSLASH</t>
        </is>
      </c>
      <c r="LR55" t="inlineStr">
        <is>
          <t xml:space="preserve">&lt;</t>
        </is>
      </c>
      <c r="LS55" t="inlineStr">
        <is>
          <t xml:space="preserve">&gt;</t>
        </is>
      </c>
      <c r="LT55" t="inlineStr">
        <is>
          <t xml:space="preserve">&lt;</t>
        </is>
      </c>
      <c r="LU55" t="inlineStr">
        <is>
          <t xml:space="preserve">BACKSLASH</t>
        </is>
      </c>
      <c r="LV55" t="inlineStr">
        <is>
          <t xml:space="preserve">&lt;</t>
        </is>
      </c>
      <c r="LW55" t="inlineStr">
        <is>
          <t xml:space="preserve">&gt;</t>
        </is>
      </c>
      <c r="LX55" t="inlineStr">
        <is>
          <t xml:space="preserve">&lt;</t>
        </is>
      </c>
      <c r="LY55" t="inlineStr">
        <is>
          <t xml:space="preserve">BACKSLASH</t>
        </is>
      </c>
      <c r="LZ55" t="inlineStr">
        <is>
          <t xml:space="preserve">&lt;</t>
        </is>
      </c>
      <c r="MA55" t="inlineStr">
        <is>
          <t xml:space="preserve">&gt;</t>
        </is>
      </c>
      <c r="MB55" t="inlineStr">
        <is>
          <t xml:space="preserve">&lt;</t>
        </is>
      </c>
      <c r="MC55" t="inlineStr">
        <is>
          <t xml:space="preserve">BACKSLASH</t>
        </is>
      </c>
      <c r="MD55" t="inlineStr">
        <is>
          <t xml:space="preserve">&lt;</t>
        </is>
      </c>
      <c r="ME55" t="inlineStr">
        <is>
          <t xml:space="preserve">&gt;</t>
        </is>
      </c>
      <c r="MF55" t="inlineStr">
        <is>
          <t xml:space="preserve">&lt;</t>
        </is>
      </c>
      <c r="MG55" t="inlineStr">
        <is>
          <t xml:space="preserve">BACKSLASH</t>
        </is>
      </c>
      <c r="MH55" t="inlineStr">
        <is>
          <t xml:space="preserve">&lt;</t>
        </is>
      </c>
      <c r="MI55" t="inlineStr">
        <is>
          <t xml:space="preserve">&gt;</t>
        </is>
      </c>
      <c r="MJ55" t="inlineStr">
        <is>
          <t xml:space="preserve">&lt;</t>
        </is>
      </c>
      <c r="MK55" t="inlineStr">
        <is>
          <t xml:space="preserve">BACKSLASH</t>
        </is>
      </c>
      <c r="ML55" t="inlineStr">
        <is>
          <t xml:space="preserve">&lt;</t>
        </is>
      </c>
      <c r="MM55" t="inlineStr">
        <is>
          <t xml:space="preserve">&gt;</t>
        </is>
      </c>
      <c r="MN55" t="inlineStr">
        <is>
          <t xml:space="preserve">&lt;</t>
        </is>
      </c>
      <c r="MO55" t="inlineStr">
        <is>
          <t xml:space="preserve">BACKSLASH</t>
        </is>
      </c>
      <c r="MP55" t="inlineStr">
        <is>
          <t xml:space="preserve">&lt;</t>
        </is>
      </c>
      <c r="MQ55" t="inlineStr">
        <is>
          <t xml:space="preserve">&gt;</t>
        </is>
      </c>
      <c r="MR55" t="inlineStr">
        <is>
          <t xml:space="preserve">&lt;</t>
        </is>
      </c>
      <c r="MS55" t="inlineStr">
        <is>
          <t xml:space="preserve">BACKSLASH</t>
        </is>
      </c>
      <c r="MT55" t="inlineStr">
        <is>
          <t xml:space="preserve">&lt;</t>
        </is>
      </c>
      <c r="MU55" t="inlineStr">
        <is>
          <t xml:space="preserve">&gt;</t>
        </is>
      </c>
      <c r="MV55" t="inlineStr">
        <is>
          <t xml:space="preserve">&lt;</t>
        </is>
      </c>
      <c r="MW55" t="inlineStr">
        <is>
          <t xml:space="preserve">BACKSLASH</t>
        </is>
      </c>
      <c r="MX55" t="inlineStr">
        <is>
          <t xml:space="preserve">&lt;</t>
        </is>
      </c>
      <c r="MY55" t="inlineStr">
        <is>
          <t xml:space="preserve">&gt;</t>
        </is>
      </c>
      <c r="MZ55" t="inlineStr">
        <is>
          <t xml:space="preserve">&lt;</t>
        </is>
      </c>
      <c r="NA55" t="inlineStr">
        <is>
          <t xml:space="preserve">BACKSLASH</t>
        </is>
      </c>
      <c r="NB55" t="inlineStr">
        <is>
          <t xml:space="preserve">&lt;</t>
        </is>
      </c>
      <c r="NC55" t="inlineStr">
        <is>
          <t xml:space="preserve">&gt;</t>
        </is>
      </c>
      <c r="ND55" t="inlineStr">
        <is>
          <t xml:space="preserve">&lt;</t>
        </is>
      </c>
      <c r="NE55" t="inlineStr">
        <is>
          <t xml:space="preserve">BACKSLASH</t>
        </is>
      </c>
      <c r="NF55" t="inlineStr">
        <is>
          <t xml:space="preserve">&lt;</t>
        </is>
      </c>
      <c r="NG55" t="inlineStr">
        <is>
          <t xml:space="preserve">&gt;</t>
        </is>
      </c>
      <c r="NH55" t="inlineStr">
        <is>
          <t xml:space="preserve">&lt;</t>
        </is>
      </c>
      <c r="NI55" t="inlineStr">
        <is>
          <t xml:space="preserve">BACKSLASH</t>
        </is>
      </c>
      <c r="NJ55" t="inlineStr">
        <is>
          <t xml:space="preserve">&lt;</t>
        </is>
      </c>
      <c r="NK55" t="inlineStr">
        <is>
          <t xml:space="preserve">&gt;</t>
        </is>
      </c>
      <c r="NL55" t="inlineStr">
        <is>
          <t xml:space="preserve">&lt;</t>
        </is>
      </c>
      <c r="NM55" t="inlineStr">
        <is>
          <t xml:space="preserve">BACKSLASH</t>
        </is>
      </c>
      <c r="NN55" t="inlineStr">
        <is>
          <t xml:space="preserve">&lt;</t>
        </is>
      </c>
      <c r="NO55" t="inlineStr">
        <is>
          <t xml:space="preserve">&gt;</t>
        </is>
      </c>
      <c r="NP55" t="inlineStr">
        <is>
          <t xml:space="preserve">&lt;</t>
        </is>
      </c>
      <c r="NQ55" t="inlineStr">
        <is>
          <t xml:space="preserve">BACKSLASH</t>
        </is>
      </c>
      <c r="NR55" t="inlineStr">
        <is>
          <t xml:space="preserve">&lt;</t>
        </is>
      </c>
      <c r="NS55" t="inlineStr">
        <is>
          <t xml:space="preserve">&gt;</t>
        </is>
      </c>
      <c r="NT55" t="inlineStr">
        <is>
          <t xml:space="preserve">&lt;</t>
        </is>
      </c>
      <c r="NU55" t="inlineStr">
        <is>
          <t xml:space="preserve">BACKSLASH</t>
        </is>
      </c>
      <c r="NV55" t="inlineStr">
        <is>
          <t xml:space="preserve">&lt;</t>
        </is>
      </c>
      <c r="NW55" t="inlineStr">
        <is>
          <t xml:space="preserve">&gt;</t>
        </is>
      </c>
      <c r="NY55" t="inlineStr">
        <is>
          <t xml:space="preserve">|</t>
        </is>
      </c>
      <c r="NZ55" t="inlineStr">
        <is>
          <t xml:space="preserve">&lt;</t>
        </is>
      </c>
      <c r="OA55" t="inlineStr">
        <is>
          <t xml:space="preserve">&gt;</t>
        </is>
      </c>
      <c r="OB55" t="inlineStr">
        <is>
          <t xml:space="preserve">&lt;</t>
        </is>
      </c>
      <c r="OC55" t="inlineStr">
        <is>
          <t xml:space="preserve">BACKSLASH</t>
        </is>
      </c>
      <c r="OH55" t="inlineStr">
        <is>
          <t xml:space="preserve">BACKSLASH</t>
        </is>
      </c>
      <c r="OI55" t="inlineStr">
        <is>
          <t xml:space="preserve">|</t>
        </is>
      </c>
      <c r="OJ55" t="inlineStr">
        <is>
          <t xml:space="preserve">BACKSLASH</t>
        </is>
      </c>
      <c r="OL55" t="inlineStr">
        <is>
          <t xml:space="preserve">&lt;</t>
        </is>
      </c>
      <c r="OM55" t="inlineStr">
        <is>
          <t xml:space="preserve">&gt;</t>
        </is>
      </c>
      <c r="ON55" t="inlineStr">
        <is>
          <t xml:space="preserve">&lt;</t>
        </is>
      </c>
      <c r="OO55" t="inlineStr">
        <is>
          <t xml:space="preserve">|</t>
        </is>
      </c>
      <c r="OP55" t="inlineStr">
        <is>
          <t xml:space="preserve">&lt;</t>
        </is>
      </c>
      <c r="OQ55" t="inlineStr">
        <is>
          <t xml:space="preserve">&gt;</t>
        </is>
      </c>
      <c r="OR55" t="inlineStr">
        <is>
          <t xml:space="preserve">&lt;</t>
        </is>
      </c>
      <c r="OS55" t="inlineStr">
        <is>
          <t xml:space="preserve">BACKSLASH</t>
        </is>
      </c>
      <c r="OT55" t="inlineStr">
        <is>
          <t xml:space="preserve">&lt;</t>
        </is>
      </c>
      <c r="OU55" t="inlineStr">
        <is>
          <t xml:space="preserve">&gt;</t>
        </is>
      </c>
      <c r="OV55" t="inlineStr">
        <is>
          <t xml:space="preserve">&lt;</t>
        </is>
      </c>
      <c r="OW55" t="inlineStr">
        <is>
          <t xml:space="preserve">|</t>
        </is>
      </c>
      <c r="OX55" t="inlineStr">
        <is>
          <t xml:space="preserve">&lt;</t>
        </is>
      </c>
      <c r="OY55" t="inlineStr">
        <is>
          <t xml:space="preserve">&gt;</t>
        </is>
      </c>
      <c r="OZ55" t="inlineStr">
        <is>
          <t xml:space="preserve">&lt;</t>
        </is>
      </c>
      <c r="PA55" t="inlineStr">
        <is>
          <t xml:space="preserve">BACKSLASH</t>
        </is>
      </c>
      <c r="PB55" t="inlineStr">
        <is>
          <t xml:space="preserve">BACKSLASH</t>
        </is>
      </c>
      <c r="PC55" t="inlineStr">
        <is>
          <t xml:space="preserve">|</t>
        </is>
      </c>
      <c r="PD55" t="inlineStr">
        <is>
          <t xml:space="preserve">BACKSLASH</t>
        </is>
      </c>
      <c r="PF55" t="inlineStr">
        <is>
          <t xml:space="preserve">BACKSLASH</t>
        </is>
      </c>
      <c r="PG55" t="inlineStr">
        <is>
          <t xml:space="preserve">|</t>
        </is>
      </c>
      <c r="PH55" t="inlineStr">
        <is>
          <t xml:space="preserve">BACKSLASH</t>
        </is>
      </c>
      <c r="PJ55" t="inlineStr">
        <is>
          <t xml:space="preserve">BACKSLASH</t>
        </is>
      </c>
      <c r="PK55" t="inlineStr">
        <is>
          <t xml:space="preserve">|</t>
        </is>
      </c>
      <c r="PL55" t="inlineStr">
        <is>
          <t xml:space="preserve">BACKSLASH</t>
        </is>
      </c>
      <c r="PN55" t="inlineStr">
        <is>
          <t xml:space="preserve">BACKSLASH</t>
        </is>
      </c>
      <c r="PO55" t="inlineStr">
        <is>
          <t xml:space="preserve">|</t>
        </is>
      </c>
      <c r="PP55" t="inlineStr">
        <is>
          <t xml:space="preserve">BACKSLASH</t>
        </is>
      </c>
      <c r="PR55" t="inlineStr">
        <is>
          <t xml:space="preserve">BACKSLASH</t>
        </is>
      </c>
      <c r="PS55" t="inlineStr">
        <is>
          <t xml:space="preserve">|</t>
        </is>
      </c>
      <c r="PT55" t="inlineStr">
        <is>
          <t xml:space="preserve">BACKSLASH</t>
        </is>
      </c>
      <c r="PV55" t="inlineStr">
        <is>
          <t xml:space="preserve">BACKSLASH</t>
        </is>
      </c>
      <c r="PW55" t="inlineStr">
        <is>
          <t xml:space="preserve">|</t>
        </is>
      </c>
      <c r="PX55" t="inlineStr">
        <is>
          <t xml:space="preserve">BACKSLASH</t>
        </is>
      </c>
      <c r="PZ55" t="inlineStr">
        <is>
          <t xml:space="preserve">BACKSLASH</t>
        </is>
      </c>
      <c r="QA55" t="inlineStr">
        <is>
          <t xml:space="preserve">|</t>
        </is>
      </c>
      <c r="QB55" t="inlineStr">
        <is>
          <t xml:space="preserve">BACKSLASH</t>
        </is>
      </c>
      <c r="QD55" t="inlineStr">
        <is>
          <t xml:space="preserve">BACKSLASH</t>
        </is>
      </c>
      <c r="QE55" t="inlineStr">
        <is>
          <t xml:space="preserve">|</t>
        </is>
      </c>
      <c r="QF55" t="inlineStr">
        <is>
          <t xml:space="preserve">BACKSLASH</t>
        </is>
      </c>
      <c r="QH55" t="inlineStr">
        <is>
          <t xml:space="preserve">BACKSLASH</t>
        </is>
      </c>
      <c r="QI55" t="inlineStr">
        <is>
          <t xml:space="preserve">|</t>
        </is>
      </c>
      <c r="QJ55" t="inlineStr">
        <is>
          <t xml:space="preserve">BACKSLASH</t>
        </is>
      </c>
      <c r="QL55" t="inlineStr">
        <is>
          <t xml:space="preserve">BACKSLASH</t>
        </is>
      </c>
      <c r="QM55" t="inlineStr">
        <is>
          <t xml:space="preserve">|</t>
        </is>
      </c>
      <c r="QN55" t="inlineStr">
        <is>
          <t xml:space="preserve">BACKSLASH</t>
        </is>
      </c>
      <c r="QP55" t="inlineStr">
        <is>
          <t xml:space="preserve">BACKSLASH</t>
        </is>
      </c>
      <c r="QQ55" t="inlineStr">
        <is>
          <t xml:space="preserve">|</t>
        </is>
      </c>
      <c r="QR55" t="inlineStr">
        <is>
          <t xml:space="preserve">BACKSLASH</t>
        </is>
      </c>
      <c r="QT55" t="inlineStr">
        <is>
          <t xml:space="preserve">BACKSLASH</t>
        </is>
      </c>
      <c r="QU55" t="inlineStr">
        <is>
          <t xml:space="preserve">|</t>
        </is>
      </c>
      <c r="QV55" t="inlineStr">
        <is>
          <t xml:space="preserve">BACKSLASH</t>
        </is>
      </c>
      <c r="QX55" t="inlineStr">
        <is>
          <t xml:space="preserve">BACKSLASH</t>
        </is>
      </c>
      <c r="QY55" t="inlineStr">
        <is>
          <t xml:space="preserve">|</t>
        </is>
      </c>
      <c r="QZ55" t="inlineStr">
        <is>
          <t xml:space="preserve">BACKSLASH</t>
        </is>
      </c>
      <c r="RB55" t="inlineStr">
        <is>
          <t xml:space="preserve">BACKSLASH</t>
        </is>
      </c>
      <c r="RC55" t="inlineStr">
        <is>
          <t xml:space="preserve">|</t>
        </is>
      </c>
      <c r="RD55" t="inlineStr">
        <is>
          <t xml:space="preserve">BACKSLASH</t>
        </is>
      </c>
      <c r="RF55" t="inlineStr">
        <is>
          <t xml:space="preserve">&lt;</t>
        </is>
      </c>
      <c r="RG55" t="inlineStr">
        <is>
          <t xml:space="preserve">&gt;</t>
        </is>
      </c>
      <c r="RI55" t="inlineStr">
        <is>
          <t xml:space="preserve">|</t>
        </is>
      </c>
      <c r="RJ55" t="inlineStr">
        <is>
          <t xml:space="preserve">&lt;</t>
        </is>
      </c>
      <c r="RK55" t="inlineStr">
        <is>
          <t xml:space="preserve">&gt;</t>
        </is>
      </c>
      <c r="RM55" t="inlineStr">
        <is>
          <t xml:space="preserve">|</t>
        </is>
      </c>
      <c r="RN55" t="inlineStr">
        <is>
          <t xml:space="preserve">&lt;</t>
        </is>
      </c>
      <c r="RO55" t="inlineStr">
        <is>
          <t xml:space="preserve">&gt;</t>
        </is>
      </c>
      <c r="RQ55" t="inlineStr">
        <is>
          <t xml:space="preserve">|</t>
        </is>
      </c>
      <c r="RR55" t="inlineStr">
        <is>
          <t xml:space="preserve">&lt;</t>
        </is>
      </c>
      <c r="RS55" t="inlineStr">
        <is>
          <t xml:space="preserve">&gt;</t>
        </is>
      </c>
      <c r="RU55" t="inlineStr">
        <is>
          <t xml:space="preserve">|</t>
        </is>
      </c>
      <c r="RV55" t="inlineStr">
        <is>
          <t xml:space="preserve">&lt;</t>
        </is>
      </c>
      <c r="RW55" t="inlineStr">
        <is>
          <t xml:space="preserve">&gt;</t>
        </is>
      </c>
      <c r="RY55" t="inlineStr">
        <is>
          <t xml:space="preserve">|</t>
        </is>
      </c>
      <c r="TV55" t="inlineStr">
        <is>
          <t xml:space="preserve">BACKSLASH</t>
        </is>
      </c>
      <c r="TW55" t="inlineStr">
        <is>
          <t xml:space="preserve">/</t>
        </is>
      </c>
      <c r="TZ55" t="inlineStr">
        <is>
          <t xml:space="preserve">BACKSLASH</t>
        </is>
      </c>
      <c r="UA55" t="inlineStr">
        <is>
          <t xml:space="preserve">/</t>
        </is>
      </c>
      <c r="UT55" t="inlineStr">
        <is>
          <t xml:space="preserve">&lt;</t>
        </is>
      </c>
      <c r="UU55" t="inlineStr">
        <is>
          <t xml:space="preserve">&gt;</t>
        </is>
      </c>
      <c r="UW55" t="inlineStr">
        <is>
          <t xml:space="preserve">|</t>
        </is>
      </c>
      <c r="VJ55" t="inlineStr">
        <is>
          <t xml:space="preserve">&lt;</t>
        </is>
      </c>
      <c r="VK55" t="inlineStr">
        <is>
          <t xml:space="preserve">&gt;</t>
        </is>
      </c>
      <c r="VL55" t="inlineStr">
        <is>
          <t xml:space="preserve">&lt;</t>
        </is>
      </c>
      <c r="VM55" t="inlineStr">
        <is>
          <t xml:space="preserve">BACKSLASH</t>
        </is>
      </c>
      <c r="VN55" t="inlineStr">
        <is>
          <t xml:space="preserve">BACKSLASH</t>
        </is>
      </c>
      <c r="VO55" t="inlineStr">
        <is>
          <t xml:space="preserve">|</t>
        </is>
      </c>
      <c r="VP55" t="inlineStr">
        <is>
          <t xml:space="preserve">BACKSLASH</t>
        </is>
      </c>
      <c r="VR55" t="inlineStr">
        <is>
          <t xml:space="preserve">BACKSLASH</t>
        </is>
      </c>
      <c r="VS55" t="inlineStr">
        <is>
          <t xml:space="preserve">|</t>
        </is>
      </c>
      <c r="VT55" t="inlineStr">
        <is>
          <t xml:space="preserve">BACKSLASH</t>
        </is>
      </c>
      <c r="VV55" t="inlineStr">
        <is>
          <t xml:space="preserve">U"\f\f" LATIN_017C</t>
        </is>
      </c>
      <c r="VW55" t="inlineStr">
        <is>
          <t xml:space="preserve">LATIN_017B</t>
        </is>
      </c>
      <c r="VY55" t="inlineStr">
        <is>
          <t xml:space="preserve">BACKSLASH</t>
        </is>
      </c>
      <c r="VZ55" t="inlineStr">
        <is>
          <t xml:space="preserve">&lt;</t>
        </is>
      </c>
      <c r="WA55" t="inlineStr">
        <is>
          <t xml:space="preserve">&gt;</t>
        </is>
      </c>
      <c r="WB55" t="inlineStr">
        <is>
          <t xml:space="preserve">&lt;</t>
        </is>
      </c>
      <c r="WC55" t="inlineStr">
        <is>
          <t xml:space="preserve">BACKSLASH</t>
        </is>
      </c>
      <c r="WD55" t="inlineStr">
        <is>
          <t xml:space="preserve">U"\f\f\f" LATIN_017E</t>
        </is>
      </c>
      <c r="WE55" t="inlineStr">
        <is>
          <t xml:space="preserve">LATIN_017D</t>
        </is>
      </c>
      <c r="WG55" t="inlineStr">
        <is>
          <t xml:space="preserve">U"\f\f\f\f" LATIN_01EF</t>
        </is>
      </c>
      <c r="WH55" t="inlineStr">
        <is>
          <t xml:space="preserve">&lt;</t>
        </is>
      </c>
      <c r="WI55" t="inlineStr">
        <is>
          <t xml:space="preserve">&gt;</t>
        </is>
      </c>
      <c r="WJ55" t="inlineStr">
        <is>
          <t xml:space="preserve">&lt;</t>
        </is>
      </c>
      <c r="WK55" t="inlineStr">
        <is>
          <t xml:space="preserve">BACKSLASH</t>
        </is>
      </c>
      <c r="WL55" t="inlineStr">
        <is>
          <t xml:space="preserve">&lt;</t>
        </is>
      </c>
      <c r="WM55" t="inlineStr">
        <is>
          <t xml:space="preserve">&gt;</t>
        </is>
      </c>
      <c r="WN55" t="inlineStr">
        <is>
          <t xml:space="preserve">&lt;</t>
        </is>
      </c>
      <c r="WO55" t="inlineStr">
        <is>
          <t xml:space="preserve">BACKSLASH</t>
        </is>
      </c>
      <c r="WP55" t="inlineStr">
        <is>
          <t xml:space="preserve">&lt;</t>
        </is>
      </c>
      <c r="WQ55" t="inlineStr">
        <is>
          <t xml:space="preserve">&gt;</t>
        </is>
      </c>
      <c r="WR55" t="inlineStr">
        <is>
          <t xml:space="preserve">&lt;</t>
        </is>
      </c>
      <c r="WS55" t="inlineStr">
        <is>
          <t xml:space="preserve">BACKSLASH</t>
        </is>
      </c>
      <c r="WX55" t="inlineStr">
        <is>
          <t xml:space="preserve">&lt;</t>
        </is>
      </c>
      <c r="WY55" t="inlineStr">
        <is>
          <t xml:space="preserve">&gt;</t>
        </is>
      </c>
      <c r="WZ55" t="inlineStr">
        <is>
          <t xml:space="preserve">&lt;</t>
        </is>
      </c>
      <c r="XA55" t="inlineStr">
        <is>
          <t xml:space="preserve">BACKSLASH</t>
        </is>
      </c>
      <c r="XF55" t="inlineStr">
        <is>
          <t xml:space="preserve">UCAS_1579</t>
        </is>
      </c>
      <c r="XG55" t="inlineStr">
        <is>
          <t xml:space="preserve">UCAS_1577</t>
        </is>
      </c>
      <c r="XH55" t="inlineStr">
        <is>
          <t xml:space="preserve">UCAS_1579</t>
        </is>
      </c>
    </row>
    <row r="56" s="172" customFormat="true" ht="15" hidden="false" customHeight="false" outlineLevel="0" collapsed="false">
      <c r="A56" s="141" t="s">
        <v>1353</v>
      </c>
      <c r="B56" s="142"/>
      <c r="C56" s="142" t="s">
        <v>1354</v>
      </c>
      <c r="D56" s="142"/>
      <c r="E56" s="142"/>
      <c r="F56" s="143"/>
      <c r="G56" s="143" t="s">
        <v>1354</v>
      </c>
      <c r="H56" s="143"/>
      <c r="I56">
        <v>55</v>
      </c>
      <c r="J56" s="144"/>
      <c r="K56" s="144" t="s">
        <v>1354</v>
      </c>
      <c r="L56" s="144"/>
      <c r="M56">
        <v>55</v>
      </c>
      <c r="N56" s="145"/>
      <c r="O56" s="145" t="s">
        <v>1354</v>
      </c>
      <c r="P56" s="145"/>
      <c r="Q56" s="145" t="n">
        <v>53</v>
      </c>
      <c r="R56" s="146"/>
      <c r="S56" s="146" t="s">
        <v>1354</v>
      </c>
      <c r="T56" s="146"/>
      <c r="U56">
        <v>55</v>
      </c>
      <c r="V56" s="147"/>
      <c r="W56" s="147" t="s">
        <v>1354</v>
      </c>
      <c r="X56" s="147"/>
      <c r="Y56">
        <v>54</v>
      </c>
      <c r="Z56" s="148"/>
      <c r="AA56" s="148" t="s">
        <v>1354</v>
      </c>
      <c r="AB56" s="148"/>
      <c r="AC56" s="148" t="n">
        <v>50</v>
      </c>
      <c r="AD56" s="149"/>
      <c r="AE56">
        <v>37</v>
      </c>
      <c r="AF56" s="149"/>
      <c r="AG56" s="149"/>
      <c r="AH56" s="150"/>
      <c r="AI56" t="inlineStr">
        <is>
          <t xml:space="preserve">HIDE</t>
        </is>
      </c>
      <c r="AJ56" s="150"/>
      <c r="AK56">
        <v>55</v>
      </c>
      <c r="AL56" s="151"/>
      <c r="AM56">
        <v>47</v>
      </c>
      <c r="AN56" s="151"/>
      <c r="AO56">
        <v>64</v>
      </c>
      <c r="AP56" s="152"/>
      <c r="AQ56" s="152" t="s">
        <v>1354</v>
      </c>
      <c r="AR56" s="152"/>
      <c r="AS56">
        <v>56</v>
      </c>
      <c r="AT56" s="153"/>
      <c r="AU56" s="153" t="s">
        <v>1354</v>
      </c>
      <c r="AV56" s="153"/>
      <c r="AW56">
        <v>53</v>
      </c>
      <c r="AX56" s="154"/>
      <c r="AY56" s="154" t="s">
        <v>1354</v>
      </c>
      <c r="AZ56" s="154"/>
      <c r="BA56" s="154" t="n">
        <v>50</v>
      </c>
      <c r="BB56" s="156"/>
      <c r="BC56" s="156" t="s">
        <v>1354</v>
      </c>
      <c r="BD56" s="156"/>
      <c r="BE56" s="156" t="n">
        <v>50</v>
      </c>
      <c r="BF56" s="158"/>
      <c r="BG56" s="158" t="s">
        <v>1354</v>
      </c>
      <c r="BH56" s="158"/>
      <c r="BI56" s="158" t="n">
        <v>50</v>
      </c>
      <c r="BJ56" s="160"/>
      <c r="BK56" s="160" t="s">
        <v>1354</v>
      </c>
      <c r="BL56" s="160"/>
      <c r="BM56" s="160" t="n">
        <v>50</v>
      </c>
      <c r="BN56" s="143"/>
      <c r="BO56" s="143" t="s">
        <v>1354</v>
      </c>
      <c r="BP56" s="143"/>
      <c r="BQ56" s="143" t="n">
        <v>52</v>
      </c>
      <c r="BR56" s="162"/>
      <c r="BS56" s="162" t="s">
        <v>1354</v>
      </c>
      <c r="BT56" s="162"/>
      <c r="BU56">
        <v>55</v>
      </c>
      <c r="BW56" t="inlineStr">
        <is>
          <t xml:space="preserve">HIDE</t>
        </is>
      </c>
      <c r="BY56">
        <v>50</v>
      </c>
      <c r="BZ56" s="164"/>
      <c r="CA56" s="164" t="s">
        <v>1354</v>
      </c>
      <c r="CB56" s="164"/>
      <c r="CC56">
        <v>56</v>
      </c>
      <c r="CD56" s="143"/>
      <c r="CE56" s="143" t="n">
        <v>29</v>
      </c>
      <c r="CF56" s="143"/>
      <c r="CG56" s="143" t="n">
        <v>52</v>
      </c>
      <c r="CH56" s="166"/>
      <c r="CI56" s="166" t="s">
        <v>1354</v>
      </c>
      <c r="CJ56" s="166"/>
      <c r="CK56">
        <v>55</v>
      </c>
      <c r="CL56" s="167"/>
      <c r="CM56" s="167" t="s">
        <v>1354</v>
      </c>
      <c r="CN56" s="167"/>
      <c r="CO56">
        <v>56</v>
      </c>
      <c r="CP56" s="163"/>
      <c r="CQ56" s="163" t="s">
        <v>1354</v>
      </c>
      <c r="CR56" s="163"/>
      <c r="CS56">
        <v>54</v>
      </c>
      <c r="CT56" s="162"/>
      <c r="CU56" s="162" t="s">
        <v>1354</v>
      </c>
      <c r="CV56" s="162"/>
      <c r="CW56">
        <v>56</v>
      </c>
      <c r="CX56" s="169"/>
      <c r="CY56" s="169" t="s">
        <v>1354</v>
      </c>
      <c r="CZ56" s="169"/>
      <c r="DA56">
        <v>57</v>
      </c>
      <c r="DB56" s="171"/>
      <c r="DC56" s="171" t="s">
        <v>1354</v>
      </c>
      <c r="DD56" s="171"/>
      <c r="DE56">
        <v>59</v>
      </c>
      <c r="DG56" t="inlineStr">
        <is>
          <t xml:space="preserve">HIDE</t>
        </is>
      </c>
      <c r="DI56">
        <v>58</v>
      </c>
      <c r="DK56" t="inlineStr">
        <is>
          <t xml:space="preserve">HIDE</t>
        </is>
      </c>
      <c r="DM56">
        <v>55</v>
      </c>
      <c r="DO56" t="inlineStr">
        <is>
          <t xml:space="preserve">HIDE</t>
        </is>
      </c>
      <c r="DQ56">
        <v>56</v>
      </c>
      <c r="DS56" t="inlineStr">
        <is>
          <t xml:space="preserve">HIDE</t>
        </is>
      </c>
      <c r="DU56">
        <v>54</v>
      </c>
      <c r="DW56" t="inlineStr">
        <is>
          <t xml:space="preserve">HIDE</t>
        </is>
      </c>
      <c r="DY56">
        <v>55</v>
      </c>
      <c r="EA56" t="inlineStr">
        <is>
          <t xml:space="preserve">HIDE</t>
        </is>
      </c>
      <c r="EC56">
        <v>54</v>
      </c>
      <c r="EE56" t="inlineStr">
        <is>
          <t xml:space="preserve">HIDE</t>
        </is>
      </c>
      <c r="EG56">
        <v>50</v>
      </c>
      <c r="EI56" t="inlineStr">
        <is>
          <t xml:space="preserve">HIDE</t>
        </is>
      </c>
      <c r="EK56">
        <v>50</v>
      </c>
      <c r="EM56">
        <v>42</v>
      </c>
      <c r="EO56">
        <v>52</v>
      </c>
      <c r="EQ56">
        <v>40</v>
      </c>
      <c r="ES56">
        <v>61</v>
      </c>
      <c r="EU56">
        <v>40</v>
      </c>
      <c r="EW56">
        <v>61</v>
      </c>
      <c r="EY56">
        <v>40</v>
      </c>
      <c r="FA56">
        <v>52</v>
      </c>
      <c r="FC56" t="inlineStr">
        <is>
          <t xml:space="preserve">HIDE</t>
        </is>
      </c>
      <c r="FE56">
        <v>53</v>
      </c>
      <c r="FF56">
        <v>0</v>
      </c>
      <c r="FG56">
        <v>32</v>
      </c>
      <c r="FI56">
        <v>52</v>
      </c>
      <c r="FK56" t="inlineStr">
        <is>
          <t xml:space="preserve">HIDE</t>
        </is>
      </c>
      <c r="FM56">
        <v>50</v>
      </c>
      <c r="FO56" t="inlineStr">
        <is>
          <t xml:space="preserve">HIDE</t>
        </is>
      </c>
      <c r="FQ56">
        <v>50</v>
      </c>
      <c r="FS56" t="inlineStr">
        <is>
          <t xml:space="preserve">HIDE</t>
        </is>
      </c>
      <c r="FU56">
        <v>55</v>
      </c>
      <c r="FW56" t="inlineStr">
        <is>
          <t xml:space="preserve">HIDE</t>
        </is>
      </c>
      <c r="FY56">
        <v>54</v>
      </c>
      <c r="GA56" t="inlineStr">
        <is>
          <t xml:space="preserve">HIDE</t>
        </is>
      </c>
      <c r="GC56">
        <v>55</v>
      </c>
      <c r="GE56">
        <v>40</v>
      </c>
      <c r="GG56">
        <v>52</v>
      </c>
      <c r="GI56">
        <v>40</v>
      </c>
      <c r="GK56">
        <v>52</v>
      </c>
      <c r="GM56">
        <v>45</v>
      </c>
      <c r="GO56">
        <v>52</v>
      </c>
      <c r="GQ56">
        <v>49</v>
      </c>
      <c r="GS56">
        <v>52</v>
      </c>
      <c r="GU56" t="inlineStr">
        <is>
          <t xml:space="preserve">HIDE</t>
        </is>
      </c>
      <c r="GW56">
        <v>50</v>
      </c>
      <c r="GY56" t="inlineStr">
        <is>
          <t xml:space="preserve">HIDE</t>
        </is>
      </c>
      <c r="HA56">
        <v>50</v>
      </c>
      <c r="HC56" t="inlineStr">
        <is>
          <t xml:space="preserve">HIDE</t>
        </is>
      </c>
      <c r="HE56">
        <v>50</v>
      </c>
      <c r="HG56" t="inlineStr">
        <is>
          <t xml:space="preserve">HIDE</t>
        </is>
      </c>
      <c r="HK56" t="inlineStr">
        <is>
          <t xml:space="preserve">HIDE</t>
        </is>
      </c>
      <c r="HM56">
        <v>50</v>
      </c>
      <c r="HO56" t="inlineStr">
        <is>
          <t xml:space="preserve">HIDE</t>
        </is>
      </c>
      <c r="HQ56">
        <v>55</v>
      </c>
      <c r="HS56" t="inlineStr">
        <is>
          <t xml:space="preserve">HIDE</t>
        </is>
      </c>
      <c r="HU56">
        <v>50</v>
      </c>
      <c r="HW56">
        <v>42</v>
      </c>
      <c r="IA56" t="inlineStr">
        <is>
          <t xml:space="preserve">HIDE</t>
        </is>
      </c>
      <c r="IE56" t="inlineStr">
        <is>
          <t xml:space="preserve">HIDE</t>
        </is>
      </c>
      <c r="II56" t="inlineStr">
        <is>
          <t xml:space="preserve">HIDE</t>
        </is>
      </c>
      <c r="IK56">
        <v>50</v>
      </c>
      <c r="IM56" t="inlineStr">
        <is>
          <t xml:space="preserve">HIDE</t>
        </is>
      </c>
      <c r="IO56">
        <v>50</v>
      </c>
      <c r="IQ56" t="inlineStr">
        <is>
          <t xml:space="preserve">HIDE</t>
        </is>
      </c>
      <c r="IU56" t="inlineStr">
        <is>
          <t xml:space="preserve">HIDE</t>
        </is>
      </c>
      <c r="IW56">
        <v>52</v>
      </c>
      <c r="IY56" t="inlineStr">
        <is>
          <t xml:space="preserve">HIDE</t>
        </is>
      </c>
      <c r="JA56">
        <v>50</v>
      </c>
      <c r="JC56" t="inlineStr">
        <is>
          <t xml:space="preserve">HIDE</t>
        </is>
      </c>
      <c r="JE56">
        <v>50</v>
      </c>
      <c r="JG56" t="inlineStr">
        <is>
          <t xml:space="preserve">HIDE</t>
        </is>
      </c>
      <c r="JI56">
        <v>50</v>
      </c>
      <c r="JK56">
        <v>47</v>
      </c>
      <c r="JM56">
        <v>64</v>
      </c>
      <c r="JO56" t="inlineStr">
        <is>
          <t xml:space="preserve">HIDE</t>
        </is>
      </c>
      <c r="JS56">
        <v>42</v>
      </c>
      <c r="JU56">
        <v>52</v>
      </c>
      <c r="JW56" t="inlineStr">
        <is>
          <t xml:space="preserve">HIDE</t>
        </is>
      </c>
      <c r="JY56">
        <v>50</v>
      </c>
      <c r="KA56" t="inlineStr">
        <is>
          <t xml:space="preserve">HIDE</t>
        </is>
      </c>
      <c r="KC56">
        <v>50</v>
      </c>
      <c r="KE56">
        <v>47</v>
      </c>
      <c r="KG56">
        <v>64</v>
      </c>
      <c r="KI56">
        <v>47</v>
      </c>
      <c r="KK56">
        <v>64</v>
      </c>
      <c r="KM56">
        <v>53</v>
      </c>
      <c r="KO56">
        <v>52</v>
      </c>
      <c r="KQ56" t="inlineStr">
        <is>
          <t xml:space="preserve">HIDE</t>
        </is>
      </c>
      <c r="KU56" t="inlineStr">
        <is>
          <t xml:space="preserve">HIDE</t>
        </is>
      </c>
      <c r="KW56">
        <v>50</v>
      </c>
      <c r="KY56" t="inlineStr">
        <is>
          <t xml:space="preserve">HIDE</t>
        </is>
      </c>
      <c r="LA56">
        <v>55</v>
      </c>
      <c r="LC56" t="inlineStr">
        <is>
          <t xml:space="preserve">HIDE</t>
        </is>
      </c>
      <c r="LE56">
        <v>50</v>
      </c>
      <c r="LG56" t="inlineStr">
        <is>
          <t xml:space="preserve">HIDE</t>
        </is>
      </c>
      <c r="LK56" t="inlineStr">
        <is>
          <t xml:space="preserve">HIDE</t>
        </is>
      </c>
      <c r="LM56">
        <v>50</v>
      </c>
      <c r="LO56" t="inlineStr">
        <is>
          <t xml:space="preserve">HIDE</t>
        </is>
      </c>
      <c r="LQ56">
        <v>50</v>
      </c>
      <c r="LS56" t="inlineStr">
        <is>
          <t xml:space="preserve">HIDE</t>
        </is>
      </c>
      <c r="LU56">
        <v>50</v>
      </c>
      <c r="LW56" t="inlineStr">
        <is>
          <t xml:space="preserve">HIDE</t>
        </is>
      </c>
      <c r="LY56">
        <v>50</v>
      </c>
      <c r="MA56" t="inlineStr">
        <is>
          <t xml:space="preserve">HIDE</t>
        </is>
      </c>
      <c r="MC56">
        <v>50</v>
      </c>
      <c r="ME56" t="inlineStr">
        <is>
          <t xml:space="preserve">HIDE</t>
        </is>
      </c>
      <c r="MG56">
        <v>50</v>
      </c>
      <c r="MI56" t="inlineStr">
        <is>
          <t xml:space="preserve">HIDE</t>
        </is>
      </c>
      <c r="MK56">
        <v>50</v>
      </c>
      <c r="MM56" t="inlineStr">
        <is>
          <t xml:space="preserve">HIDE</t>
        </is>
      </c>
      <c r="MO56">
        <v>50</v>
      </c>
      <c r="MQ56" t="inlineStr">
        <is>
          <t xml:space="preserve">HIDE</t>
        </is>
      </c>
      <c r="MS56">
        <v>50</v>
      </c>
      <c r="MU56" t="inlineStr">
        <is>
          <t xml:space="preserve">HIDE</t>
        </is>
      </c>
      <c r="MW56">
        <v>50</v>
      </c>
      <c r="MY56" t="inlineStr">
        <is>
          <t xml:space="preserve">HIDE</t>
        </is>
      </c>
      <c r="NA56">
        <v>50</v>
      </c>
      <c r="NC56" t="inlineStr">
        <is>
          <t xml:space="preserve">HIDE</t>
        </is>
      </c>
      <c r="NE56">
        <v>50</v>
      </c>
      <c r="NG56" t="inlineStr">
        <is>
          <t xml:space="preserve">HIDE</t>
        </is>
      </c>
      <c r="NI56">
        <v>50</v>
      </c>
      <c r="NK56" t="inlineStr">
        <is>
          <t xml:space="preserve">HIDE</t>
        </is>
      </c>
      <c r="NM56">
        <v>50</v>
      </c>
      <c r="NO56" t="inlineStr">
        <is>
          <t xml:space="preserve">HIDE</t>
        </is>
      </c>
      <c r="NQ56">
        <v>50</v>
      </c>
      <c r="NS56" t="inlineStr">
        <is>
          <t xml:space="preserve">HIDE</t>
        </is>
      </c>
      <c r="NU56">
        <v>50</v>
      </c>
      <c r="NW56" t="inlineStr">
        <is>
          <t xml:space="preserve">HIDE</t>
        </is>
      </c>
      <c r="NY56">
        <v>55</v>
      </c>
      <c r="OA56" t="inlineStr">
        <is>
          <t xml:space="preserve">HIDE</t>
        </is>
      </c>
      <c r="OC56">
        <v>55</v>
      </c>
      <c r="OE56" t="inlineStr">
        <is>
          <t xml:space="preserve">HIDE</t>
        </is>
      </c>
      <c r="OG56">
        <v>53</v>
      </c>
      <c r="OI56" t="inlineStr">
        <is>
          <t xml:space="preserve">HIDE</t>
        </is>
      </c>
      <c r="OK56">
        <v>55</v>
      </c>
      <c r="OM56" t="inlineStr">
        <is>
          <t xml:space="preserve">HIDE</t>
        </is>
      </c>
      <c r="OO56">
        <v>56</v>
      </c>
      <c r="OQ56" t="inlineStr">
        <is>
          <t xml:space="preserve">HIDE</t>
        </is>
      </c>
      <c r="OS56">
        <v>55</v>
      </c>
      <c r="OU56" t="inlineStr">
        <is>
          <t xml:space="preserve">HIDE</t>
        </is>
      </c>
      <c r="OW56">
        <v>56</v>
      </c>
      <c r="OY56" t="inlineStr">
        <is>
          <t xml:space="preserve">HIDE</t>
        </is>
      </c>
      <c r="PA56">
        <v>56</v>
      </c>
      <c r="PC56">
        <v>47</v>
      </c>
      <c r="PE56">
        <v>64</v>
      </c>
      <c r="PG56">
        <v>47</v>
      </c>
      <c r="PI56">
        <v>64</v>
      </c>
      <c r="PK56">
        <v>47</v>
      </c>
      <c r="PM56">
        <v>64</v>
      </c>
      <c r="PO56">
        <v>47</v>
      </c>
      <c r="PQ56">
        <v>64</v>
      </c>
      <c r="PS56">
        <v>47</v>
      </c>
      <c r="PU56">
        <v>64</v>
      </c>
      <c r="PW56">
        <v>47</v>
      </c>
      <c r="PY56">
        <v>64</v>
      </c>
      <c r="QA56">
        <v>47</v>
      </c>
      <c r="QC56">
        <v>64</v>
      </c>
      <c r="QE56">
        <v>47</v>
      </c>
      <c r="QG56">
        <v>64</v>
      </c>
      <c r="QI56">
        <v>47</v>
      </c>
      <c r="QK56">
        <v>64</v>
      </c>
      <c r="QM56">
        <v>47</v>
      </c>
      <c r="QO56">
        <v>64</v>
      </c>
      <c r="QQ56">
        <v>47</v>
      </c>
      <c r="QS56">
        <v>64</v>
      </c>
      <c r="QU56">
        <v>47</v>
      </c>
      <c r="QW56">
        <v>64</v>
      </c>
      <c r="QY56">
        <v>47</v>
      </c>
      <c r="RA56">
        <v>64</v>
      </c>
      <c r="RC56">
        <v>47</v>
      </c>
      <c r="RE56">
        <v>64</v>
      </c>
      <c r="RG56" t="inlineStr">
        <is>
          <t xml:space="preserve">HIDE</t>
        </is>
      </c>
      <c r="RI56">
        <v>50</v>
      </c>
      <c r="RK56" t="inlineStr">
        <is>
          <t xml:space="preserve">HIDE</t>
        </is>
      </c>
      <c r="RM56">
        <v>50</v>
      </c>
      <c r="RO56" t="inlineStr">
        <is>
          <t xml:space="preserve">HIDE</t>
        </is>
      </c>
      <c r="RQ56">
        <v>50</v>
      </c>
      <c r="RS56" t="inlineStr">
        <is>
          <t xml:space="preserve">HIDE</t>
        </is>
      </c>
      <c r="RU56">
        <v>50</v>
      </c>
      <c r="RW56" t="inlineStr">
        <is>
          <t xml:space="preserve">HIDE</t>
        </is>
      </c>
      <c r="RY56">
        <v>50</v>
      </c>
      <c r="SA56" t="inlineStr">
        <is>
          <t xml:space="preserve">HIDE</t>
        </is>
      </c>
      <c r="SE56" t="inlineStr">
        <is>
          <t xml:space="preserve">HIDE</t>
        </is>
      </c>
      <c r="SI56" t="inlineStr">
        <is>
          <t xml:space="preserve">HIDE</t>
        </is>
      </c>
      <c r="SM56" t="inlineStr">
        <is>
          <t xml:space="preserve">HIDE</t>
        </is>
      </c>
      <c r="SQ56" t="inlineStr">
        <is>
          <t xml:space="preserve">HIDE</t>
        </is>
      </c>
      <c r="SS56">
        <v>56</v>
      </c>
      <c r="SU56" t="inlineStr">
        <is>
          <t xml:space="preserve">HIDE</t>
        </is>
      </c>
      <c r="SW56">
        <v>56</v>
      </c>
      <c r="SY56">
        <v>40</v>
      </c>
      <c r="TA56">
        <v>63</v>
      </c>
      <c r="TC56" t="inlineStr">
        <is>
          <t xml:space="preserve">HIDE</t>
        </is>
      </c>
      <c r="TG56" t="inlineStr">
        <is>
          <t xml:space="preserve">HIDE</t>
        </is>
      </c>
      <c r="TK56" t="inlineStr">
        <is>
          <t xml:space="preserve">HIDE</t>
        </is>
      </c>
      <c r="TM56">
        <v>52</v>
      </c>
      <c r="TO56" t="inlineStr">
        <is>
          <t xml:space="preserve">HIDE</t>
        </is>
      </c>
      <c r="TS56" t="inlineStr">
        <is>
          <t xml:space="preserve">HIDE</t>
        </is>
      </c>
      <c r="TU56">
        <v>52</v>
      </c>
      <c r="TW56" t="inlineStr">
        <is>
          <t xml:space="preserve">HIDE</t>
        </is>
      </c>
      <c r="TY56">
        <v>50</v>
      </c>
      <c r="UA56" t="inlineStr">
        <is>
          <t xml:space="preserve">HIDE</t>
        </is>
      </c>
      <c r="UC56">
        <v>50</v>
      </c>
      <c r="UE56" t="inlineStr">
        <is>
          <t xml:space="preserve">HIDE</t>
        </is>
      </c>
      <c r="UI56" t="inlineStr">
        <is>
          <t xml:space="preserve">HIDE</t>
        </is>
      </c>
      <c r="UM56" t="inlineStr">
        <is>
          <t xml:space="preserve">HIDE</t>
        </is>
      </c>
      <c r="UQ56" t="inlineStr">
        <is>
          <t xml:space="preserve">HIDE</t>
        </is>
      </c>
      <c r="UU56" t="inlineStr">
        <is>
          <t xml:space="preserve">HIDE</t>
        </is>
      </c>
      <c r="UW56">
        <v>50</v>
      </c>
      <c r="UY56" t="inlineStr">
        <is>
          <t xml:space="preserve">HIDE</t>
        </is>
      </c>
      <c r="VA56">
        <v>50</v>
      </c>
      <c r="VC56" t="inlineStr">
        <is>
          <t xml:space="preserve">HIDE</t>
        </is>
      </c>
      <c r="VE56">
        <v>56</v>
      </c>
      <c r="VG56" t="inlineStr">
        <is>
          <t xml:space="preserve">HIDE</t>
        </is>
      </c>
      <c r="VI56">
        <v>55</v>
      </c>
      <c r="VK56" t="inlineStr">
        <is>
          <t xml:space="preserve">HIDE</t>
        </is>
      </c>
      <c r="VM56">
        <v>50</v>
      </c>
      <c r="VO56" t="inlineStr">
        <is>
          <t xml:space="preserve">HIDE</t>
        </is>
      </c>
      <c r="VQ56">
        <v>56</v>
      </c>
      <c r="VS56" t="inlineStr">
        <is>
          <t xml:space="preserve">HIDE</t>
        </is>
      </c>
      <c r="VU56">
        <v>59</v>
      </c>
      <c r="VW56" t="inlineStr">
        <is>
          <t xml:space="preserve">HIDE</t>
        </is>
      </c>
      <c r="VY56">
        <v>56</v>
      </c>
      <c r="WA56" t="inlineStr">
        <is>
          <t xml:space="preserve">HIDE</t>
        </is>
      </c>
      <c r="WC56">
        <v>55</v>
      </c>
      <c r="WE56" t="inlineStr">
        <is>
          <t xml:space="preserve">HIDE</t>
        </is>
      </c>
      <c r="WG56">
        <v>54</v>
      </c>
      <c r="WI56" t="inlineStr">
        <is>
          <t xml:space="preserve">HIDE</t>
        </is>
      </c>
      <c r="WK56">
        <v>55</v>
      </c>
      <c r="WM56" t="inlineStr">
        <is>
          <t xml:space="preserve">HIDE</t>
        </is>
      </c>
      <c r="WO56">
        <v>50</v>
      </c>
      <c r="WQ56" t="inlineStr">
        <is>
          <t xml:space="preserve">HIDE</t>
        </is>
      </c>
      <c r="WS56">
        <v>50</v>
      </c>
      <c r="WU56" t="inlineStr">
        <is>
          <t xml:space="preserve">HIDE</t>
        </is>
      </c>
      <c r="WW56">
        <v>58</v>
      </c>
      <c r="WY56" t="inlineStr">
        <is>
          <t xml:space="preserve">HIDE</t>
        </is>
      </c>
      <c r="XA56">
        <v>50</v>
      </c>
      <c r="XC56">
        <v>40</v>
      </c>
      <c r="XE56">
        <v>65</v>
      </c>
      <c r="XG56">
        <v>34</v>
      </c>
      <c r="XK56" t="inlineStr">
        <is>
          <t xml:space="preserve">HIDE</t>
        </is>
      </c>
      <c r="XM56">
        <v>54</v>
      </c>
      <c r="XO56">
        <v>26</v>
      </c>
      <c r="XQ56">
        <v>64</v>
      </c>
    </row>
    <row r="57" s="172" customFormat="true" ht="15" hidden="false" customHeight="false" outlineLevel="0" collapsed="false">
      <c r="A57" s="141" t="s">
        <v>1355</v>
      </c>
      <c r="B57" s="142"/>
      <c r="C57" s="142" t="s">
        <v>1354</v>
      </c>
      <c r="D57" s="142"/>
      <c r="E57" s="142"/>
      <c r="F57" s="143"/>
      <c r="G57" s="143" t="s">
        <v>1354</v>
      </c>
      <c r="H57" s="143"/>
      <c r="I57">
        <v>15</v>
      </c>
      <c r="J57" s="144"/>
      <c r="K57" s="144" t="s">
        <v>1354</v>
      </c>
      <c r="L57" s="144"/>
      <c r="M57">
        <v>15</v>
      </c>
      <c r="N57" s="145"/>
      <c r="O57" s="145" t="s">
        <v>1354</v>
      </c>
      <c r="P57" s="145"/>
      <c r="Q57">
        <v>12</v>
      </c>
      <c r="R57" s="146"/>
      <c r="S57" s="146" t="s">
        <v>1354</v>
      </c>
      <c r="T57" s="146"/>
      <c r="U57">
        <v>15</v>
      </c>
      <c r="V57" s="147"/>
      <c r="W57" s="147" t="s">
        <v>1354</v>
      </c>
      <c r="X57" s="147"/>
      <c r="Y57">
        <v>17</v>
      </c>
      <c r="Z57" s="148"/>
      <c r="AA57" s="148" t="s">
        <v>1354</v>
      </c>
      <c r="AB57" s="148"/>
      <c r="AC57" s="148" t="n">
        <v>12</v>
      </c>
      <c r="AD57" s="149"/>
      <c r="AE57" s="149" t="n">
        <v>15</v>
      </c>
      <c r="AF57" s="149"/>
      <c r="AG57" s="149"/>
      <c r="AH57" s="150"/>
      <c r="AI57" t="inlineStr">
        <is>
          <t xml:space="preserve">HIDE</t>
        </is>
      </c>
      <c r="AJ57" s="150"/>
      <c r="AK57">
        <v>15</v>
      </c>
      <c r="AL57" s="151"/>
      <c r="AM57" s="151" t="n">
        <v>0</v>
      </c>
      <c r="AN57" s="151"/>
      <c r="AO57">
        <v>19</v>
      </c>
      <c r="AP57" s="152"/>
      <c r="AQ57" s="152" t="s">
        <v>1354</v>
      </c>
      <c r="AR57" s="152"/>
      <c r="AS57">
        <v>15</v>
      </c>
      <c r="AT57" s="153"/>
      <c r="AU57" s="153" t="s">
        <v>1354</v>
      </c>
      <c r="AV57" s="153"/>
      <c r="AW57">
        <v>13</v>
      </c>
      <c r="AX57" s="154"/>
      <c r="AY57" s="154" t="s">
        <v>1354</v>
      </c>
      <c r="AZ57" s="154"/>
      <c r="BA57">
        <v>12</v>
      </c>
      <c r="BB57" s="156"/>
      <c r="BC57" s="156" t="s">
        <v>1354</v>
      </c>
      <c r="BD57" s="156"/>
      <c r="BE57">
        <v>12</v>
      </c>
      <c r="BF57" s="158"/>
      <c r="BG57" s="158" t="s">
        <v>1354</v>
      </c>
      <c r="BH57" s="158"/>
      <c r="BI57">
        <v>12</v>
      </c>
      <c r="BJ57" s="160"/>
      <c r="BK57" s="160" t="s">
        <v>1354</v>
      </c>
      <c r="BL57" s="160"/>
      <c r="BM57" s="160" t="n">
        <v>12</v>
      </c>
      <c r="BN57" s="143"/>
      <c r="BO57" s="143" t="s">
        <v>1354</v>
      </c>
      <c r="BP57" s="143"/>
      <c r="BQ57" s="143" t="n">
        <v>12</v>
      </c>
      <c r="BR57" s="162"/>
      <c r="BS57" s="162" t="s">
        <v>1354</v>
      </c>
      <c r="BT57" s="162"/>
      <c r="BU57" s="162" t="n">
        <v>12</v>
      </c>
      <c r="BW57" t="inlineStr">
        <is>
          <t xml:space="preserve">HIDE</t>
        </is>
      </c>
      <c r="BY57">
        <v>12</v>
      </c>
      <c r="BZ57" s="164"/>
      <c r="CA57" s="164" t="s">
        <v>1354</v>
      </c>
      <c r="CB57" s="164"/>
      <c r="CC57">
        <v>16</v>
      </c>
      <c r="CD57" s="143"/>
      <c r="CE57" s="143" t="n">
        <v>0</v>
      </c>
      <c r="CF57" s="143"/>
      <c r="CG57" s="143" t="n">
        <v>0</v>
      </c>
      <c r="CH57" s="166"/>
      <c r="CI57" s="166" t="s">
        <v>1354</v>
      </c>
      <c r="CJ57" s="166"/>
      <c r="CK57">
        <v>17</v>
      </c>
      <c r="CL57" s="167"/>
      <c r="CM57" s="167" t="s">
        <v>1354</v>
      </c>
      <c r="CN57" s="167"/>
      <c r="CO57">
        <v>16</v>
      </c>
      <c r="CP57" s="163"/>
      <c r="CQ57" s="163" t="s">
        <v>1354</v>
      </c>
      <c r="CR57" s="163"/>
      <c r="CS57">
        <v>16</v>
      </c>
      <c r="CT57" s="162"/>
      <c r="CU57" s="162" t="s">
        <v>1354</v>
      </c>
      <c r="CV57" s="162"/>
      <c r="CW57">
        <v>16</v>
      </c>
      <c r="CX57" s="169"/>
      <c r="CY57" s="169" t="s">
        <v>1354</v>
      </c>
      <c r="CZ57" s="169"/>
      <c r="DA57">
        <v>16</v>
      </c>
      <c r="DB57" s="171"/>
      <c r="DC57" s="171" t="s">
        <v>1354</v>
      </c>
      <c r="DD57" s="171"/>
      <c r="DE57">
        <v>15</v>
      </c>
      <c r="DG57" t="inlineStr">
        <is>
          <t xml:space="preserve">HIDE</t>
        </is>
      </c>
      <c r="DI57">
        <v>16</v>
      </c>
      <c r="DK57" t="inlineStr">
        <is>
          <t xml:space="preserve">HIDE</t>
        </is>
      </c>
      <c r="DM57">
        <v>16</v>
      </c>
      <c r="DO57" t="inlineStr">
        <is>
          <t xml:space="preserve">HIDE</t>
        </is>
      </c>
      <c r="DQ57">
        <v>16</v>
      </c>
      <c r="DS57" t="inlineStr">
        <is>
          <t xml:space="preserve">HIDE</t>
        </is>
      </c>
      <c r="DU57">
        <v>12</v>
      </c>
      <c r="DW57" t="inlineStr">
        <is>
          <t xml:space="preserve">HIDE</t>
        </is>
      </c>
      <c r="DY57">
        <v>12</v>
      </c>
      <c r="EA57" t="inlineStr">
        <is>
          <t xml:space="preserve">HIDE</t>
        </is>
      </c>
      <c r="EC57">
        <v>15</v>
      </c>
      <c r="EE57" t="inlineStr">
        <is>
          <t xml:space="preserve">HIDE</t>
        </is>
      </c>
      <c r="EG57">
        <v>12</v>
      </c>
      <c r="EI57" t="inlineStr">
        <is>
          <t xml:space="preserve">HIDE</t>
        </is>
      </c>
      <c r="EK57">
        <v>12</v>
      </c>
      <c r="EM57">
        <v>0</v>
      </c>
      <c r="EO57">
        <v>12</v>
      </c>
      <c r="EQ57">
        <v>0</v>
      </c>
      <c r="ES57">
        <v>8</v>
      </c>
      <c r="EU57">
        <v>0</v>
      </c>
      <c r="EW57">
        <v>8</v>
      </c>
      <c r="EY57">
        <v>0</v>
      </c>
      <c r="FA57">
        <v>12</v>
      </c>
      <c r="FC57" t="inlineStr">
        <is>
          <t xml:space="preserve">HIDE</t>
        </is>
      </c>
      <c r="FE57">
        <v>12</v>
      </c>
      <c r="FF57">
        <v>0</v>
      </c>
      <c r="FG57">
        <v>4</v>
      </c>
      <c r="FI57">
        <v>12</v>
      </c>
      <c r="FK57" t="inlineStr">
        <is>
          <t xml:space="preserve">HIDE</t>
        </is>
      </c>
      <c r="FM57">
        <v>12</v>
      </c>
      <c r="FO57" t="inlineStr">
        <is>
          <t xml:space="preserve">HIDE</t>
        </is>
      </c>
      <c r="FQ57">
        <v>12</v>
      </c>
      <c r="FS57" t="inlineStr">
        <is>
          <t xml:space="preserve">HIDE</t>
        </is>
      </c>
      <c r="FU57">
        <v>15</v>
      </c>
      <c r="FW57" t="inlineStr">
        <is>
          <t xml:space="preserve">HIDE</t>
        </is>
      </c>
      <c r="FY57">
        <v>15</v>
      </c>
      <c r="GA57" t="inlineStr">
        <is>
          <t xml:space="preserve">HIDE</t>
        </is>
      </c>
      <c r="GC57">
        <v>15</v>
      </c>
      <c r="GE57">
        <v>0</v>
      </c>
      <c r="GG57">
        <v>12</v>
      </c>
      <c r="GI57">
        <v>0</v>
      </c>
      <c r="GK57">
        <v>12</v>
      </c>
      <c r="GM57">
        <v>0</v>
      </c>
      <c r="GO57">
        <v>12</v>
      </c>
      <c r="GP57">
        <v>3</v>
      </c>
      <c r="GQ57">
        <v>4</v>
      </c>
      <c r="GS57">
        <v>12</v>
      </c>
      <c r="GT57">
        <v>3</v>
      </c>
      <c r="GU57" t="inlineStr">
        <is>
          <t xml:space="preserve">HIDE</t>
        </is>
      </c>
      <c r="GW57">
        <v>12</v>
      </c>
      <c r="GX57">
        <v>3</v>
      </c>
      <c r="GY57" t="inlineStr">
        <is>
          <t xml:space="preserve">HIDE</t>
        </is>
      </c>
      <c r="HA57">
        <v>12</v>
      </c>
      <c r="HB57">
        <v>3</v>
      </c>
      <c r="HC57" t="inlineStr">
        <is>
          <t xml:space="preserve">HIDE</t>
        </is>
      </c>
      <c r="HE57">
        <v>12</v>
      </c>
      <c r="HG57" t="inlineStr">
        <is>
          <t xml:space="preserve">HIDE</t>
        </is>
      </c>
      <c r="HK57" t="inlineStr">
        <is>
          <t xml:space="preserve">HIDE</t>
        </is>
      </c>
      <c r="HM57">
        <v>12</v>
      </c>
      <c r="HO57" t="inlineStr">
        <is>
          <t xml:space="preserve">HIDE</t>
        </is>
      </c>
      <c r="HQ57">
        <v>17</v>
      </c>
      <c r="HS57" t="inlineStr">
        <is>
          <t xml:space="preserve">HIDE</t>
        </is>
      </c>
      <c r="HU57">
        <v>12</v>
      </c>
      <c r="HW57">
        <v>10</v>
      </c>
      <c r="IA57" t="inlineStr">
        <is>
          <t xml:space="preserve">HIDE</t>
        </is>
      </c>
      <c r="IE57" t="inlineStr">
        <is>
          <t xml:space="preserve">HIDE</t>
        </is>
      </c>
      <c r="II57" t="inlineStr">
        <is>
          <t xml:space="preserve">HIDE</t>
        </is>
      </c>
      <c r="IK57">
        <v>9</v>
      </c>
      <c r="IM57" t="inlineStr">
        <is>
          <t xml:space="preserve">HIDE</t>
        </is>
      </c>
      <c r="IO57">
        <v>9</v>
      </c>
      <c r="IQ57" t="inlineStr">
        <is>
          <t xml:space="preserve">HIDE</t>
        </is>
      </c>
      <c r="IU57" t="inlineStr">
        <is>
          <t xml:space="preserve">HIDE</t>
        </is>
      </c>
      <c r="IW57">
        <v>12</v>
      </c>
      <c r="IY57" t="inlineStr">
        <is>
          <t xml:space="preserve">HIDE</t>
        </is>
      </c>
      <c r="JA57">
        <v>9</v>
      </c>
      <c r="JC57" t="inlineStr">
        <is>
          <t xml:space="preserve">HIDE</t>
        </is>
      </c>
      <c r="JE57">
        <v>9</v>
      </c>
      <c r="JG57" t="inlineStr">
        <is>
          <t xml:space="preserve">HIDE</t>
        </is>
      </c>
      <c r="JI57">
        <v>9</v>
      </c>
      <c r="JK57">
        <v>0</v>
      </c>
      <c r="JM57">
        <v>19</v>
      </c>
      <c r="JO57" t="inlineStr">
        <is>
          <t xml:space="preserve">HIDE</t>
        </is>
      </c>
      <c r="JS57">
        <v>0</v>
      </c>
      <c r="JU57">
        <v>12</v>
      </c>
      <c r="JW57" t="inlineStr">
        <is>
          <t xml:space="preserve">HIDE</t>
        </is>
      </c>
      <c r="JY57">
        <v>12</v>
      </c>
      <c r="KA57" t="inlineStr">
        <is>
          <t xml:space="preserve">HIDE</t>
        </is>
      </c>
      <c r="KC57">
        <v>12</v>
      </c>
      <c r="KE57">
        <v>0</v>
      </c>
      <c r="KG57">
        <v>19</v>
      </c>
      <c r="KI57">
        <v>0</v>
      </c>
      <c r="KK57">
        <v>19</v>
      </c>
      <c r="KM57">
        <v>0</v>
      </c>
      <c r="KO57">
        <v>12</v>
      </c>
      <c r="KQ57" t="inlineStr">
        <is>
          <t xml:space="preserve">HIDE</t>
        </is>
      </c>
      <c r="KU57" t="inlineStr">
        <is>
          <t xml:space="preserve">HIDE</t>
        </is>
      </c>
      <c r="KW57">
        <v>12</v>
      </c>
      <c r="KY57" t="inlineStr">
        <is>
          <t xml:space="preserve">HIDE</t>
        </is>
      </c>
      <c r="LA57">
        <v>15</v>
      </c>
      <c r="LC57" t="inlineStr">
        <is>
          <t xml:space="preserve">HIDE</t>
        </is>
      </c>
      <c r="LE57">
        <v>12</v>
      </c>
      <c r="LG57" t="inlineStr">
        <is>
          <t xml:space="preserve">HIDE</t>
        </is>
      </c>
      <c r="LK57" t="inlineStr">
        <is>
          <t xml:space="preserve">HIDE</t>
        </is>
      </c>
      <c r="LM57">
        <v>12</v>
      </c>
      <c r="LO57" t="inlineStr">
        <is>
          <t xml:space="preserve">HIDE</t>
        </is>
      </c>
      <c r="LQ57">
        <v>12</v>
      </c>
      <c r="LS57" t="inlineStr">
        <is>
          <t xml:space="preserve">HIDE</t>
        </is>
      </c>
      <c r="LU57">
        <v>12</v>
      </c>
      <c r="LW57" t="inlineStr">
        <is>
          <t xml:space="preserve">HIDE</t>
        </is>
      </c>
      <c r="LY57">
        <v>12</v>
      </c>
      <c r="MA57" t="inlineStr">
        <is>
          <t xml:space="preserve">HIDE</t>
        </is>
      </c>
      <c r="MC57">
        <v>12</v>
      </c>
      <c r="ME57" t="inlineStr">
        <is>
          <t xml:space="preserve">HIDE</t>
        </is>
      </c>
      <c r="MG57">
        <v>12</v>
      </c>
      <c r="MI57" t="inlineStr">
        <is>
          <t xml:space="preserve">HIDE</t>
        </is>
      </c>
      <c r="MK57">
        <v>12</v>
      </c>
      <c r="MM57" t="inlineStr">
        <is>
          <t xml:space="preserve">HIDE</t>
        </is>
      </c>
      <c r="MO57">
        <v>12</v>
      </c>
      <c r="MQ57" t="inlineStr">
        <is>
          <t xml:space="preserve">HIDE</t>
        </is>
      </c>
      <c r="MS57">
        <v>12</v>
      </c>
      <c r="MU57" t="inlineStr">
        <is>
          <t xml:space="preserve">HIDE</t>
        </is>
      </c>
      <c r="MW57">
        <v>12</v>
      </c>
      <c r="MY57" t="inlineStr">
        <is>
          <t xml:space="preserve">HIDE</t>
        </is>
      </c>
      <c r="NA57">
        <v>12</v>
      </c>
      <c r="NC57" t="inlineStr">
        <is>
          <t xml:space="preserve">HIDE</t>
        </is>
      </c>
      <c r="NE57">
        <v>12</v>
      </c>
      <c r="NG57" t="inlineStr">
        <is>
          <t xml:space="preserve">HIDE</t>
        </is>
      </c>
      <c r="NI57">
        <v>12</v>
      </c>
      <c r="NK57" t="inlineStr">
        <is>
          <t xml:space="preserve">HIDE</t>
        </is>
      </c>
      <c r="NM57">
        <v>12</v>
      </c>
      <c r="NO57" t="inlineStr">
        <is>
          <t xml:space="preserve">HIDE</t>
        </is>
      </c>
      <c r="NQ57">
        <v>12</v>
      </c>
      <c r="NS57" t="inlineStr">
        <is>
          <t xml:space="preserve">HIDE</t>
        </is>
      </c>
      <c r="NU57">
        <v>12</v>
      </c>
      <c r="NW57" t="inlineStr">
        <is>
          <t xml:space="preserve">HIDE</t>
        </is>
      </c>
      <c r="NY57">
        <v>15</v>
      </c>
      <c r="OA57" t="inlineStr">
        <is>
          <t xml:space="preserve">HIDE</t>
        </is>
      </c>
      <c r="OC57">
        <v>17</v>
      </c>
      <c r="OE57" t="inlineStr">
        <is>
          <t xml:space="preserve">HIDE</t>
        </is>
      </c>
      <c r="OG57">
        <v>15</v>
      </c>
      <c r="OI57" t="inlineStr">
        <is>
          <t xml:space="preserve">HIDE</t>
        </is>
      </c>
      <c r="OK57">
        <v>12</v>
      </c>
      <c r="OM57" t="inlineStr">
        <is>
          <t xml:space="preserve">HIDE</t>
        </is>
      </c>
      <c r="OO57">
        <v>16</v>
      </c>
      <c r="OQ57" t="inlineStr">
        <is>
          <t xml:space="preserve">HIDE</t>
        </is>
      </c>
      <c r="OS57">
        <v>15</v>
      </c>
      <c r="OU57" t="inlineStr">
        <is>
          <t xml:space="preserve">HIDE</t>
        </is>
      </c>
      <c r="OW57">
        <v>17</v>
      </c>
      <c r="OY57" t="inlineStr">
        <is>
          <t xml:space="preserve">HIDE</t>
        </is>
      </c>
      <c r="PA57">
        <v>16</v>
      </c>
      <c r="PC57">
        <v>0</v>
      </c>
      <c r="PE57">
        <v>19</v>
      </c>
      <c r="PG57">
        <v>0</v>
      </c>
      <c r="PI57">
        <v>19</v>
      </c>
      <c r="PK57">
        <v>0</v>
      </c>
      <c r="PM57">
        <v>19</v>
      </c>
      <c r="PO57">
        <v>0</v>
      </c>
      <c r="PQ57">
        <v>19</v>
      </c>
      <c r="PS57">
        <v>0</v>
      </c>
      <c r="PU57">
        <v>19</v>
      </c>
      <c r="PW57">
        <v>0</v>
      </c>
      <c r="PY57">
        <v>19</v>
      </c>
      <c r="QA57">
        <v>0</v>
      </c>
      <c r="QC57">
        <v>19</v>
      </c>
      <c r="QE57">
        <v>0</v>
      </c>
      <c r="QG57">
        <v>19</v>
      </c>
      <c r="QI57">
        <v>0</v>
      </c>
      <c r="QK57">
        <v>19</v>
      </c>
      <c r="QM57">
        <v>0</v>
      </c>
      <c r="QO57">
        <v>19</v>
      </c>
      <c r="QQ57">
        <v>0</v>
      </c>
      <c r="QS57">
        <v>19</v>
      </c>
      <c r="QU57">
        <v>0</v>
      </c>
      <c r="QW57">
        <v>19</v>
      </c>
      <c r="QY57">
        <v>0</v>
      </c>
      <c r="RA57">
        <v>19</v>
      </c>
      <c r="RC57">
        <v>0</v>
      </c>
      <c r="RE57">
        <v>19</v>
      </c>
      <c r="RG57" t="inlineStr">
        <is>
          <t xml:space="preserve">HIDE</t>
        </is>
      </c>
      <c r="RI57">
        <v>12</v>
      </c>
      <c r="RK57" t="inlineStr">
        <is>
          <t xml:space="preserve">HIDE</t>
        </is>
      </c>
      <c r="RM57">
        <v>12</v>
      </c>
      <c r="RO57" t="inlineStr">
        <is>
          <t xml:space="preserve">HIDE</t>
        </is>
      </c>
      <c r="RQ57">
        <v>12</v>
      </c>
      <c r="RS57" t="inlineStr">
        <is>
          <t xml:space="preserve">HIDE</t>
        </is>
      </c>
      <c r="RU57">
        <v>12</v>
      </c>
      <c r="RW57" t="inlineStr">
        <is>
          <t xml:space="preserve">HIDE</t>
        </is>
      </c>
      <c r="RY57">
        <v>12</v>
      </c>
      <c r="SA57" t="inlineStr">
        <is>
          <t xml:space="preserve">HIDE</t>
        </is>
      </c>
      <c r="SE57" t="inlineStr">
        <is>
          <t xml:space="preserve">HIDE</t>
        </is>
      </c>
      <c r="SI57" t="inlineStr">
        <is>
          <t xml:space="preserve">HIDE</t>
        </is>
      </c>
      <c r="SM57" t="inlineStr">
        <is>
          <t xml:space="preserve">HIDE</t>
        </is>
      </c>
      <c r="SQ57" t="inlineStr">
        <is>
          <t xml:space="preserve">HIDE</t>
        </is>
      </c>
      <c r="SS57">
        <v>13</v>
      </c>
      <c r="SU57" t="inlineStr">
        <is>
          <t xml:space="preserve">HIDE</t>
        </is>
      </c>
      <c r="SW57">
        <v>13</v>
      </c>
      <c r="SY57">
        <v>0</v>
      </c>
      <c r="TA57">
        <v>17</v>
      </c>
      <c r="TC57" t="inlineStr">
        <is>
          <t xml:space="preserve">HIDE</t>
        </is>
      </c>
      <c r="TG57" t="inlineStr">
        <is>
          <t xml:space="preserve">HIDE</t>
        </is>
      </c>
      <c r="TK57" t="inlineStr">
        <is>
          <t xml:space="preserve">HIDE</t>
        </is>
      </c>
      <c r="TM57">
        <v>12</v>
      </c>
      <c r="TO57" t="inlineStr">
        <is>
          <t xml:space="preserve">HIDE</t>
        </is>
      </c>
      <c r="TS57" t="inlineStr">
        <is>
          <t xml:space="preserve">HIDE</t>
        </is>
      </c>
      <c r="TU57">
        <v>12</v>
      </c>
      <c r="TW57" t="inlineStr">
        <is>
          <t xml:space="preserve">HIDE</t>
        </is>
      </c>
      <c r="TY57">
        <v>12</v>
      </c>
      <c r="UA57" t="inlineStr">
        <is>
          <t xml:space="preserve">HIDE</t>
        </is>
      </c>
      <c r="UC57">
        <v>12</v>
      </c>
      <c r="UE57" t="inlineStr">
        <is>
          <t xml:space="preserve">HIDE</t>
        </is>
      </c>
      <c r="UI57" t="inlineStr">
        <is>
          <t xml:space="preserve">HIDE</t>
        </is>
      </c>
      <c r="UM57" t="inlineStr">
        <is>
          <t xml:space="preserve">HIDE</t>
        </is>
      </c>
      <c r="UQ57" t="inlineStr">
        <is>
          <t xml:space="preserve">HIDE</t>
        </is>
      </c>
      <c r="UU57" t="inlineStr">
        <is>
          <t xml:space="preserve">HIDE</t>
        </is>
      </c>
      <c r="UW57">
        <v>12</v>
      </c>
      <c r="UY57" t="inlineStr">
        <is>
          <t xml:space="preserve">HIDE</t>
        </is>
      </c>
      <c r="VA57">
        <v>9</v>
      </c>
      <c r="VC57" t="inlineStr">
        <is>
          <t xml:space="preserve">HIDE</t>
        </is>
      </c>
      <c r="VE57">
        <v>12</v>
      </c>
      <c r="VG57" t="inlineStr">
        <is>
          <t xml:space="preserve">HIDE</t>
        </is>
      </c>
      <c r="VI57">
        <v>16</v>
      </c>
      <c r="VK57" t="inlineStr">
        <is>
          <t xml:space="preserve">HIDE</t>
        </is>
      </c>
      <c r="VM57">
        <v>12</v>
      </c>
      <c r="VO57" t="inlineStr">
        <is>
          <t xml:space="preserve">HIDE</t>
        </is>
      </c>
      <c r="VQ57">
        <v>5</v>
      </c>
      <c r="VS57" t="inlineStr">
        <is>
          <t xml:space="preserve">HIDE</t>
        </is>
      </c>
      <c r="VU57">
        <v>9</v>
      </c>
      <c r="VW57" t="inlineStr">
        <is>
          <t xml:space="preserve">HIDE</t>
        </is>
      </c>
      <c r="VY57">
        <v>11</v>
      </c>
      <c r="WA57" t="inlineStr">
        <is>
          <t xml:space="preserve">HIDE</t>
        </is>
      </c>
      <c r="WC57">
        <v>16</v>
      </c>
      <c r="WE57" t="inlineStr">
        <is>
          <t xml:space="preserve">HIDE</t>
        </is>
      </c>
      <c r="WG57">
        <v>11</v>
      </c>
      <c r="WI57" t="inlineStr">
        <is>
          <t xml:space="preserve">HIDE</t>
        </is>
      </c>
      <c r="WK57">
        <v>11</v>
      </c>
      <c r="WM57" t="inlineStr">
        <is>
          <t xml:space="preserve">HIDE</t>
        </is>
      </c>
      <c r="WO57">
        <v>12</v>
      </c>
      <c r="WQ57" t="inlineStr">
        <is>
          <t xml:space="preserve">HIDE</t>
        </is>
      </c>
      <c r="WS57">
        <v>12</v>
      </c>
      <c r="WU57" t="inlineStr">
        <is>
          <t xml:space="preserve">HIDE</t>
        </is>
      </c>
      <c r="WW57">
        <v>9</v>
      </c>
      <c r="WY57" t="inlineStr">
        <is>
          <t xml:space="preserve">HIDE</t>
        </is>
      </c>
      <c r="XA57">
        <v>12</v>
      </c>
      <c r="XC57">
        <v>0</v>
      </c>
      <c r="XE57">
        <v>15</v>
      </c>
      <c r="XG57">
        <v>0</v>
      </c>
      <c r="XK57" t="inlineStr">
        <is>
          <t xml:space="preserve">HIDE</t>
        </is>
      </c>
      <c r="XM57">
        <v>13</v>
      </c>
      <c r="XO57">
        <v>0</v>
      </c>
      <c r="XQ57">
        <v>16</v>
      </c>
    </row>
    <row r="58" s="172" customFormat="true" ht="15" hidden="false" customHeight="false" outlineLevel="0" collapsed="false">
      <c r="A58" s="141" t="s">
        <v>1356</v>
      </c>
      <c r="B58" s="142"/>
      <c r="C58" s="142" t="n">
        <v>35</v>
      </c>
      <c r="D58" s="142"/>
      <c r="E58" s="142"/>
      <c r="F58" s="143"/>
      <c r="G58" s="143" t="n">
        <v>27</v>
      </c>
      <c r="H58" s="143"/>
      <c r="I58">
        <v>61</v>
      </c>
      <c r="J58" s="144"/>
      <c r="K58" s="144" t="n">
        <v>28</v>
      </c>
      <c r="L58" s="144"/>
      <c r="M58">
        <v>57</v>
      </c>
      <c r="N58" s="145"/>
      <c r="O58" s="145" t="n">
        <v>28</v>
      </c>
      <c r="P58" s="145"/>
      <c r="Q58" s="145" t="n">
        <v>50</v>
      </c>
      <c r="R58" s="146"/>
      <c r="S58" s="146" t="n">
        <v>30</v>
      </c>
      <c r="T58" s="146"/>
      <c r="U58">
        <v>58</v>
      </c>
      <c r="V58" s="147"/>
      <c r="W58" s="147" t="n">
        <v>30</v>
      </c>
      <c r="X58" s="147"/>
      <c r="Y58" s="147" t="n">
        <v>50</v>
      </c>
      <c r="Z58" s="148"/>
      <c r="AA58" s="148" t="n">
        <v>28</v>
      </c>
      <c r="AB58" s="148"/>
      <c r="AC58" s="148" t="n">
        <v>52</v>
      </c>
      <c r="AD58" s="149"/>
      <c r="AE58" s="149" t="n">
        <v>35</v>
      </c>
      <c r="AF58" s="149"/>
      <c r="AG58" s="149"/>
      <c r="AH58" s="150"/>
      <c r="AI58">
        <v>27</v>
      </c>
      <c r="AJ58" s="150"/>
      <c r="AK58">
        <v>61</v>
      </c>
      <c r="AL58" s="151"/>
      <c r="AM58" s="151" t="n">
        <v>27</v>
      </c>
      <c r="AN58" s="151"/>
      <c r="AO58" s="151" t="n">
        <v>52</v>
      </c>
      <c r="AP58" s="152"/>
      <c r="AQ58" s="152" t="n">
        <v>27</v>
      </c>
      <c r="AR58" s="152"/>
      <c r="AS58">
        <v>55</v>
      </c>
      <c r="AT58" s="153"/>
      <c r="AU58" s="153" t="n">
        <v>30</v>
      </c>
      <c r="AV58" s="153"/>
      <c r="AW58">
        <v>54</v>
      </c>
      <c r="AX58" s="154"/>
      <c r="AY58" s="155" t="n">
        <v>30</v>
      </c>
      <c r="AZ58" s="154"/>
      <c r="BA58">
        <v>55</v>
      </c>
      <c r="BB58" s="156"/>
      <c r="BC58" s="157" t="n">
        <v>30</v>
      </c>
      <c r="BD58" s="156"/>
      <c r="BE58" s="156" t="n">
        <v>50</v>
      </c>
      <c r="BF58" s="158"/>
      <c r="BG58" s="159" t="n">
        <v>32</v>
      </c>
      <c r="BH58" s="158"/>
      <c r="BI58" s="158" t="n">
        <v>50</v>
      </c>
      <c r="BJ58" s="160"/>
      <c r="BK58" s="161" t="n">
        <v>30</v>
      </c>
      <c r="BL58" s="160"/>
      <c r="BM58" s="160" t="n">
        <v>50</v>
      </c>
      <c r="BN58" s="143"/>
      <c r="BO58">
        <v>27</v>
      </c>
      <c r="BP58" s="143"/>
      <c r="BQ58">
        <v>57</v>
      </c>
      <c r="BR58" s="162"/>
      <c r="BS58" s="162" t="n">
        <v>25</v>
      </c>
      <c r="BT58" s="162"/>
      <c r="BU58">
        <v>58</v>
      </c>
      <c r="BW58">
        <v>35</v>
      </c>
      <c r="BY58">
        <v>50</v>
      </c>
      <c r="BZ58" s="164"/>
      <c r="CA58" s="164" t="n">
        <v>28</v>
      </c>
      <c r="CB58" s="164"/>
      <c r="CC58">
        <v>56</v>
      </c>
      <c r="CD58" s="143"/>
      <c r="CE58" s="143" t="n">
        <v>27</v>
      </c>
      <c r="CF58" s="143"/>
      <c r="CG58" s="143" t="n">
        <v>52</v>
      </c>
      <c r="CH58" s="166"/>
      <c r="CI58" s="166" t="n">
        <v>27</v>
      </c>
      <c r="CJ58" s="166"/>
      <c r="CK58">
        <v>57</v>
      </c>
      <c r="CL58" s="167"/>
      <c r="CM58" s="167" t="n">
        <v>27</v>
      </c>
      <c r="CN58" s="167"/>
      <c r="CO58">
        <v>55</v>
      </c>
      <c r="CP58" s="163"/>
      <c r="CQ58" s="163" t="n">
        <v>27</v>
      </c>
      <c r="CR58" s="163"/>
      <c r="CS58">
        <v>58</v>
      </c>
      <c r="CT58" s="162"/>
      <c r="CU58" s="162" t="n">
        <v>27</v>
      </c>
      <c r="CV58" s="162"/>
      <c r="CW58">
        <v>62</v>
      </c>
      <c r="CX58" s="169"/>
      <c r="CY58" s="169" t="n">
        <v>25</v>
      </c>
      <c r="CZ58" s="169"/>
      <c r="DA58">
        <v>62</v>
      </c>
      <c r="DB58" s="171"/>
      <c r="DC58" s="171" t="n">
        <v>25</v>
      </c>
      <c r="DD58" s="171"/>
      <c r="DE58">
        <v>59</v>
      </c>
      <c r="DG58">
        <v>30</v>
      </c>
      <c r="DI58">
        <v>60</v>
      </c>
      <c r="DK58">
        <v>30</v>
      </c>
      <c r="DM58">
        <v>57</v>
      </c>
      <c r="DO58">
        <v>30</v>
      </c>
      <c r="DQ58">
        <v>57</v>
      </c>
      <c r="DS58">
        <v>28</v>
      </c>
      <c r="DU58">
        <v>58</v>
      </c>
      <c r="DW58">
        <v>30</v>
      </c>
      <c r="DY58">
        <v>57</v>
      </c>
      <c r="EA58">
        <v>30</v>
      </c>
      <c r="EC58">
        <v>60</v>
      </c>
      <c r="EE58">
        <v>30</v>
      </c>
      <c r="EG58">
        <v>50</v>
      </c>
      <c r="EI58">
        <v>30</v>
      </c>
      <c r="EK58">
        <v>50</v>
      </c>
      <c r="EM58">
        <v>27</v>
      </c>
      <c r="EO58">
        <v>52</v>
      </c>
      <c r="EQ58">
        <v>28</v>
      </c>
      <c r="ES58">
        <v>52</v>
      </c>
      <c r="EU58">
        <v>28</v>
      </c>
      <c r="EW58">
        <v>52</v>
      </c>
      <c r="EY58">
        <v>28</v>
      </c>
      <c r="FA58">
        <v>52</v>
      </c>
      <c r="FC58">
        <v>30</v>
      </c>
      <c r="FE58">
        <v>50</v>
      </c>
      <c r="FG58">
        <v>27</v>
      </c>
      <c r="FI58">
        <v>55</v>
      </c>
      <c r="FK58">
        <v>28</v>
      </c>
      <c r="FM58">
        <v>56</v>
      </c>
      <c r="FO58">
        <v>28</v>
      </c>
      <c r="FQ58">
        <v>57</v>
      </c>
      <c r="FS58">
        <v>27</v>
      </c>
      <c r="FU58">
        <v>61</v>
      </c>
      <c r="FW58">
        <v>28</v>
      </c>
      <c r="FY58">
        <v>59</v>
      </c>
      <c r="GA58">
        <v>28</v>
      </c>
      <c r="GC58">
        <v>55</v>
      </c>
      <c r="GE58">
        <v>28</v>
      </c>
      <c r="GG58">
        <v>56</v>
      </c>
      <c r="GI58">
        <v>28</v>
      </c>
      <c r="GK58">
        <v>52</v>
      </c>
      <c r="GM58">
        <v>32</v>
      </c>
      <c r="GO58">
        <v>52</v>
      </c>
      <c r="GQ58">
        <v>45</v>
      </c>
      <c r="GS58">
        <v>52</v>
      </c>
      <c r="GU58">
        <v>27</v>
      </c>
      <c r="GW58">
        <v>50</v>
      </c>
      <c r="GY58">
        <v>27</v>
      </c>
      <c r="HA58">
        <v>50</v>
      </c>
      <c r="HC58">
        <v>27</v>
      </c>
      <c r="HE58">
        <v>56</v>
      </c>
      <c r="HG58">
        <v>35</v>
      </c>
      <c r="HK58">
        <v>28</v>
      </c>
      <c r="HM58">
        <v>50</v>
      </c>
      <c r="HO58">
        <v>28</v>
      </c>
      <c r="HQ58">
        <v>50</v>
      </c>
      <c r="HS58">
        <v>28</v>
      </c>
      <c r="HU58">
        <v>56</v>
      </c>
      <c r="HW58">
        <v>34</v>
      </c>
      <c r="IA58">
        <v>35</v>
      </c>
      <c r="IE58">
        <v>35</v>
      </c>
      <c r="II58">
        <v>28</v>
      </c>
      <c r="IK58">
        <v>50</v>
      </c>
      <c r="IM58">
        <v>28</v>
      </c>
      <c r="IO58">
        <v>50</v>
      </c>
      <c r="IQ58">
        <v>35</v>
      </c>
      <c r="IU58">
        <v>35</v>
      </c>
      <c r="IW58">
        <v>52</v>
      </c>
      <c r="IY58">
        <v>28</v>
      </c>
      <c r="JA58">
        <v>50</v>
      </c>
      <c r="JC58">
        <v>28</v>
      </c>
      <c r="JE58">
        <v>50</v>
      </c>
      <c r="JG58">
        <v>28</v>
      </c>
      <c r="JI58">
        <v>56</v>
      </c>
      <c r="JK58">
        <v>27</v>
      </c>
      <c r="JM58">
        <v>52</v>
      </c>
      <c r="JO58">
        <v>35</v>
      </c>
      <c r="JS58">
        <v>27</v>
      </c>
      <c r="JU58">
        <v>52</v>
      </c>
      <c r="JW58">
        <v>28</v>
      </c>
      <c r="JY58">
        <v>56</v>
      </c>
      <c r="KA58">
        <v>28</v>
      </c>
      <c r="KC58">
        <v>50</v>
      </c>
      <c r="KE58">
        <v>27</v>
      </c>
      <c r="KG58">
        <v>52</v>
      </c>
      <c r="KI58">
        <v>27</v>
      </c>
      <c r="KK58">
        <v>52</v>
      </c>
      <c r="KM58">
        <v>27</v>
      </c>
      <c r="KO58">
        <v>52</v>
      </c>
      <c r="KQ58">
        <v>35</v>
      </c>
      <c r="KU58">
        <v>28</v>
      </c>
      <c r="KW58">
        <v>50</v>
      </c>
      <c r="KY58">
        <v>33</v>
      </c>
      <c r="LA58">
        <v>59</v>
      </c>
      <c r="LC58">
        <v>28</v>
      </c>
      <c r="LE58">
        <v>58</v>
      </c>
      <c r="LG58">
        <v>35</v>
      </c>
      <c r="LK58">
        <v>28</v>
      </c>
      <c r="LM58">
        <v>58</v>
      </c>
      <c r="LO58">
        <v>28</v>
      </c>
      <c r="LQ58">
        <v>57</v>
      </c>
      <c r="LS58">
        <v>28</v>
      </c>
      <c r="LU58">
        <v>57</v>
      </c>
      <c r="LW58">
        <v>28</v>
      </c>
      <c r="LY58">
        <v>57</v>
      </c>
      <c r="MA58">
        <v>28</v>
      </c>
      <c r="MC58">
        <v>57</v>
      </c>
      <c r="ME58">
        <v>28</v>
      </c>
      <c r="MG58">
        <v>57</v>
      </c>
      <c r="MI58">
        <v>28</v>
      </c>
      <c r="MK58">
        <v>57</v>
      </c>
      <c r="MM58">
        <v>28</v>
      </c>
      <c r="MO58">
        <v>57</v>
      </c>
      <c r="MQ58">
        <v>28</v>
      </c>
      <c r="MS58">
        <v>55</v>
      </c>
      <c r="MU58">
        <v>28</v>
      </c>
      <c r="MW58">
        <v>57</v>
      </c>
      <c r="MY58">
        <v>28</v>
      </c>
      <c r="NA58">
        <v>57</v>
      </c>
      <c r="NC58">
        <v>28</v>
      </c>
      <c r="NE58">
        <v>57</v>
      </c>
      <c r="NG58">
        <v>28</v>
      </c>
      <c r="NI58">
        <v>57</v>
      </c>
      <c r="NK58">
        <v>28</v>
      </c>
      <c r="NM58">
        <v>57</v>
      </c>
      <c r="NO58">
        <v>28</v>
      </c>
      <c r="NQ58">
        <v>57</v>
      </c>
      <c r="NS58">
        <v>28</v>
      </c>
      <c r="NU58">
        <v>57</v>
      </c>
      <c r="NW58">
        <v>27</v>
      </c>
      <c r="NY58">
        <v>61</v>
      </c>
      <c r="OA58">
        <v>28</v>
      </c>
      <c r="OC58">
        <v>54</v>
      </c>
      <c r="OE58">
        <v>28</v>
      </c>
      <c r="OG58">
        <v>56</v>
      </c>
      <c r="OI58">
        <v>28</v>
      </c>
      <c r="OK58">
        <v>56</v>
      </c>
      <c r="OM58">
        <v>30</v>
      </c>
      <c r="OO58">
        <v>61</v>
      </c>
      <c r="OQ58">
        <v>28</v>
      </c>
      <c r="OS58">
        <v>57</v>
      </c>
      <c r="OU58">
        <v>30</v>
      </c>
      <c r="OW58">
        <v>59</v>
      </c>
      <c r="OY58">
        <v>27</v>
      </c>
      <c r="PA58">
        <v>55</v>
      </c>
      <c r="PC58">
        <v>27</v>
      </c>
      <c r="PE58">
        <v>52</v>
      </c>
      <c r="PG58">
        <v>27</v>
      </c>
      <c r="PI58">
        <v>52</v>
      </c>
      <c r="PK58">
        <v>27</v>
      </c>
      <c r="PM58">
        <v>52</v>
      </c>
      <c r="PO58">
        <v>27</v>
      </c>
      <c r="PQ58">
        <v>52</v>
      </c>
      <c r="PS58">
        <v>27</v>
      </c>
      <c r="PU58">
        <v>52</v>
      </c>
      <c r="PW58">
        <v>27</v>
      </c>
      <c r="PY58">
        <v>52</v>
      </c>
      <c r="QA58">
        <v>27</v>
      </c>
      <c r="QC58">
        <v>52</v>
      </c>
      <c r="QE58">
        <v>27</v>
      </c>
      <c r="QG58">
        <v>52</v>
      </c>
      <c r="QI58">
        <v>27</v>
      </c>
      <c r="QK58">
        <v>52</v>
      </c>
      <c r="QM58">
        <v>27</v>
      </c>
      <c r="QO58">
        <v>52</v>
      </c>
      <c r="QQ58">
        <v>27</v>
      </c>
      <c r="QS58">
        <v>52</v>
      </c>
      <c r="QU58">
        <v>27</v>
      </c>
      <c r="QW58">
        <v>52</v>
      </c>
      <c r="QY58">
        <v>27</v>
      </c>
      <c r="RA58">
        <v>52</v>
      </c>
      <c r="RC58">
        <v>27</v>
      </c>
      <c r="RE58">
        <v>52</v>
      </c>
      <c r="RG58">
        <v>28</v>
      </c>
      <c r="RI58">
        <v>54</v>
      </c>
      <c r="RK58">
        <v>28</v>
      </c>
      <c r="RM58">
        <v>54</v>
      </c>
      <c r="RO58">
        <v>28</v>
      </c>
      <c r="RQ58">
        <v>54</v>
      </c>
      <c r="RS58">
        <v>28</v>
      </c>
      <c r="RU58">
        <v>54</v>
      </c>
      <c r="RW58">
        <v>28</v>
      </c>
      <c r="RY58">
        <v>54</v>
      </c>
      <c r="SA58">
        <v>35</v>
      </c>
      <c r="SE58">
        <v>35</v>
      </c>
      <c r="SI58">
        <v>35</v>
      </c>
      <c r="SM58">
        <v>35</v>
      </c>
      <c r="SQ58">
        <v>30</v>
      </c>
      <c r="SS58">
        <v>54</v>
      </c>
      <c r="SU58">
        <v>30</v>
      </c>
      <c r="SW58">
        <v>54</v>
      </c>
      <c r="SY58">
        <v>28</v>
      </c>
      <c r="TA58">
        <v>56</v>
      </c>
      <c r="TC58">
        <v>35</v>
      </c>
      <c r="TG58">
        <v>35</v>
      </c>
      <c r="TK58">
        <v>35</v>
      </c>
      <c r="TM58">
        <v>52</v>
      </c>
      <c r="TO58">
        <v>35</v>
      </c>
      <c r="TS58">
        <v>35</v>
      </c>
      <c r="TU58">
        <v>52</v>
      </c>
      <c r="TW58">
        <v>30</v>
      </c>
      <c r="TY58">
        <v>50</v>
      </c>
      <c r="UA58">
        <v>30</v>
      </c>
      <c r="UC58">
        <v>50</v>
      </c>
      <c r="UE58">
        <v>35</v>
      </c>
      <c r="UI58">
        <v>35</v>
      </c>
      <c r="UM58">
        <v>35</v>
      </c>
      <c r="UQ58">
        <v>35</v>
      </c>
      <c r="UU58">
        <v>28</v>
      </c>
      <c r="UW58">
        <v>56</v>
      </c>
      <c r="UY58">
        <v>28</v>
      </c>
      <c r="VA58">
        <v>50</v>
      </c>
      <c r="VC58">
        <v>28</v>
      </c>
      <c r="VE58">
        <v>55</v>
      </c>
      <c r="VG58">
        <v>28</v>
      </c>
      <c r="VI58">
        <v>53</v>
      </c>
      <c r="VK58">
        <v>28</v>
      </c>
      <c r="VM58">
        <v>54</v>
      </c>
      <c r="VO58">
        <v>28</v>
      </c>
      <c r="VQ58">
        <v>56</v>
      </c>
      <c r="VS58">
        <v>28</v>
      </c>
      <c r="VU58">
        <v>56</v>
      </c>
      <c r="VW58">
        <v>28</v>
      </c>
      <c r="VY58">
        <v>56</v>
      </c>
      <c r="WA58">
        <v>28</v>
      </c>
      <c r="WC58">
        <v>55</v>
      </c>
      <c r="WE58">
        <v>28</v>
      </c>
      <c r="WG58">
        <v>56</v>
      </c>
      <c r="WI58">
        <v>28</v>
      </c>
      <c r="WK58">
        <v>57</v>
      </c>
      <c r="WM58">
        <v>28</v>
      </c>
      <c r="WO58">
        <v>56</v>
      </c>
      <c r="WQ58">
        <v>28</v>
      </c>
      <c r="WS58">
        <v>56</v>
      </c>
      <c r="WU58">
        <v>28</v>
      </c>
      <c r="WW58">
        <v>50</v>
      </c>
      <c r="WY58">
        <v>28</v>
      </c>
      <c r="XA58">
        <v>57</v>
      </c>
      <c r="XC58">
        <v>27</v>
      </c>
      <c r="XE58">
        <v>55</v>
      </c>
      <c r="XG58">
        <v>32</v>
      </c>
      <c r="XK58">
        <v>35</v>
      </c>
      <c r="XO58">
        <v>26</v>
      </c>
      <c r="XQ58">
        <v>61</v>
      </c>
    </row>
    <row r="59" s="172" customFormat="true" ht="15" hidden="false" customHeight="false" outlineLevel="0" collapsed="false">
      <c r="A59" s="141" t="s">
        <v>1357</v>
      </c>
      <c r="B59" s="142"/>
      <c r="C59" s="142" t="n">
        <v>0</v>
      </c>
      <c r="D59" s="142"/>
      <c r="E59" s="142"/>
      <c r="F59" s="143"/>
      <c r="G59" s="143" t="n">
        <v>0</v>
      </c>
      <c r="H59" s="143"/>
      <c r="I59">
        <v>13</v>
      </c>
      <c r="J59" s="144"/>
      <c r="K59" s="144" t="n">
        <v>0</v>
      </c>
      <c r="L59" s="144"/>
      <c r="M59">
        <v>12</v>
      </c>
      <c r="N59" s="145"/>
      <c r="O59" s="145" t="n">
        <v>0</v>
      </c>
      <c r="P59" s="145"/>
      <c r="Q59">
        <v>12</v>
      </c>
      <c r="R59" s="146"/>
      <c r="S59" s="146" t="n">
        <v>0</v>
      </c>
      <c r="T59" s="146"/>
      <c r="U59">
        <v>15</v>
      </c>
      <c r="V59" s="147"/>
      <c r="W59" s="147" t="n">
        <v>0</v>
      </c>
      <c r="X59" s="147"/>
      <c r="Y59" s="147" t="n">
        <v>12</v>
      </c>
      <c r="Z59" s="148"/>
      <c r="AA59" s="148" t="n">
        <v>0</v>
      </c>
      <c r="AB59" s="148"/>
      <c r="AC59" s="148" t="n">
        <v>12</v>
      </c>
      <c r="AD59" s="149"/>
      <c r="AE59" s="149" t="n">
        <v>0</v>
      </c>
      <c r="AF59" s="149"/>
      <c r="AG59" s="149"/>
      <c r="AH59" s="150"/>
      <c r="AI59">
        <v>0</v>
      </c>
      <c r="AJ59" s="150"/>
      <c r="AK59">
        <v>13</v>
      </c>
      <c r="AL59" s="151"/>
      <c r="AM59" s="151" t="n">
        <v>0</v>
      </c>
      <c r="AN59" s="151"/>
      <c r="AO59">
        <v>12</v>
      </c>
      <c r="AP59" s="152"/>
      <c r="AQ59" s="152" t="n">
        <v>0</v>
      </c>
      <c r="AR59" s="152"/>
      <c r="AS59" s="152" t="n">
        <v>12</v>
      </c>
      <c r="AT59" s="153"/>
      <c r="AU59" s="153" t="n">
        <v>0</v>
      </c>
      <c r="AV59" s="153"/>
      <c r="AW59" s="153" t="n">
        <v>12</v>
      </c>
      <c r="AX59" s="154"/>
      <c r="AY59" s="155" t="n">
        <v>0</v>
      </c>
      <c r="AZ59" s="154"/>
      <c r="BA59">
        <v>15</v>
      </c>
      <c r="BB59" s="156"/>
      <c r="BC59" s="157" t="n">
        <v>0</v>
      </c>
      <c r="BD59" s="156"/>
      <c r="BE59">
        <v>12</v>
      </c>
      <c r="BF59" s="158"/>
      <c r="BG59" s="159" t="n">
        <v>0</v>
      </c>
      <c r="BH59" s="158"/>
      <c r="BI59">
        <v>12</v>
      </c>
      <c r="BJ59" s="160"/>
      <c r="BK59" s="161" t="n">
        <v>0</v>
      </c>
      <c r="BL59" s="160"/>
      <c r="BM59" s="160" t="n">
        <v>12</v>
      </c>
      <c r="BN59" s="143"/>
      <c r="BO59" s="143" t="n">
        <v>0</v>
      </c>
      <c r="BP59" s="143"/>
      <c r="BQ59">
        <v>17</v>
      </c>
      <c r="BR59" s="162"/>
      <c r="BS59" s="162" t="n">
        <v>0</v>
      </c>
      <c r="BT59" s="162"/>
      <c r="BU59">
        <v>18</v>
      </c>
      <c r="BW59">
        <v>0</v>
      </c>
      <c r="BY59">
        <v>12</v>
      </c>
      <c r="BZ59" s="164"/>
      <c r="CA59" s="164" t="n">
        <v>0</v>
      </c>
      <c r="CB59" s="164"/>
      <c r="CC59">
        <v>12</v>
      </c>
      <c r="CD59" s="143"/>
      <c r="CE59" s="143" t="n">
        <v>0</v>
      </c>
      <c r="CF59" s="143"/>
      <c r="CG59">
        <v>0</v>
      </c>
      <c r="CH59" s="166"/>
      <c r="CI59" s="166" t="n">
        <v>0</v>
      </c>
      <c r="CJ59" s="166"/>
      <c r="CK59">
        <v>14</v>
      </c>
      <c r="CL59" s="167"/>
      <c r="CM59" s="167" t="n">
        <v>0</v>
      </c>
      <c r="CN59" s="167"/>
      <c r="CO59">
        <v>16</v>
      </c>
      <c r="CP59" s="163"/>
      <c r="CQ59" s="163" t="n">
        <v>0</v>
      </c>
      <c r="CR59" s="163"/>
      <c r="CS59">
        <v>16</v>
      </c>
      <c r="CT59" s="162"/>
      <c r="CU59" s="162" t="n">
        <v>0</v>
      </c>
      <c r="CV59" s="162"/>
      <c r="CW59">
        <v>15</v>
      </c>
      <c r="CX59" s="169"/>
      <c r="CY59" s="169" t="n">
        <v>0</v>
      </c>
      <c r="CZ59" s="169"/>
      <c r="DA59">
        <v>19</v>
      </c>
      <c r="DB59" s="171"/>
      <c r="DC59" s="171" t="n">
        <v>0</v>
      </c>
      <c r="DD59" s="171"/>
      <c r="DE59">
        <v>18</v>
      </c>
      <c r="DG59">
        <v>0</v>
      </c>
      <c r="DI59">
        <v>19</v>
      </c>
      <c r="DK59">
        <v>0</v>
      </c>
      <c r="DM59">
        <v>18</v>
      </c>
      <c r="DO59">
        <v>0</v>
      </c>
      <c r="DQ59">
        <v>15</v>
      </c>
      <c r="DS59">
        <v>0</v>
      </c>
      <c r="DU59">
        <v>16</v>
      </c>
      <c r="DW59">
        <v>0</v>
      </c>
      <c r="DY59">
        <v>14</v>
      </c>
      <c r="EA59">
        <v>0</v>
      </c>
      <c r="EC59">
        <v>12</v>
      </c>
      <c r="EE59">
        <v>0</v>
      </c>
      <c r="EG59">
        <v>12</v>
      </c>
      <c r="EI59">
        <v>0</v>
      </c>
      <c r="EK59">
        <v>12</v>
      </c>
      <c r="EM59">
        <v>0</v>
      </c>
      <c r="EO59">
        <v>12</v>
      </c>
      <c r="EQ59">
        <v>0</v>
      </c>
      <c r="ES59">
        <v>12</v>
      </c>
      <c r="EU59">
        <v>0</v>
      </c>
      <c r="EW59">
        <v>12</v>
      </c>
      <c r="EY59">
        <v>0</v>
      </c>
      <c r="FA59">
        <v>12</v>
      </c>
      <c r="FC59">
        <v>0</v>
      </c>
      <c r="FE59">
        <v>12</v>
      </c>
      <c r="FG59">
        <v>0</v>
      </c>
      <c r="FI59">
        <v>14</v>
      </c>
      <c r="FK59">
        <v>0</v>
      </c>
      <c r="FM59">
        <v>15</v>
      </c>
      <c r="FO59">
        <v>0</v>
      </c>
      <c r="FQ59">
        <v>12</v>
      </c>
      <c r="FS59">
        <v>0</v>
      </c>
      <c r="FU59">
        <v>13</v>
      </c>
      <c r="FW59">
        <v>0</v>
      </c>
      <c r="FY59">
        <v>14</v>
      </c>
      <c r="GA59">
        <v>0</v>
      </c>
      <c r="GC59">
        <v>14</v>
      </c>
      <c r="GE59">
        <v>0</v>
      </c>
      <c r="GG59">
        <v>16</v>
      </c>
      <c r="GI59">
        <v>0</v>
      </c>
      <c r="GK59">
        <v>12</v>
      </c>
      <c r="GM59">
        <v>0</v>
      </c>
      <c r="GO59">
        <v>12</v>
      </c>
      <c r="GP59">
        <v>3</v>
      </c>
      <c r="GQ59">
        <v>0</v>
      </c>
      <c r="GS59">
        <v>12</v>
      </c>
      <c r="GT59">
        <v>3</v>
      </c>
      <c r="GU59">
        <v>0</v>
      </c>
      <c r="GW59">
        <v>12</v>
      </c>
      <c r="GY59">
        <v>0</v>
      </c>
      <c r="HA59">
        <v>12</v>
      </c>
      <c r="HB59">
        <v>3</v>
      </c>
      <c r="HC59">
        <v>0</v>
      </c>
      <c r="HE59">
        <v>16</v>
      </c>
      <c r="HG59">
        <v>0</v>
      </c>
      <c r="HK59">
        <v>0</v>
      </c>
      <c r="HM59">
        <v>12</v>
      </c>
      <c r="HO59">
        <v>0</v>
      </c>
      <c r="HQ59">
        <v>12</v>
      </c>
      <c r="HS59">
        <v>0</v>
      </c>
      <c r="HU59">
        <v>17</v>
      </c>
      <c r="HW59">
        <v>10</v>
      </c>
      <c r="IA59">
        <v>0</v>
      </c>
      <c r="IE59">
        <v>0</v>
      </c>
      <c r="II59">
        <v>0</v>
      </c>
      <c r="IK59">
        <v>12</v>
      </c>
      <c r="IM59">
        <v>0</v>
      </c>
      <c r="IO59">
        <v>12</v>
      </c>
      <c r="IQ59">
        <v>0</v>
      </c>
      <c r="IU59">
        <v>0</v>
      </c>
      <c r="IW59">
        <v>12</v>
      </c>
      <c r="IY59">
        <v>0</v>
      </c>
      <c r="JA59">
        <v>12</v>
      </c>
      <c r="JC59">
        <v>0</v>
      </c>
      <c r="JE59">
        <v>12</v>
      </c>
      <c r="JG59">
        <v>0</v>
      </c>
      <c r="JI59">
        <v>17</v>
      </c>
      <c r="JK59">
        <v>0</v>
      </c>
      <c r="JM59">
        <v>12</v>
      </c>
      <c r="JO59">
        <v>0</v>
      </c>
      <c r="JS59">
        <v>0</v>
      </c>
      <c r="JU59">
        <v>12</v>
      </c>
      <c r="JW59">
        <v>0</v>
      </c>
      <c r="JY59">
        <v>15</v>
      </c>
      <c r="KA59">
        <v>0</v>
      </c>
      <c r="KC59">
        <v>12</v>
      </c>
      <c r="KE59">
        <v>0</v>
      </c>
      <c r="KG59">
        <v>12</v>
      </c>
      <c r="KI59">
        <v>0</v>
      </c>
      <c r="KK59">
        <v>12</v>
      </c>
      <c r="KM59">
        <v>0</v>
      </c>
      <c r="KO59">
        <v>12</v>
      </c>
      <c r="KQ59">
        <v>0</v>
      </c>
      <c r="KU59">
        <v>0</v>
      </c>
      <c r="KW59">
        <v>12</v>
      </c>
      <c r="KY59">
        <v>0</v>
      </c>
      <c r="LA59">
        <v>12</v>
      </c>
      <c r="LC59">
        <v>0</v>
      </c>
      <c r="LE59">
        <v>12</v>
      </c>
      <c r="LG59">
        <v>0</v>
      </c>
      <c r="LK59">
        <v>0</v>
      </c>
      <c r="LM59">
        <v>14</v>
      </c>
      <c r="LO59">
        <v>0</v>
      </c>
      <c r="LQ59">
        <v>12</v>
      </c>
      <c r="LS59">
        <v>0</v>
      </c>
      <c r="LU59">
        <v>12</v>
      </c>
      <c r="LW59">
        <v>0</v>
      </c>
      <c r="LY59">
        <v>12</v>
      </c>
      <c r="MA59">
        <v>0</v>
      </c>
      <c r="MC59">
        <v>12</v>
      </c>
      <c r="ME59">
        <v>0</v>
      </c>
      <c r="MG59">
        <v>12</v>
      </c>
      <c r="MI59">
        <v>0</v>
      </c>
      <c r="MK59">
        <v>12</v>
      </c>
      <c r="MM59">
        <v>0</v>
      </c>
      <c r="MO59">
        <v>12</v>
      </c>
      <c r="MQ59">
        <v>0</v>
      </c>
      <c r="MS59">
        <v>12</v>
      </c>
      <c r="MU59">
        <v>0</v>
      </c>
      <c r="MW59">
        <v>12</v>
      </c>
      <c r="MY59">
        <v>0</v>
      </c>
      <c r="NA59">
        <v>12</v>
      </c>
      <c r="NC59">
        <v>0</v>
      </c>
      <c r="NE59">
        <v>12</v>
      </c>
      <c r="NG59">
        <v>0</v>
      </c>
      <c r="NI59">
        <v>12</v>
      </c>
      <c r="NK59">
        <v>0</v>
      </c>
      <c r="NM59">
        <v>12</v>
      </c>
      <c r="NO59">
        <v>0</v>
      </c>
      <c r="NQ59">
        <v>12</v>
      </c>
      <c r="NS59">
        <v>0</v>
      </c>
      <c r="NU59">
        <v>12</v>
      </c>
      <c r="NW59">
        <v>0</v>
      </c>
      <c r="NY59">
        <v>13</v>
      </c>
      <c r="OA59">
        <v>0</v>
      </c>
      <c r="OC59">
        <v>15</v>
      </c>
      <c r="OE59">
        <v>0</v>
      </c>
      <c r="OG59">
        <v>15</v>
      </c>
      <c r="OI59">
        <v>0</v>
      </c>
      <c r="OK59">
        <v>15</v>
      </c>
      <c r="OM59">
        <v>0</v>
      </c>
      <c r="OO59">
        <v>16</v>
      </c>
      <c r="OQ59">
        <v>0</v>
      </c>
      <c r="OS59">
        <v>12</v>
      </c>
      <c r="OU59">
        <v>0</v>
      </c>
      <c r="OW59">
        <v>19</v>
      </c>
      <c r="OY59">
        <v>0</v>
      </c>
      <c r="PA59">
        <v>16</v>
      </c>
      <c r="PC59">
        <v>0</v>
      </c>
      <c r="PE59">
        <v>12</v>
      </c>
      <c r="PG59">
        <v>0</v>
      </c>
      <c r="PI59">
        <v>12</v>
      </c>
      <c r="PK59">
        <v>0</v>
      </c>
      <c r="PM59">
        <v>12</v>
      </c>
      <c r="PO59">
        <v>0</v>
      </c>
      <c r="PQ59">
        <v>12</v>
      </c>
      <c r="PS59">
        <v>0</v>
      </c>
      <c r="PU59">
        <v>12</v>
      </c>
      <c r="PW59">
        <v>0</v>
      </c>
      <c r="PY59">
        <v>12</v>
      </c>
      <c r="QA59">
        <v>0</v>
      </c>
      <c r="QC59">
        <v>12</v>
      </c>
      <c r="QE59">
        <v>0</v>
      </c>
      <c r="QG59">
        <v>12</v>
      </c>
      <c r="QI59">
        <v>0</v>
      </c>
      <c r="QK59">
        <v>12</v>
      </c>
      <c r="QM59">
        <v>0</v>
      </c>
      <c r="QO59">
        <v>12</v>
      </c>
      <c r="QQ59">
        <v>0</v>
      </c>
      <c r="QS59">
        <v>12</v>
      </c>
      <c r="QU59">
        <v>0</v>
      </c>
      <c r="QW59">
        <v>12</v>
      </c>
      <c r="QY59">
        <v>0</v>
      </c>
      <c r="RA59">
        <v>12</v>
      </c>
      <c r="RC59">
        <v>0</v>
      </c>
      <c r="RE59">
        <v>12</v>
      </c>
      <c r="RG59">
        <v>0</v>
      </c>
      <c r="RI59">
        <v>12</v>
      </c>
      <c r="RK59">
        <v>0</v>
      </c>
      <c r="RM59">
        <v>12</v>
      </c>
      <c r="RO59">
        <v>0</v>
      </c>
      <c r="RQ59">
        <v>12</v>
      </c>
      <c r="RS59">
        <v>0</v>
      </c>
      <c r="RU59">
        <v>12</v>
      </c>
      <c r="RW59">
        <v>0</v>
      </c>
      <c r="RY59">
        <v>12</v>
      </c>
      <c r="SA59">
        <v>0</v>
      </c>
      <c r="SE59">
        <v>0</v>
      </c>
      <c r="SI59">
        <v>0</v>
      </c>
      <c r="SM59">
        <v>0</v>
      </c>
      <c r="SQ59">
        <v>0</v>
      </c>
      <c r="SS59">
        <v>13</v>
      </c>
      <c r="SU59">
        <v>0</v>
      </c>
      <c r="SW59">
        <v>13</v>
      </c>
      <c r="SY59">
        <v>0</v>
      </c>
      <c r="TA59">
        <v>17</v>
      </c>
      <c r="TC59">
        <v>0</v>
      </c>
      <c r="TG59">
        <v>0</v>
      </c>
      <c r="TK59">
        <v>0</v>
      </c>
      <c r="TM59">
        <v>12</v>
      </c>
      <c r="TO59">
        <v>0</v>
      </c>
      <c r="TS59">
        <v>0</v>
      </c>
      <c r="TU59">
        <v>12</v>
      </c>
      <c r="TW59">
        <v>0</v>
      </c>
      <c r="TY59">
        <v>12</v>
      </c>
      <c r="UA59">
        <v>0</v>
      </c>
      <c r="UC59">
        <v>12</v>
      </c>
      <c r="UE59">
        <v>0</v>
      </c>
      <c r="UI59">
        <v>0</v>
      </c>
      <c r="UM59">
        <v>0</v>
      </c>
      <c r="UQ59">
        <v>0</v>
      </c>
      <c r="UU59">
        <v>0</v>
      </c>
      <c r="UW59">
        <v>15</v>
      </c>
      <c r="UY59">
        <v>0</v>
      </c>
      <c r="VA59">
        <v>12</v>
      </c>
      <c r="VC59">
        <v>0</v>
      </c>
      <c r="VE59">
        <v>14</v>
      </c>
      <c r="VG59">
        <v>0</v>
      </c>
      <c r="VI59">
        <v>14</v>
      </c>
      <c r="VK59">
        <v>0</v>
      </c>
      <c r="VM59">
        <v>13</v>
      </c>
      <c r="VO59">
        <v>0</v>
      </c>
      <c r="VQ59">
        <v>14</v>
      </c>
      <c r="VS59">
        <v>0</v>
      </c>
      <c r="VU59">
        <v>16</v>
      </c>
      <c r="VW59">
        <v>0</v>
      </c>
      <c r="VY59">
        <v>16</v>
      </c>
      <c r="WA59">
        <v>0</v>
      </c>
      <c r="WC59">
        <v>14</v>
      </c>
      <c r="WE59">
        <v>0</v>
      </c>
      <c r="WG59">
        <v>17</v>
      </c>
      <c r="WI59">
        <v>0</v>
      </c>
      <c r="WK59">
        <v>12</v>
      </c>
      <c r="WM59">
        <v>0</v>
      </c>
      <c r="WO59">
        <v>12</v>
      </c>
      <c r="WQ59">
        <v>0</v>
      </c>
      <c r="WS59">
        <v>12</v>
      </c>
      <c r="WU59">
        <v>0</v>
      </c>
      <c r="WW59">
        <v>12</v>
      </c>
      <c r="WY59">
        <v>0</v>
      </c>
      <c r="XA59">
        <v>12</v>
      </c>
      <c r="XC59">
        <v>0</v>
      </c>
      <c r="XE59">
        <v>15</v>
      </c>
      <c r="XG59">
        <v>0</v>
      </c>
      <c r="XK59">
        <v>0</v>
      </c>
      <c r="XO59">
        <v>0</v>
      </c>
      <c r="XQ59">
        <v>16</v>
      </c>
    </row>
    <row r="60" s="172" customFormat="true" ht="15" hidden="false" customHeight="false" outlineLevel="0" collapsed="false">
      <c r="A60" s="141" t="s">
        <v>1358</v>
      </c>
      <c r="B60" s="142"/>
      <c r="C60" s="142" t="n">
        <v>35</v>
      </c>
      <c r="D60" s="142"/>
      <c r="E60" s="142"/>
      <c r="F60" s="143"/>
      <c r="G60" s="143" t="n">
        <v>29</v>
      </c>
      <c r="H60" s="143"/>
      <c r="I60">
        <v>57</v>
      </c>
      <c r="J60" s="144"/>
      <c r="K60" s="144" t="n">
        <v>28</v>
      </c>
      <c r="L60" s="144"/>
      <c r="M60">
        <v>60</v>
      </c>
      <c r="N60" s="145"/>
      <c r="O60">
        <v>29</v>
      </c>
      <c r="P60" s="145"/>
      <c r="Q60">
        <v>61</v>
      </c>
      <c r="R60" s="146"/>
      <c r="S60" s="146" t="n">
        <v>30</v>
      </c>
      <c r="T60" s="146"/>
      <c r="U60">
        <v>57</v>
      </c>
      <c r="V60" s="147"/>
      <c r="W60" s="147" t="n">
        <v>26</v>
      </c>
      <c r="X60" s="147"/>
      <c r="Y60">
        <v>54</v>
      </c>
      <c r="Z60" s="148"/>
      <c r="AA60" s="148" t="n">
        <v>28</v>
      </c>
      <c r="AB60" s="148"/>
      <c r="AC60">
        <v>58</v>
      </c>
      <c r="AD60" s="149"/>
      <c r="AE60" s="149" t="n">
        <v>35</v>
      </c>
      <c r="AF60" s="149"/>
      <c r="AG60" s="149"/>
      <c r="AH60" s="150"/>
      <c r="AI60">
        <v>29</v>
      </c>
      <c r="AJ60" s="150"/>
      <c r="AK60">
        <v>57</v>
      </c>
      <c r="AL60" s="151"/>
      <c r="AM60" s="151" t="n">
        <v>42</v>
      </c>
      <c r="AN60" s="151"/>
      <c r="AO60">
        <v>61</v>
      </c>
      <c r="AP60" s="152"/>
      <c r="AQ60">
        <v>26</v>
      </c>
      <c r="AR60" s="152"/>
      <c r="AS60">
        <v>54</v>
      </c>
      <c r="AT60" s="153"/>
      <c r="AU60" s="153" t="n">
        <v>30</v>
      </c>
      <c r="AV60" s="153"/>
      <c r="AW60">
        <v>57</v>
      </c>
      <c r="AX60" s="154"/>
      <c r="AY60" s="155" t="n">
        <v>30</v>
      </c>
      <c r="AZ60" s="154"/>
      <c r="BA60" s="154" t="n">
        <v>50</v>
      </c>
      <c r="BB60" s="156"/>
      <c r="BC60" s="157" t="n">
        <v>30</v>
      </c>
      <c r="BD60" s="156"/>
      <c r="BE60" s="156" t="n">
        <v>50</v>
      </c>
      <c r="BF60" s="158"/>
      <c r="BG60" s="159" t="n">
        <v>32</v>
      </c>
      <c r="BH60" s="158"/>
      <c r="BI60">
        <v>55</v>
      </c>
      <c r="BJ60" s="160"/>
      <c r="BK60" s="161" t="n">
        <v>30</v>
      </c>
      <c r="BL60" s="160"/>
      <c r="BM60" s="160" t="n">
        <v>50</v>
      </c>
      <c r="BN60" s="143"/>
      <c r="BO60" s="143" t="n">
        <v>30</v>
      </c>
      <c r="BP60" s="143"/>
      <c r="BQ60">
        <v>56</v>
      </c>
      <c r="BR60" s="162"/>
      <c r="BS60">
        <v>22</v>
      </c>
      <c r="BT60" s="162"/>
      <c r="BU60">
        <v>51</v>
      </c>
      <c r="BW60">
        <v>35</v>
      </c>
      <c r="BY60">
        <v>50</v>
      </c>
      <c r="BZ60" s="164"/>
      <c r="CA60" s="164" t="n">
        <v>28</v>
      </c>
      <c r="CB60" s="164"/>
      <c r="CC60">
        <v>58</v>
      </c>
      <c r="CD60" s="143"/>
      <c r="CE60" s="143" t="n">
        <v>29</v>
      </c>
      <c r="CF60" s="143"/>
      <c r="CG60" s="143" t="n">
        <v>54</v>
      </c>
      <c r="CH60" s="166"/>
      <c r="CI60" s="166" t="n">
        <v>29</v>
      </c>
      <c r="CJ60" s="166"/>
      <c r="CK60">
        <v>56</v>
      </c>
      <c r="CL60" s="167"/>
      <c r="CM60" s="167" t="n">
        <v>29</v>
      </c>
      <c r="CN60" s="167"/>
      <c r="CO60">
        <v>56</v>
      </c>
      <c r="CP60" s="163"/>
      <c r="CQ60" s="163" t="n">
        <v>29</v>
      </c>
      <c r="CR60" s="163"/>
      <c r="CS60" s="163" t="n">
        <v>52</v>
      </c>
      <c r="CT60" s="162"/>
      <c r="CU60" s="162" t="n">
        <v>29</v>
      </c>
      <c r="CV60" s="162"/>
      <c r="CW60">
        <v>57</v>
      </c>
      <c r="CX60" s="169"/>
      <c r="CY60" s="169" t="n">
        <v>25</v>
      </c>
      <c r="CZ60" s="169"/>
      <c r="DA60">
        <v>55</v>
      </c>
      <c r="DB60" s="171"/>
      <c r="DC60" s="171" t="n">
        <v>25</v>
      </c>
      <c r="DD60" s="171"/>
      <c r="DE60">
        <v>54</v>
      </c>
      <c r="DG60">
        <v>30</v>
      </c>
      <c r="DI60">
        <v>57</v>
      </c>
      <c r="DK60">
        <v>30</v>
      </c>
      <c r="DM60">
        <v>58</v>
      </c>
      <c r="DO60">
        <v>30</v>
      </c>
      <c r="DQ60">
        <v>52</v>
      </c>
      <c r="DS60">
        <v>28</v>
      </c>
      <c r="DU60">
        <v>52</v>
      </c>
      <c r="DW60">
        <v>30</v>
      </c>
      <c r="DY60">
        <v>56</v>
      </c>
      <c r="EA60">
        <v>30</v>
      </c>
      <c r="EC60">
        <v>56</v>
      </c>
      <c r="EE60">
        <v>30</v>
      </c>
      <c r="EG60">
        <v>50</v>
      </c>
      <c r="EI60">
        <v>30</v>
      </c>
      <c r="EK60">
        <v>50</v>
      </c>
      <c r="EM60">
        <v>42</v>
      </c>
      <c r="EO60">
        <v>52</v>
      </c>
      <c r="EQ60">
        <v>40</v>
      </c>
      <c r="ES60">
        <v>58</v>
      </c>
      <c r="EU60">
        <v>40</v>
      </c>
      <c r="EW60">
        <v>58</v>
      </c>
      <c r="EY60">
        <v>40</v>
      </c>
      <c r="FA60">
        <v>52</v>
      </c>
      <c r="FC60">
        <v>34</v>
      </c>
      <c r="FE60">
        <v>50</v>
      </c>
      <c r="FG60">
        <v>42</v>
      </c>
      <c r="FI60">
        <v>52</v>
      </c>
      <c r="FK60">
        <v>28</v>
      </c>
      <c r="FM60">
        <v>56</v>
      </c>
      <c r="FO60">
        <v>28</v>
      </c>
      <c r="FQ60">
        <v>58</v>
      </c>
      <c r="FS60">
        <v>29</v>
      </c>
      <c r="FU60">
        <v>57</v>
      </c>
      <c r="FW60">
        <v>28</v>
      </c>
      <c r="FY60">
        <v>59</v>
      </c>
      <c r="GA60">
        <v>28</v>
      </c>
      <c r="GC60">
        <v>59</v>
      </c>
      <c r="GE60">
        <v>40</v>
      </c>
      <c r="GG60">
        <v>52</v>
      </c>
      <c r="GI60">
        <v>40</v>
      </c>
      <c r="GK60">
        <v>52</v>
      </c>
      <c r="GM60">
        <v>45</v>
      </c>
      <c r="GO60">
        <v>52</v>
      </c>
      <c r="GQ60">
        <v>47</v>
      </c>
      <c r="GS60">
        <v>52</v>
      </c>
      <c r="GU60">
        <v>27</v>
      </c>
      <c r="GW60">
        <v>50</v>
      </c>
      <c r="GY60">
        <v>27</v>
      </c>
      <c r="HA60">
        <v>50</v>
      </c>
      <c r="HC60">
        <v>32</v>
      </c>
      <c r="HE60">
        <v>50</v>
      </c>
      <c r="HG60">
        <v>35</v>
      </c>
      <c r="HK60">
        <v>28</v>
      </c>
      <c r="HM60">
        <v>50</v>
      </c>
      <c r="HO60">
        <v>28</v>
      </c>
      <c r="HQ60">
        <v>50</v>
      </c>
      <c r="HS60">
        <v>28</v>
      </c>
      <c r="HU60">
        <v>50</v>
      </c>
      <c r="HW60">
        <v>34</v>
      </c>
      <c r="IA60">
        <v>35</v>
      </c>
      <c r="IE60">
        <v>35</v>
      </c>
      <c r="II60">
        <v>28</v>
      </c>
      <c r="IK60">
        <v>50</v>
      </c>
      <c r="IM60">
        <v>28</v>
      </c>
      <c r="IO60">
        <v>50</v>
      </c>
      <c r="IQ60">
        <v>35</v>
      </c>
      <c r="IU60">
        <v>35</v>
      </c>
      <c r="IW60">
        <v>52</v>
      </c>
      <c r="IY60">
        <v>28</v>
      </c>
      <c r="JA60">
        <v>50</v>
      </c>
      <c r="JC60">
        <v>28</v>
      </c>
      <c r="JE60">
        <v>50</v>
      </c>
      <c r="JG60">
        <v>28</v>
      </c>
      <c r="JI60">
        <v>50</v>
      </c>
      <c r="JK60">
        <v>42</v>
      </c>
      <c r="JM60">
        <v>61</v>
      </c>
      <c r="JO60">
        <v>35</v>
      </c>
      <c r="JS60">
        <v>42</v>
      </c>
      <c r="JU60">
        <v>52</v>
      </c>
      <c r="JW60">
        <v>28</v>
      </c>
      <c r="JY60">
        <v>50</v>
      </c>
      <c r="KA60">
        <v>28</v>
      </c>
      <c r="KC60">
        <v>50</v>
      </c>
      <c r="KE60">
        <v>42</v>
      </c>
      <c r="KG60">
        <v>61</v>
      </c>
      <c r="KI60">
        <v>42</v>
      </c>
      <c r="KK60">
        <v>61</v>
      </c>
      <c r="KM60">
        <v>38</v>
      </c>
      <c r="KO60">
        <v>57</v>
      </c>
      <c r="KQ60">
        <v>35</v>
      </c>
      <c r="KU60">
        <v>28</v>
      </c>
      <c r="KW60">
        <v>50</v>
      </c>
      <c r="KY60">
        <v>33</v>
      </c>
      <c r="LA60">
        <v>59</v>
      </c>
      <c r="LC60">
        <v>28</v>
      </c>
      <c r="LE60">
        <v>59</v>
      </c>
      <c r="LG60">
        <v>35</v>
      </c>
      <c r="LK60">
        <v>28</v>
      </c>
      <c r="LM60">
        <v>56</v>
      </c>
      <c r="LO60">
        <v>28</v>
      </c>
      <c r="LQ60">
        <v>58</v>
      </c>
      <c r="LS60">
        <v>28</v>
      </c>
      <c r="LU60">
        <v>58</v>
      </c>
      <c r="LW60">
        <v>28</v>
      </c>
      <c r="LY60">
        <v>58</v>
      </c>
      <c r="MA60">
        <v>28</v>
      </c>
      <c r="MC60">
        <v>58</v>
      </c>
      <c r="ME60">
        <v>28</v>
      </c>
      <c r="MG60">
        <v>58</v>
      </c>
      <c r="MI60">
        <v>28</v>
      </c>
      <c r="MK60">
        <v>58</v>
      </c>
      <c r="MM60">
        <v>28</v>
      </c>
      <c r="MO60">
        <v>58</v>
      </c>
      <c r="MQ60">
        <v>28</v>
      </c>
      <c r="MS60">
        <v>58</v>
      </c>
      <c r="MU60">
        <v>28</v>
      </c>
      <c r="MW60">
        <v>58</v>
      </c>
      <c r="MY60">
        <v>28</v>
      </c>
      <c r="NA60">
        <v>58</v>
      </c>
      <c r="NC60">
        <v>28</v>
      </c>
      <c r="NE60">
        <v>58</v>
      </c>
      <c r="NG60">
        <v>28</v>
      </c>
      <c r="NI60">
        <v>58</v>
      </c>
      <c r="NK60">
        <v>28</v>
      </c>
      <c r="NM60">
        <v>58</v>
      </c>
      <c r="NO60">
        <v>28</v>
      </c>
      <c r="NQ60">
        <v>58</v>
      </c>
      <c r="NS60">
        <v>28</v>
      </c>
      <c r="NU60">
        <v>58</v>
      </c>
      <c r="NW60">
        <v>29</v>
      </c>
      <c r="NY60">
        <v>57</v>
      </c>
      <c r="OA60">
        <v>28</v>
      </c>
      <c r="OC60">
        <v>61</v>
      </c>
      <c r="OE60">
        <v>28</v>
      </c>
      <c r="OG60">
        <v>61</v>
      </c>
      <c r="OI60">
        <v>28</v>
      </c>
      <c r="OK60">
        <v>56</v>
      </c>
      <c r="OM60">
        <v>30</v>
      </c>
      <c r="OO60">
        <v>58</v>
      </c>
      <c r="OQ60">
        <v>28</v>
      </c>
      <c r="OS60">
        <v>60</v>
      </c>
      <c r="OU60">
        <v>30</v>
      </c>
      <c r="OW60">
        <v>52</v>
      </c>
      <c r="OY60">
        <v>29</v>
      </c>
      <c r="PA60">
        <v>56</v>
      </c>
      <c r="PC60">
        <v>42</v>
      </c>
      <c r="PE60">
        <v>61</v>
      </c>
      <c r="PG60">
        <v>42</v>
      </c>
      <c r="PI60">
        <v>61</v>
      </c>
      <c r="PK60">
        <v>42</v>
      </c>
      <c r="PM60">
        <v>61</v>
      </c>
      <c r="PO60">
        <v>42</v>
      </c>
      <c r="PQ60">
        <v>61</v>
      </c>
      <c r="PS60">
        <v>42</v>
      </c>
      <c r="PU60">
        <v>61</v>
      </c>
      <c r="PW60">
        <v>42</v>
      </c>
      <c r="PY60">
        <v>61</v>
      </c>
      <c r="QA60">
        <v>42</v>
      </c>
      <c r="QC60">
        <v>61</v>
      </c>
      <c r="QE60">
        <v>42</v>
      </c>
      <c r="QG60">
        <v>61</v>
      </c>
      <c r="QI60">
        <v>42</v>
      </c>
      <c r="QK60">
        <v>61</v>
      </c>
      <c r="QM60">
        <v>42</v>
      </c>
      <c r="QO60">
        <v>61</v>
      </c>
      <c r="QQ60">
        <v>42</v>
      </c>
      <c r="QS60">
        <v>61</v>
      </c>
      <c r="QU60">
        <v>42</v>
      </c>
      <c r="QW60">
        <v>61</v>
      </c>
      <c r="QY60">
        <v>42</v>
      </c>
      <c r="RA60">
        <v>61</v>
      </c>
      <c r="RC60">
        <v>42</v>
      </c>
      <c r="RE60">
        <v>61</v>
      </c>
      <c r="RG60">
        <v>28</v>
      </c>
      <c r="RI60">
        <v>54</v>
      </c>
      <c r="RK60">
        <v>28</v>
      </c>
      <c r="RM60">
        <v>54</v>
      </c>
      <c r="RO60">
        <v>28</v>
      </c>
      <c r="RQ60">
        <v>54</v>
      </c>
      <c r="RS60">
        <v>28</v>
      </c>
      <c r="RU60">
        <v>54</v>
      </c>
      <c r="RW60">
        <v>28</v>
      </c>
      <c r="RY60">
        <v>54</v>
      </c>
      <c r="SA60">
        <v>35</v>
      </c>
      <c r="SE60">
        <v>35</v>
      </c>
      <c r="SI60">
        <v>35</v>
      </c>
      <c r="SM60">
        <v>35</v>
      </c>
      <c r="SQ60">
        <v>30</v>
      </c>
      <c r="SS60">
        <v>54</v>
      </c>
      <c r="SU60">
        <v>30</v>
      </c>
      <c r="SW60">
        <v>54</v>
      </c>
      <c r="SY60">
        <v>40</v>
      </c>
      <c r="TA60">
        <v>52</v>
      </c>
      <c r="TC60">
        <v>35</v>
      </c>
      <c r="TG60">
        <v>35</v>
      </c>
      <c r="TK60">
        <v>35</v>
      </c>
      <c r="TM60">
        <v>52</v>
      </c>
      <c r="TO60">
        <v>35</v>
      </c>
      <c r="TS60">
        <v>35</v>
      </c>
      <c r="TU60">
        <v>52</v>
      </c>
      <c r="TW60">
        <v>30</v>
      </c>
      <c r="TY60">
        <v>50</v>
      </c>
      <c r="UA60">
        <v>30</v>
      </c>
      <c r="UC60">
        <v>50</v>
      </c>
      <c r="UE60">
        <v>35</v>
      </c>
      <c r="UI60">
        <v>35</v>
      </c>
      <c r="UM60">
        <v>35</v>
      </c>
      <c r="UQ60">
        <v>35</v>
      </c>
      <c r="UU60">
        <v>28</v>
      </c>
      <c r="UW60">
        <v>55</v>
      </c>
      <c r="UY60">
        <v>28</v>
      </c>
      <c r="VA60">
        <v>50</v>
      </c>
      <c r="VC60">
        <v>28</v>
      </c>
      <c r="VE60">
        <v>60</v>
      </c>
      <c r="VG60">
        <v>28</v>
      </c>
      <c r="VI60">
        <v>59</v>
      </c>
      <c r="VK60">
        <v>28</v>
      </c>
      <c r="VM60">
        <v>60</v>
      </c>
      <c r="VO60">
        <v>28</v>
      </c>
      <c r="VQ60">
        <v>56</v>
      </c>
      <c r="VS60">
        <v>28</v>
      </c>
      <c r="VU60">
        <v>55</v>
      </c>
      <c r="VW60">
        <v>28</v>
      </c>
      <c r="VY60">
        <v>60</v>
      </c>
      <c r="WA60">
        <v>28</v>
      </c>
      <c r="WC60">
        <v>58</v>
      </c>
      <c r="WE60">
        <v>28</v>
      </c>
      <c r="WG60">
        <v>57</v>
      </c>
      <c r="WI60">
        <v>28</v>
      </c>
      <c r="WK60">
        <v>59</v>
      </c>
      <c r="WM60">
        <v>28</v>
      </c>
      <c r="WO60">
        <v>61</v>
      </c>
      <c r="WQ60">
        <v>28</v>
      </c>
      <c r="WS60">
        <v>57</v>
      </c>
      <c r="WU60">
        <v>28</v>
      </c>
      <c r="WW60">
        <v>50</v>
      </c>
      <c r="WY60">
        <v>28</v>
      </c>
      <c r="XA60">
        <v>58</v>
      </c>
      <c r="XC60">
        <v>38</v>
      </c>
      <c r="XE60">
        <v>58</v>
      </c>
      <c r="XG60">
        <v>32</v>
      </c>
      <c r="XK60">
        <v>35</v>
      </c>
      <c r="XO60">
        <v>26</v>
      </c>
      <c r="XQ60">
        <v>64</v>
      </c>
    </row>
    <row r="61" s="172" customFormat="true" ht="15" hidden="false" customHeight="false" outlineLevel="0" collapsed="false">
      <c r="A61" s="141" t="s">
        <v>1359</v>
      </c>
      <c r="B61" s="142"/>
      <c r="C61" s="142" t="n">
        <v>0</v>
      </c>
      <c r="D61" s="142"/>
      <c r="E61" s="142"/>
      <c r="F61" s="143"/>
      <c r="G61" s="143" t="n">
        <v>0</v>
      </c>
      <c r="H61" s="143"/>
      <c r="I61">
        <v>14</v>
      </c>
      <c r="J61" s="144"/>
      <c r="K61" s="144" t="n">
        <v>0</v>
      </c>
      <c r="L61" s="144"/>
      <c r="M61">
        <v>14</v>
      </c>
      <c r="N61" s="145"/>
      <c r="O61" s="145" t="n">
        <v>0</v>
      </c>
      <c r="P61" s="145"/>
      <c r="Q61">
        <v>16</v>
      </c>
      <c r="R61" s="146"/>
      <c r="S61" s="146" t="n">
        <v>0</v>
      </c>
      <c r="T61" s="146"/>
      <c r="U61">
        <v>13</v>
      </c>
      <c r="V61" s="147"/>
      <c r="W61" s="147" t="n">
        <v>0</v>
      </c>
      <c r="X61" s="147"/>
      <c r="Y61">
        <v>15</v>
      </c>
      <c r="Z61" s="148"/>
      <c r="AA61" s="148" t="n">
        <v>0</v>
      </c>
      <c r="AB61" s="148"/>
      <c r="AC61">
        <v>14</v>
      </c>
      <c r="AD61" s="149"/>
      <c r="AE61" s="149" t="n">
        <v>0</v>
      </c>
      <c r="AF61" s="149"/>
      <c r="AG61" s="149"/>
      <c r="AH61" s="150"/>
      <c r="AI61">
        <v>0</v>
      </c>
      <c r="AJ61" s="150"/>
      <c r="AK61">
        <v>14</v>
      </c>
      <c r="AL61" s="151"/>
      <c r="AM61" s="151" t="n">
        <v>0</v>
      </c>
      <c r="AN61" s="151"/>
      <c r="AO61">
        <v>16</v>
      </c>
      <c r="AP61" s="152"/>
      <c r="AQ61" s="152" t="n">
        <v>0</v>
      </c>
      <c r="AR61" s="152"/>
      <c r="AS61" s="152" t="n">
        <v>12</v>
      </c>
      <c r="AT61" s="153"/>
      <c r="AU61" s="153" t="n">
        <v>0</v>
      </c>
      <c r="AV61" s="153"/>
      <c r="AW61" s="153" t="n">
        <v>12</v>
      </c>
      <c r="AX61" s="154"/>
      <c r="AY61" s="155" t="n">
        <v>0</v>
      </c>
      <c r="AZ61" s="154"/>
      <c r="BA61">
        <v>12</v>
      </c>
      <c r="BB61" s="156"/>
      <c r="BC61" s="157" t="n">
        <v>0</v>
      </c>
      <c r="BD61" s="156"/>
      <c r="BE61">
        <v>12</v>
      </c>
      <c r="BF61" s="158"/>
      <c r="BG61" s="159" t="n">
        <v>0</v>
      </c>
      <c r="BH61" s="158"/>
      <c r="BI61">
        <v>12</v>
      </c>
      <c r="BJ61" s="160"/>
      <c r="BK61" s="161" t="n">
        <v>0</v>
      </c>
      <c r="BL61" s="160"/>
      <c r="BM61" s="160" t="n">
        <v>12</v>
      </c>
      <c r="BN61" s="143"/>
      <c r="BO61" s="143" t="n">
        <v>0</v>
      </c>
      <c r="BP61" s="143"/>
      <c r="BQ61">
        <v>16</v>
      </c>
      <c r="BR61" s="162"/>
      <c r="BS61" s="162" t="n">
        <v>0</v>
      </c>
      <c r="BT61" s="162"/>
      <c r="BU61">
        <v>14</v>
      </c>
      <c r="BW61">
        <v>0</v>
      </c>
      <c r="BY61">
        <v>12</v>
      </c>
      <c r="BZ61" s="164"/>
      <c r="CA61" s="164" t="n">
        <v>0</v>
      </c>
      <c r="CB61" s="164"/>
      <c r="CC61" s="165" t="n">
        <v>11</v>
      </c>
      <c r="CD61" s="143"/>
      <c r="CE61" s="143" t="n">
        <v>0</v>
      </c>
      <c r="CF61" s="143"/>
      <c r="CG61" s="143" t="n">
        <v>0</v>
      </c>
      <c r="CH61" s="166"/>
      <c r="CI61" s="166" t="n">
        <v>0</v>
      </c>
      <c r="CJ61" s="166"/>
      <c r="CK61">
        <v>15</v>
      </c>
      <c r="CL61" s="167"/>
      <c r="CM61" s="167" t="n">
        <v>0</v>
      </c>
      <c r="CN61" s="167"/>
      <c r="CO61">
        <v>15</v>
      </c>
      <c r="CP61" s="163"/>
      <c r="CQ61" s="163" t="n">
        <v>0</v>
      </c>
      <c r="CR61" s="163"/>
      <c r="CS61" s="163" t="n">
        <v>12</v>
      </c>
      <c r="CT61" s="162"/>
      <c r="CU61" s="162" t="n">
        <v>0</v>
      </c>
      <c r="CV61" s="162"/>
      <c r="CW61" s="162" t="n">
        <v>12</v>
      </c>
      <c r="CX61" s="169"/>
      <c r="CY61" s="169" t="n">
        <v>0</v>
      </c>
      <c r="CZ61" s="169"/>
      <c r="DA61">
        <v>16</v>
      </c>
      <c r="DB61" s="171"/>
      <c r="DC61" s="171" t="n">
        <v>0</v>
      </c>
      <c r="DD61" s="171"/>
      <c r="DE61">
        <v>17</v>
      </c>
      <c r="DG61">
        <v>0</v>
      </c>
      <c r="DI61">
        <v>12</v>
      </c>
      <c r="DK61">
        <v>0</v>
      </c>
      <c r="DM61">
        <v>12</v>
      </c>
      <c r="DO61">
        <v>0</v>
      </c>
      <c r="DQ61">
        <v>12</v>
      </c>
      <c r="DS61">
        <v>0</v>
      </c>
      <c r="DU61">
        <v>12</v>
      </c>
      <c r="DW61">
        <v>0</v>
      </c>
      <c r="DY61">
        <v>12</v>
      </c>
      <c r="EA61">
        <v>0</v>
      </c>
      <c r="EC61">
        <v>12</v>
      </c>
      <c r="EE61">
        <v>0</v>
      </c>
      <c r="EG61">
        <v>12</v>
      </c>
      <c r="EI61">
        <v>0</v>
      </c>
      <c r="EK61">
        <v>12</v>
      </c>
      <c r="EM61">
        <v>0</v>
      </c>
      <c r="EO61">
        <v>12</v>
      </c>
      <c r="EQ61">
        <v>0</v>
      </c>
      <c r="ES61">
        <v>8</v>
      </c>
      <c r="EU61">
        <v>0</v>
      </c>
      <c r="EW61">
        <v>8</v>
      </c>
      <c r="EY61">
        <v>0</v>
      </c>
      <c r="FA61">
        <v>12</v>
      </c>
      <c r="FC61">
        <v>0</v>
      </c>
      <c r="FE61">
        <v>12</v>
      </c>
      <c r="FG61">
        <v>0</v>
      </c>
      <c r="FI61">
        <v>12</v>
      </c>
      <c r="FK61">
        <v>0</v>
      </c>
      <c r="FM61">
        <v>12</v>
      </c>
      <c r="FO61">
        <v>0</v>
      </c>
      <c r="FQ61">
        <v>15</v>
      </c>
      <c r="FS61">
        <v>0</v>
      </c>
      <c r="FU61">
        <v>14</v>
      </c>
      <c r="FW61">
        <v>0</v>
      </c>
      <c r="FY61">
        <v>15</v>
      </c>
      <c r="GA61">
        <v>0</v>
      </c>
      <c r="GC61">
        <v>15</v>
      </c>
      <c r="GE61">
        <v>0</v>
      </c>
      <c r="GG61">
        <v>12</v>
      </c>
      <c r="GI61">
        <v>0</v>
      </c>
      <c r="GK61">
        <v>12</v>
      </c>
      <c r="GM61">
        <v>0</v>
      </c>
      <c r="GO61">
        <v>12</v>
      </c>
      <c r="GP61">
        <v>3</v>
      </c>
      <c r="GQ61">
        <v>0</v>
      </c>
      <c r="GS61">
        <v>12</v>
      </c>
      <c r="GT61">
        <v>3</v>
      </c>
      <c r="GU61">
        <v>0</v>
      </c>
      <c r="GW61">
        <v>12</v>
      </c>
      <c r="GY61">
        <v>0</v>
      </c>
      <c r="HA61">
        <v>12</v>
      </c>
      <c r="HB61">
        <v>3</v>
      </c>
      <c r="HC61">
        <v>0</v>
      </c>
      <c r="HE61">
        <v>12</v>
      </c>
      <c r="HG61">
        <v>0</v>
      </c>
      <c r="HK61">
        <v>0</v>
      </c>
      <c r="HM61">
        <v>12</v>
      </c>
      <c r="HO61">
        <v>0</v>
      </c>
      <c r="HQ61">
        <v>12</v>
      </c>
      <c r="HS61">
        <v>0</v>
      </c>
      <c r="HU61">
        <v>12</v>
      </c>
      <c r="HW61">
        <v>10</v>
      </c>
      <c r="IA61">
        <v>0</v>
      </c>
      <c r="IE61">
        <v>0</v>
      </c>
      <c r="II61">
        <v>0</v>
      </c>
      <c r="IK61">
        <v>12</v>
      </c>
      <c r="IM61">
        <v>0</v>
      </c>
      <c r="IO61">
        <v>12</v>
      </c>
      <c r="IQ61">
        <v>0</v>
      </c>
      <c r="IU61">
        <v>0</v>
      </c>
      <c r="IW61">
        <v>12</v>
      </c>
      <c r="IY61">
        <v>0</v>
      </c>
      <c r="JA61">
        <v>12</v>
      </c>
      <c r="JC61">
        <v>0</v>
      </c>
      <c r="JE61">
        <v>12</v>
      </c>
      <c r="JG61">
        <v>0</v>
      </c>
      <c r="JI61">
        <v>12</v>
      </c>
      <c r="JK61">
        <v>0</v>
      </c>
      <c r="JM61">
        <v>16</v>
      </c>
      <c r="JO61">
        <v>0</v>
      </c>
      <c r="JS61">
        <v>0</v>
      </c>
      <c r="JU61">
        <v>12</v>
      </c>
      <c r="JW61">
        <v>0</v>
      </c>
      <c r="JY61">
        <v>12</v>
      </c>
      <c r="KA61">
        <v>0</v>
      </c>
      <c r="KC61">
        <v>12</v>
      </c>
      <c r="KE61">
        <v>0</v>
      </c>
      <c r="KG61">
        <v>16</v>
      </c>
      <c r="KI61">
        <v>0</v>
      </c>
      <c r="KK61">
        <v>16</v>
      </c>
      <c r="KM61">
        <v>0</v>
      </c>
      <c r="KO61">
        <v>20</v>
      </c>
      <c r="KQ61">
        <v>0</v>
      </c>
      <c r="KU61">
        <v>0</v>
      </c>
      <c r="KW61">
        <v>12</v>
      </c>
      <c r="KY61">
        <v>0</v>
      </c>
      <c r="LA61">
        <v>14</v>
      </c>
      <c r="LC61">
        <v>0</v>
      </c>
      <c r="LE61">
        <v>16</v>
      </c>
      <c r="LG61">
        <v>0</v>
      </c>
      <c r="LK61">
        <v>0</v>
      </c>
      <c r="LM61">
        <v>12</v>
      </c>
      <c r="LO61">
        <v>0</v>
      </c>
      <c r="LQ61">
        <v>15</v>
      </c>
      <c r="LS61">
        <v>0</v>
      </c>
      <c r="LU61">
        <v>15</v>
      </c>
      <c r="LW61">
        <v>0</v>
      </c>
      <c r="LY61">
        <v>15</v>
      </c>
      <c r="MA61">
        <v>0</v>
      </c>
      <c r="MC61">
        <v>15</v>
      </c>
      <c r="ME61">
        <v>0</v>
      </c>
      <c r="MG61">
        <v>15</v>
      </c>
      <c r="MI61">
        <v>0</v>
      </c>
      <c r="MK61">
        <v>15</v>
      </c>
      <c r="MM61">
        <v>0</v>
      </c>
      <c r="MO61">
        <v>15</v>
      </c>
      <c r="MQ61">
        <v>0</v>
      </c>
      <c r="MS61">
        <v>17</v>
      </c>
      <c r="MU61">
        <v>0</v>
      </c>
      <c r="MW61">
        <v>15</v>
      </c>
      <c r="MY61">
        <v>0</v>
      </c>
      <c r="NA61">
        <v>15</v>
      </c>
      <c r="NC61">
        <v>0</v>
      </c>
      <c r="NE61">
        <v>15</v>
      </c>
      <c r="NG61">
        <v>0</v>
      </c>
      <c r="NI61">
        <v>15</v>
      </c>
      <c r="NK61">
        <v>0</v>
      </c>
      <c r="NM61">
        <v>15</v>
      </c>
      <c r="NO61">
        <v>0</v>
      </c>
      <c r="NQ61">
        <v>15</v>
      </c>
      <c r="NS61">
        <v>0</v>
      </c>
      <c r="NU61">
        <v>15</v>
      </c>
      <c r="NW61">
        <v>0</v>
      </c>
      <c r="NY61">
        <v>14</v>
      </c>
      <c r="OA61">
        <v>0</v>
      </c>
      <c r="OC61">
        <v>19</v>
      </c>
      <c r="OE61">
        <v>0</v>
      </c>
      <c r="OG61">
        <v>16</v>
      </c>
      <c r="OI61">
        <v>0</v>
      </c>
      <c r="OK61">
        <v>12</v>
      </c>
      <c r="OM61">
        <v>0</v>
      </c>
      <c r="OO61">
        <v>12</v>
      </c>
      <c r="OQ61">
        <v>0</v>
      </c>
      <c r="OS61">
        <v>14</v>
      </c>
      <c r="OU61">
        <v>0</v>
      </c>
      <c r="OW61">
        <v>12</v>
      </c>
      <c r="OY61">
        <v>0</v>
      </c>
      <c r="PA61">
        <v>15</v>
      </c>
      <c r="PC61">
        <v>0</v>
      </c>
      <c r="PE61">
        <v>16</v>
      </c>
      <c r="PG61">
        <v>0</v>
      </c>
      <c r="PI61">
        <v>16</v>
      </c>
      <c r="PK61">
        <v>0</v>
      </c>
      <c r="PM61">
        <v>16</v>
      </c>
      <c r="PO61">
        <v>0</v>
      </c>
      <c r="PQ61">
        <v>16</v>
      </c>
      <c r="PS61">
        <v>0</v>
      </c>
      <c r="PU61">
        <v>16</v>
      </c>
      <c r="PW61">
        <v>0</v>
      </c>
      <c r="PY61">
        <v>16</v>
      </c>
      <c r="QA61">
        <v>0</v>
      </c>
      <c r="QC61">
        <v>16</v>
      </c>
      <c r="QE61">
        <v>0</v>
      </c>
      <c r="QG61">
        <v>16</v>
      </c>
      <c r="QI61">
        <v>0</v>
      </c>
      <c r="QK61">
        <v>16</v>
      </c>
      <c r="QM61">
        <v>0</v>
      </c>
      <c r="QO61">
        <v>16</v>
      </c>
      <c r="QQ61">
        <v>0</v>
      </c>
      <c r="QS61">
        <v>16</v>
      </c>
      <c r="QU61">
        <v>0</v>
      </c>
      <c r="QW61">
        <v>16</v>
      </c>
      <c r="QY61">
        <v>0</v>
      </c>
      <c r="RA61">
        <v>16</v>
      </c>
      <c r="RC61">
        <v>0</v>
      </c>
      <c r="RE61">
        <v>16</v>
      </c>
      <c r="RG61">
        <v>0</v>
      </c>
      <c r="RI61">
        <v>12</v>
      </c>
      <c r="RK61">
        <v>0</v>
      </c>
      <c r="RM61">
        <v>12</v>
      </c>
      <c r="RO61">
        <v>0</v>
      </c>
      <c r="RQ61">
        <v>12</v>
      </c>
      <c r="RS61">
        <v>0</v>
      </c>
      <c r="RU61">
        <v>12</v>
      </c>
      <c r="RW61">
        <v>0</v>
      </c>
      <c r="RY61">
        <v>12</v>
      </c>
      <c r="SA61">
        <v>0</v>
      </c>
      <c r="SE61">
        <v>0</v>
      </c>
      <c r="SI61">
        <v>0</v>
      </c>
      <c r="SM61">
        <v>0</v>
      </c>
      <c r="SQ61">
        <v>0</v>
      </c>
      <c r="SS61">
        <v>12</v>
      </c>
      <c r="SU61">
        <v>0</v>
      </c>
      <c r="SW61">
        <v>12</v>
      </c>
      <c r="SY61">
        <v>0</v>
      </c>
      <c r="TA61">
        <v>12</v>
      </c>
      <c r="TC61">
        <v>0</v>
      </c>
      <c r="TG61">
        <v>0</v>
      </c>
      <c r="TK61">
        <v>0</v>
      </c>
      <c r="TM61">
        <v>12</v>
      </c>
      <c r="TO61">
        <v>0</v>
      </c>
      <c r="TS61">
        <v>0</v>
      </c>
      <c r="TU61">
        <v>12</v>
      </c>
      <c r="TW61">
        <v>0</v>
      </c>
      <c r="TY61">
        <v>12</v>
      </c>
      <c r="UA61">
        <v>0</v>
      </c>
      <c r="UC61">
        <v>12</v>
      </c>
      <c r="UE61">
        <v>0</v>
      </c>
      <c r="UI61">
        <v>0</v>
      </c>
      <c r="UM61">
        <v>0</v>
      </c>
      <c r="UQ61">
        <v>0</v>
      </c>
      <c r="UU61">
        <v>0</v>
      </c>
      <c r="UW61">
        <v>12</v>
      </c>
      <c r="UY61">
        <v>0</v>
      </c>
      <c r="VA61">
        <v>12</v>
      </c>
      <c r="VC61">
        <v>0</v>
      </c>
      <c r="VE61">
        <v>15</v>
      </c>
      <c r="VG61">
        <v>0</v>
      </c>
      <c r="VI61">
        <v>12</v>
      </c>
      <c r="VK61">
        <v>0</v>
      </c>
      <c r="VM61">
        <v>14</v>
      </c>
      <c r="VO61">
        <v>0</v>
      </c>
      <c r="VQ61">
        <v>12</v>
      </c>
      <c r="VS61">
        <v>0</v>
      </c>
      <c r="VU61">
        <v>12</v>
      </c>
      <c r="VW61">
        <v>0</v>
      </c>
      <c r="VY61">
        <v>16</v>
      </c>
      <c r="WA61">
        <v>0</v>
      </c>
      <c r="WC61">
        <v>15</v>
      </c>
      <c r="WE61">
        <v>0</v>
      </c>
      <c r="WG61">
        <v>12</v>
      </c>
      <c r="WI61">
        <v>0</v>
      </c>
      <c r="WK61">
        <v>17</v>
      </c>
      <c r="WM61">
        <v>0</v>
      </c>
      <c r="WO61">
        <v>18</v>
      </c>
      <c r="WQ61">
        <v>0</v>
      </c>
      <c r="WS61">
        <v>16</v>
      </c>
      <c r="WU61">
        <v>0</v>
      </c>
      <c r="WW61">
        <v>12</v>
      </c>
      <c r="WY61">
        <v>0</v>
      </c>
      <c r="XA61">
        <v>15</v>
      </c>
      <c r="XC61">
        <v>0</v>
      </c>
      <c r="XE61">
        <v>14</v>
      </c>
      <c r="XG61">
        <v>0</v>
      </c>
      <c r="XK61">
        <v>0</v>
      </c>
      <c r="XO61">
        <v>0</v>
      </c>
      <c r="XQ61">
        <v>9</v>
      </c>
    </row>
    <row r="62" s="172" customFormat="true" ht="15" hidden="false" customHeight="false" outlineLevel="0" collapsed="false">
      <c r="A62" s="141" t="inlineStr">
        <is>
          <t xml:space="preserve">{letter.altgrhalf}</t>
        </is>
      </c>
      <c r="B62" s="142"/>
      <c r="C62" s="142"/>
      <c r="D62" s="142"/>
      <c r="E62" s="142"/>
      <c r="F62" s="143"/>
      <c r="G62" s="143"/>
      <c r="H62" s="143"/>
      <c r="I62"/>
      <c r="J62" s="144"/>
      <c r="K62" s="144"/>
      <c r="L62" s="144"/>
      <c r="M62"/>
      <c r="N62" s="145"/>
      <c r="O62" s="145"/>
      <c r="P62" s="145"/>
      <c r="Q62"/>
      <c r="R62" s="146"/>
      <c r="S62" s="146"/>
      <c r="T62" s="146"/>
      <c r="U62"/>
      <c r="V62" s="147"/>
      <c r="W62" s="147"/>
      <c r="X62" s="147"/>
      <c r="Y62" s="147"/>
      <c r="Z62" s="148"/>
      <c r="AA62" s="148"/>
      <c r="AB62" s="148"/>
      <c r="AC62" s="148"/>
      <c r="AD62" s="149"/>
      <c r="AE62" s="149"/>
      <c r="AF62" s="149"/>
      <c r="AG62" s="149"/>
      <c r="AH62" s="150"/>
      <c r="AI62" s="150"/>
      <c r="AJ62" s="150"/>
      <c r="AK62" s="150"/>
      <c r="AL62" s="151"/>
      <c r="AM62" s="151"/>
      <c r="AN62" s="151"/>
      <c r="AO62" t="n">
        <v>1</v>
      </c>
      <c r="AP62" s="152"/>
      <c r="AQ62" s="152"/>
      <c r="AR62" s="152"/>
      <c r="AS62" s="152"/>
      <c r="AT62" s="153"/>
      <c r="AU62" s="153"/>
      <c r="AV62" s="153"/>
      <c r="AW62" s="153"/>
      <c r="AX62" s="154"/>
      <c r="AY62" s="155"/>
      <c r="AZ62" s="154"/>
      <c r="BA62"/>
      <c r="BB62" s="156"/>
      <c r="BC62" s="157"/>
      <c r="BD62" s="156"/>
      <c r="BE62"/>
      <c r="BF62" s="158"/>
      <c r="BG62" s="159"/>
      <c r="BH62" s="158"/>
      <c r="BI62"/>
      <c r="BJ62" s="160"/>
      <c r="BK62" s="161"/>
      <c r="BL62" s="160"/>
      <c r="BM62" s="160"/>
      <c r="BN62" s="143"/>
      <c r="BO62" s="143"/>
      <c r="BP62" s="143"/>
      <c r="BQ62" s="143"/>
      <c r="BR62" s="162"/>
      <c r="BS62" s="162"/>
      <c r="BT62" s="162"/>
      <c r="BU62" s="162"/>
      <c r="BW62"/>
      <c r="BY62"/>
      <c r="BZ62" s="164"/>
      <c r="CA62" s="164"/>
      <c r="CB62" s="164"/>
      <c r="CC62" s="165"/>
      <c r="CD62" s="143"/>
      <c r="CE62" s="143"/>
      <c r="CF62" s="143"/>
      <c r="CG62" s="143"/>
      <c r="CH62" s="166"/>
      <c r="CI62" s="166"/>
      <c r="CJ62" s="166"/>
      <c r="CK62" s="166"/>
      <c r="CL62" s="167"/>
      <c r="CM62" s="167"/>
      <c r="CN62" s="167"/>
      <c r="CO62" s="167"/>
      <c r="CP62" s="163"/>
      <c r="CQ62" s="163"/>
      <c r="CR62" s="163"/>
      <c r="CS62" s="163"/>
      <c r="CT62" s="162"/>
      <c r="CU62" s="162"/>
      <c r="CV62" s="162"/>
      <c r="CW62" s="162"/>
      <c r="CX62" s="169"/>
      <c r="CY62" s="169"/>
      <c r="CZ62" s="169"/>
      <c r="DA62" s="169"/>
      <c r="DB62" s="171"/>
      <c r="DC62" s="171"/>
      <c r="DD62" s="171"/>
      <c r="DE62" s="171"/>
      <c r="DG62"/>
      <c r="DI62"/>
      <c r="DK62"/>
      <c r="DM62"/>
      <c r="DO62"/>
      <c r="DQ62"/>
      <c r="DS62"/>
      <c r="DU62"/>
      <c r="DW62"/>
      <c r="DY62"/>
      <c r="EA62"/>
      <c r="EC62"/>
      <c r="EE62"/>
      <c r="EG62"/>
      <c r="EI62"/>
      <c r="EK62"/>
      <c r="EM62"/>
      <c r="EO62" t="n">
        <v>1</v>
      </c>
      <c r="EQ62"/>
      <c r="EU62"/>
      <c r="EY62"/>
      <c r="FA62" t="n">
        <v>1</v>
      </c>
      <c r="FC62"/>
      <c r="FE62"/>
      <c r="FG62"/>
      <c r="FI62" t="n">
        <v>1</v>
      </c>
      <c r="FK62"/>
      <c r="FM62"/>
      <c r="FO62"/>
      <c r="FQ62"/>
      <c r="FS62"/>
      <c r="FU62"/>
      <c r="FW62"/>
      <c r="FY62"/>
      <c r="GA62"/>
      <c r="GC62"/>
      <c r="GE62"/>
      <c r="GG62"/>
      <c r="GI62"/>
      <c r="GK62" t="n">
        <v>1</v>
      </c>
      <c r="GM62"/>
      <c r="GO62" t="n">
        <v>1</v>
      </c>
      <c r="GP62"/>
      <c r="GQ62"/>
      <c r="GS62" t="n">
        <v>1</v>
      </c>
      <c r="GT62"/>
      <c r="GU62"/>
      <c r="GW62"/>
      <c r="GY62"/>
      <c r="HA62"/>
      <c r="HB62"/>
      <c r="HC62"/>
      <c r="HE62"/>
      <c r="HG62"/>
      <c r="HK62"/>
      <c r="HM62"/>
      <c r="HO62"/>
      <c r="HQ62"/>
      <c r="HS62"/>
      <c r="HU62"/>
      <c r="HW62"/>
      <c r="IA62"/>
      <c r="IE62"/>
      <c r="II62"/>
      <c r="IK62"/>
      <c r="IM62"/>
      <c r="IO62"/>
      <c r="IQ62"/>
      <c r="IU62"/>
      <c r="IW62"/>
      <c r="IY62"/>
      <c r="JA62"/>
      <c r="JC62"/>
      <c r="JE62"/>
      <c r="JG62"/>
      <c r="JI62"/>
      <c r="JK62"/>
      <c r="JM62" t="n">
        <v>1</v>
      </c>
      <c r="JO62"/>
      <c r="JS62"/>
      <c r="JU62"/>
      <c r="JW62"/>
      <c r="JY62"/>
      <c r="KA62"/>
      <c r="KC62"/>
      <c r="KE62"/>
      <c r="KG62" t="n">
        <v>1</v>
      </c>
      <c r="KI62"/>
      <c r="KK62" t="n">
        <v>1</v>
      </c>
      <c r="KM62"/>
      <c r="KO62" t="n">
        <v>1</v>
      </c>
      <c r="KQ62"/>
      <c r="KU62"/>
      <c r="KW62"/>
      <c r="KY62"/>
      <c r="LA62"/>
      <c r="LC62"/>
      <c r="LE62"/>
      <c r="LG62"/>
      <c r="LK62"/>
      <c r="LM62"/>
      <c r="LO62"/>
      <c r="LQ62"/>
      <c r="LS62"/>
      <c r="LU62"/>
      <c r="LW62"/>
      <c r="LY62"/>
      <c r="MA62"/>
      <c r="MC62"/>
      <c r="ME62"/>
      <c r="MG62"/>
      <c r="MI62"/>
      <c r="MK62"/>
      <c r="MM62"/>
      <c r="MO62"/>
      <c r="MQ62"/>
      <c r="MS62"/>
      <c r="MU62"/>
      <c r="MW62"/>
      <c r="MY62"/>
      <c r="NA62"/>
      <c r="NC62"/>
      <c r="NE62"/>
      <c r="NG62"/>
      <c r="NI62"/>
      <c r="NK62"/>
      <c r="NM62"/>
      <c r="NO62"/>
      <c r="NQ62"/>
      <c r="NS62"/>
      <c r="NU62"/>
      <c r="NW62"/>
      <c r="NY62"/>
      <c r="OA62"/>
      <c r="OC62"/>
      <c r="OE62"/>
      <c r="OG62"/>
      <c r="OI62"/>
      <c r="OK62"/>
      <c r="OM62"/>
      <c r="OO62"/>
      <c r="OQ62"/>
      <c r="OS62"/>
      <c r="OU62"/>
      <c r="OW62"/>
      <c r="OY62"/>
      <c r="PA62"/>
      <c r="PC62"/>
      <c r="PE62" t="n">
        <v>1</v>
      </c>
      <c r="PG62"/>
      <c r="PI62" t="n">
        <v>1</v>
      </c>
      <c r="PK62"/>
      <c r="PM62" t="n">
        <v>1</v>
      </c>
      <c r="PO62"/>
      <c r="PQ62" t="n">
        <v>1</v>
      </c>
      <c r="PS62"/>
      <c r="PU62" t="n">
        <v>1</v>
      </c>
      <c r="PW62"/>
      <c r="PY62" t="n">
        <v>1</v>
      </c>
      <c r="QA62"/>
      <c r="QC62" t="n">
        <v>1</v>
      </c>
      <c r="QE62"/>
      <c r="QG62" t="n">
        <v>1</v>
      </c>
      <c r="QI62"/>
      <c r="QK62" t="n">
        <v>1</v>
      </c>
      <c r="QM62"/>
      <c r="QO62" t="n">
        <v>1</v>
      </c>
      <c r="QQ62"/>
      <c r="QS62" t="n">
        <v>1</v>
      </c>
      <c r="QU62"/>
      <c r="QW62" t="n">
        <v>1</v>
      </c>
      <c r="QY62"/>
      <c r="RA62" t="n">
        <v>1</v>
      </c>
      <c r="RC62"/>
      <c r="RE62" t="n">
        <v>1</v>
      </c>
      <c r="RG62"/>
      <c r="RI62"/>
      <c r="RK62"/>
      <c r="RM62"/>
      <c r="RO62"/>
      <c r="RQ62"/>
      <c r="RS62"/>
      <c r="RU62"/>
      <c r="RW62"/>
      <c r="RY62"/>
      <c r="SA62"/>
      <c r="SE62"/>
      <c r="SI62"/>
      <c r="SM62"/>
      <c r="SQ62"/>
      <c r="SS62"/>
      <c r="SU62"/>
      <c r="SW62"/>
      <c r="SY62"/>
      <c r="TA62" t="n">
        <v>1</v>
      </c>
      <c r="TC62"/>
      <c r="TG62"/>
      <c r="TK62"/>
      <c r="TM62"/>
      <c r="TO62"/>
      <c r="TS62"/>
      <c r="TU62"/>
      <c r="TW62"/>
      <c r="TY62"/>
      <c r="UA62"/>
      <c r="UC62"/>
      <c r="UE62"/>
      <c r="UI62"/>
      <c r="UM62"/>
      <c r="UQ62"/>
      <c r="UU62"/>
      <c r="UW62"/>
      <c r="UY62"/>
      <c r="VA62"/>
      <c r="VC62"/>
      <c r="VE62"/>
      <c r="VG62"/>
      <c r="VI62"/>
      <c r="VK62"/>
      <c r="VM62"/>
      <c r="VO62"/>
      <c r="VQ62"/>
      <c r="VS62"/>
      <c r="VU62"/>
      <c r="VW62"/>
      <c r="VY62"/>
      <c r="WA62"/>
      <c r="WC62"/>
      <c r="WE62"/>
      <c r="WG62"/>
      <c r="WI62"/>
      <c r="WK62"/>
      <c r="WM62"/>
      <c r="WO62"/>
      <c r="WQ62"/>
      <c r="WS62"/>
      <c r="WU62"/>
      <c r="WW62"/>
      <c r="WY62"/>
      <c r="XA62"/>
      <c r="XC62"/>
      <c r="XE62" t="n">
        <v>1</v>
      </c>
      <c r="XG62"/>
      <c r="XK62"/>
      <c r="XO62"/>
      <c r="XQ62"/>
    </row>
    <row r="63" s="172" customFormat="true" ht="15" hidden="false" customHeight="false" outlineLevel="0" collapsed="false">
      <c r="A63" s="141" t="inlineStr">
        <is>
          <t xml:space="preserve">{num.altgrhalf}</t>
        </is>
      </c>
      <c r="B63" s="142"/>
      <c r="C63" s="142"/>
      <c r="D63" s="142"/>
      <c r="E63" s="142"/>
      <c r="F63" s="143"/>
      <c r="G63" s="143"/>
      <c r="H63" s="143"/>
      <c r="I63"/>
      <c r="J63" s="144"/>
      <c r="K63" s="144"/>
      <c r="L63" s="144"/>
      <c r="M63"/>
      <c r="N63" s="145"/>
      <c r="O63" s="145"/>
      <c r="P63" s="145"/>
      <c r="Q63"/>
      <c r="R63" s="146"/>
      <c r="S63" s="146"/>
      <c r="T63" s="146"/>
      <c r="U63"/>
      <c r="V63" s="147"/>
      <c r="W63" s="147"/>
      <c r="X63" s="147"/>
      <c r="Y63" s="147"/>
      <c r="Z63" s="148"/>
      <c r="AA63" s="148"/>
      <c r="AB63" s="148"/>
      <c r="AC63" s="148"/>
      <c r="AD63" s="149"/>
      <c r="AE63" s="149"/>
      <c r="AF63" s="149"/>
      <c r="AG63" s="149"/>
      <c r="AH63" s="150"/>
      <c r="AI63" s="150"/>
      <c r="AJ63" s="150"/>
      <c r="AK63" s="150"/>
      <c r="AL63" s="151"/>
      <c r="AM63" s="151"/>
      <c r="AN63" s="151"/>
      <c r="AO63"/>
      <c r="AP63" s="152"/>
      <c r="AQ63" s="152"/>
      <c r="AR63" s="152"/>
      <c r="AS63" s="152"/>
      <c r="AT63" s="153"/>
      <c r="AU63" s="153"/>
      <c r="AV63" s="153"/>
      <c r="AW63" s="153"/>
      <c r="AX63" s="154"/>
      <c r="AY63" s="155"/>
      <c r="AZ63" s="154"/>
      <c r="BA63"/>
      <c r="BB63" s="156"/>
      <c r="BC63" s="157"/>
      <c r="BD63" s="156"/>
      <c r="BE63"/>
      <c r="BF63" s="158"/>
      <c r="BG63" s="159"/>
      <c r="BH63" s="158"/>
      <c r="BI63"/>
      <c r="BJ63" s="160"/>
      <c r="BK63" s="161"/>
      <c r="BL63" s="160"/>
      <c r="BM63" s="160"/>
      <c r="BN63" s="143"/>
      <c r="BO63" s="143"/>
      <c r="BP63" s="143"/>
      <c r="BQ63" s="143"/>
      <c r="BR63" s="162"/>
      <c r="BS63" s="162"/>
      <c r="BT63" s="162"/>
      <c r="BU63" s="162"/>
      <c r="BW63"/>
      <c r="BY63"/>
      <c r="BZ63" s="164"/>
      <c r="CA63" s="164"/>
      <c r="CB63" s="164"/>
      <c r="CC63" s="165"/>
      <c r="CD63" s="143"/>
      <c r="CE63" s="143"/>
      <c r="CF63" s="143"/>
      <c r="CG63" s="143"/>
      <c r="CH63" s="166"/>
      <c r="CI63" s="166"/>
      <c r="CJ63" s="166"/>
      <c r="CK63" s="166"/>
      <c r="CL63" s="167"/>
      <c r="CM63" s="167"/>
      <c r="CN63" s="167"/>
      <c r="CO63" s="167"/>
      <c r="CP63" s="163"/>
      <c r="CQ63" s="163"/>
      <c r="CR63" s="163"/>
      <c r="CS63" s="163"/>
      <c r="CT63" s="162"/>
      <c r="CU63" s="162"/>
      <c r="CV63" s="162"/>
      <c r="CW63" s="162"/>
      <c r="CX63" s="169"/>
      <c r="CY63" s="169"/>
      <c r="CZ63" s="169"/>
      <c r="DA63" s="169"/>
      <c r="DB63" s="171"/>
      <c r="DC63" s="171"/>
      <c r="DD63" s="171"/>
      <c r="DE63" s="171"/>
      <c r="DG63"/>
      <c r="DI63"/>
      <c r="DK63"/>
      <c r="DM63"/>
      <c r="DO63"/>
      <c r="DQ63"/>
      <c r="DS63"/>
      <c r="DU63"/>
      <c r="DW63"/>
      <c r="DY63"/>
      <c r="EA63"/>
      <c r="EC63"/>
      <c r="EE63"/>
      <c r="EG63"/>
      <c r="EI63"/>
      <c r="EK63"/>
      <c r="EM63"/>
      <c r="EO63"/>
      <c r="EQ63"/>
      <c r="ES63"/>
      <c r="EU63"/>
      <c r="EW63"/>
      <c r="EY63"/>
      <c r="FA63"/>
      <c r="FC63"/>
      <c r="FE63"/>
      <c r="FG63"/>
      <c r="FI63"/>
      <c r="FK63"/>
      <c r="FM63"/>
      <c r="FO63"/>
      <c r="FQ63"/>
      <c r="FS63"/>
      <c r="FU63"/>
      <c r="FW63"/>
      <c r="FY63"/>
      <c r="GA63"/>
      <c r="GC63"/>
      <c r="GE63"/>
      <c r="GG63"/>
      <c r="GI63"/>
      <c r="GK63"/>
      <c r="GM63"/>
      <c r="GO63"/>
      <c r="GP63"/>
      <c r="GQ63"/>
      <c r="GS63"/>
      <c r="GT63"/>
      <c r="GU63"/>
      <c r="GW63"/>
      <c r="GY63"/>
      <c r="HA63"/>
      <c r="HB63"/>
      <c r="HC63"/>
      <c r="HE63"/>
      <c r="HG63"/>
      <c r="HK63"/>
      <c r="HM63"/>
      <c r="HO63"/>
      <c r="HQ63"/>
      <c r="HS63"/>
      <c r="HU63"/>
      <c r="HW63"/>
      <c r="IA63"/>
      <c r="IE63"/>
      <c r="II63"/>
      <c r="IK63"/>
      <c r="IM63"/>
      <c r="IO63"/>
      <c r="IQ63"/>
      <c r="IU63"/>
      <c r="IW63"/>
      <c r="IY63"/>
      <c r="JA63"/>
      <c r="JC63"/>
      <c r="JE63"/>
      <c r="JG63"/>
      <c r="JI63"/>
      <c r="JK63"/>
      <c r="JM63"/>
      <c r="JO63"/>
      <c r="JS63"/>
      <c r="JU63"/>
      <c r="JW63"/>
      <c r="JY63"/>
      <c r="KA63"/>
      <c r="KC63"/>
      <c r="KE63"/>
      <c r="KG63"/>
      <c r="KI63"/>
      <c r="KK63"/>
      <c r="KM63"/>
      <c r="KO63"/>
      <c r="KQ63"/>
      <c r="KU63"/>
      <c r="KW63"/>
      <c r="KY63"/>
      <c r="LA63"/>
      <c r="LC63"/>
      <c r="LE63"/>
      <c r="LG63"/>
      <c r="LK63"/>
      <c r="LM63"/>
      <c r="LO63"/>
      <c r="LQ63"/>
      <c r="LS63"/>
      <c r="LU63"/>
      <c r="LW63"/>
      <c r="LY63"/>
      <c r="MA63"/>
      <c r="MC63"/>
      <c r="ME63"/>
      <c r="MG63"/>
      <c r="MI63"/>
      <c r="MK63"/>
      <c r="MM63"/>
      <c r="MO63"/>
      <c r="MQ63"/>
      <c r="MS63"/>
      <c r="MU63"/>
      <c r="MW63"/>
      <c r="MY63"/>
      <c r="NA63"/>
      <c r="NC63"/>
      <c r="NE63"/>
      <c r="NG63"/>
      <c r="NI63"/>
      <c r="NK63"/>
      <c r="NM63"/>
      <c r="NO63"/>
      <c r="NQ63"/>
      <c r="NS63"/>
      <c r="NU63"/>
      <c r="NW63"/>
      <c r="NY63"/>
      <c r="OA63"/>
      <c r="OC63"/>
      <c r="OE63"/>
      <c r="OG63"/>
      <c r="OI63"/>
      <c r="OK63"/>
      <c r="OM63"/>
      <c r="OO63"/>
      <c r="OQ63"/>
      <c r="OS63"/>
      <c r="OU63"/>
      <c r="OW63"/>
      <c r="OY63"/>
      <c r="PA63"/>
      <c r="PC63"/>
      <c r="PE63"/>
      <c r="PG63"/>
      <c r="PI63"/>
      <c r="PK63"/>
      <c r="PM63"/>
      <c r="PO63"/>
      <c r="PQ63"/>
      <c r="PS63"/>
      <c r="PU63"/>
      <c r="PW63"/>
      <c r="PY63"/>
      <c r="QA63"/>
      <c r="QC63"/>
      <c r="QE63"/>
      <c r="QG63"/>
      <c r="QI63"/>
      <c r="QK63"/>
      <c r="QM63"/>
      <c r="QO63"/>
      <c r="QQ63"/>
      <c r="QS63"/>
      <c r="QU63"/>
      <c r="QW63"/>
      <c r="QY63"/>
      <c r="RA63"/>
      <c r="RC63"/>
      <c r="RE63"/>
      <c r="RG63"/>
      <c r="RI63"/>
      <c r="RK63"/>
      <c r="RM63"/>
      <c r="RO63"/>
      <c r="RQ63"/>
      <c r="RS63"/>
      <c r="RU63"/>
      <c r="RW63"/>
      <c r="RY63"/>
      <c r="SA63"/>
      <c r="SE63"/>
      <c r="SI63"/>
      <c r="SM63"/>
      <c r="SQ63"/>
      <c r="SS63"/>
      <c r="SU63"/>
      <c r="SW63"/>
      <c r="SY63"/>
      <c r="TA63"/>
      <c r="TC63"/>
      <c r="TG63"/>
      <c r="TK63"/>
      <c r="TM63"/>
      <c r="TO63"/>
      <c r="TS63"/>
      <c r="TU63"/>
      <c r="TW63"/>
      <c r="TY63"/>
      <c r="UA63"/>
      <c r="UC63"/>
      <c r="UE63"/>
      <c r="UI63"/>
      <c r="UM63"/>
      <c r="UQ63"/>
      <c r="UU63"/>
      <c r="UW63"/>
      <c r="UY63"/>
      <c r="VA63"/>
      <c r="VC63"/>
      <c r="VE63"/>
      <c r="VG63"/>
      <c r="VI63"/>
      <c r="VK63"/>
      <c r="VM63"/>
      <c r="VO63"/>
      <c r="VQ63"/>
      <c r="VS63"/>
      <c r="VU63"/>
      <c r="VW63"/>
      <c r="VY63"/>
      <c r="WA63"/>
      <c r="WC63"/>
      <c r="WE63"/>
      <c r="WG63"/>
      <c r="WI63"/>
      <c r="WK63"/>
      <c r="WM63"/>
      <c r="WO63"/>
      <c r="WQ63"/>
      <c r="WS63"/>
      <c r="WU63"/>
      <c r="WW63"/>
      <c r="WY63"/>
      <c r="XA63"/>
      <c r="XC63"/>
      <c r="XE63"/>
      <c r="XG63"/>
      <c r="XK63"/>
      <c r="XO63"/>
      <c r="XQ63"/>
    </row>
    <row r="64" s="172" customFormat="true" ht="15" hidden="false" customHeight="false" outlineLevel="0" collapsed="false">
      <c r="A64" s="141" t="inlineStr">
        <is>
          <t xml:space="preserve">{sym.altgrhalf}</t>
        </is>
      </c>
      <c r="B64" s="142"/>
      <c r="C64" s="142"/>
      <c r="D64" s="142"/>
      <c r="E64" s="142"/>
      <c r="F64" s="143"/>
      <c r="G64" s="143"/>
      <c r="H64" s="143"/>
      <c r="I64"/>
      <c r="J64" s="144"/>
      <c r="K64" s="144"/>
      <c r="L64" s="144"/>
      <c r="M64"/>
      <c r="N64" s="145"/>
      <c r="O64" s="145"/>
      <c r="P64" s="145"/>
      <c r="Q64"/>
      <c r="R64" s="146"/>
      <c r="S64" s="146"/>
      <c r="T64" s="146"/>
      <c r="U64"/>
      <c r="V64" s="147"/>
      <c r="W64" s="147"/>
      <c r="X64" s="147"/>
      <c r="Y64" s="147"/>
      <c r="Z64" s="148"/>
      <c r="AA64" s="148"/>
      <c r="AB64" s="148"/>
      <c r="AC64" s="148"/>
      <c r="AD64" s="149"/>
      <c r="AE64" s="149"/>
      <c r="AF64" s="149"/>
      <c r="AG64" s="149"/>
      <c r="AH64" s="150"/>
      <c r="AI64" s="150"/>
      <c r="AJ64" s="150"/>
      <c r="AK64" s="150"/>
      <c r="AL64" s="151"/>
      <c r="AM64" s="151"/>
      <c r="AN64" s="151"/>
      <c r="AO64">
        <v>1</v>
      </c>
      <c r="AP64" s="152"/>
      <c r="AQ64" s="152"/>
      <c r="AR64" s="152"/>
      <c r="AS64" s="152"/>
      <c r="AT64" s="153"/>
      <c r="AU64" s="153"/>
      <c r="AV64" s="153"/>
      <c r="AW64" s="153"/>
      <c r="AX64" s="154"/>
      <c r="AY64" s="155"/>
      <c r="AZ64" s="154"/>
      <c r="BA64"/>
      <c r="BB64" s="156"/>
      <c r="BC64" s="157"/>
      <c r="BD64" s="156"/>
      <c r="BE64"/>
      <c r="BF64" s="158"/>
      <c r="BG64" s="159"/>
      <c r="BH64" s="158"/>
      <c r="BI64"/>
      <c r="BJ64" s="160"/>
      <c r="BK64" s="161"/>
      <c r="BL64" s="160"/>
      <c r="BM64" s="160"/>
      <c r="BN64" s="143"/>
      <c r="BO64" s="143"/>
      <c r="BP64" s="143"/>
      <c r="BQ64" s="143"/>
      <c r="BR64" s="162"/>
      <c r="BS64" s="162"/>
      <c r="BT64" s="162"/>
      <c r="BU64" s="162"/>
      <c r="BW64"/>
      <c r="BY64"/>
      <c r="BZ64" s="164"/>
      <c r="CA64" s="164"/>
      <c r="CB64" s="164"/>
      <c r="CC64" s="165"/>
      <c r="CD64" s="143"/>
      <c r="CE64" s="143"/>
      <c r="CF64" s="143"/>
      <c r="CG64" s="143"/>
      <c r="CH64" s="166"/>
      <c r="CI64" s="166"/>
      <c r="CJ64" s="166"/>
      <c r="CK64" s="166"/>
      <c r="CL64" s="167"/>
      <c r="CM64" s="167"/>
      <c r="CN64" s="167"/>
      <c r="CO64" s="167"/>
      <c r="CP64" s="163"/>
      <c r="CQ64" s="163"/>
      <c r="CR64" s="163"/>
      <c r="CS64" s="163"/>
      <c r="CT64" s="162"/>
      <c r="CU64" s="162"/>
      <c r="CV64" s="162"/>
      <c r="CW64" s="162"/>
      <c r="CX64" s="169"/>
      <c r="CY64" s="169"/>
      <c r="CZ64" s="169"/>
      <c r="DA64" s="169"/>
      <c r="DB64" s="171"/>
      <c r="DC64" s="171"/>
      <c r="DD64" s="171"/>
      <c r="DE64" s="171"/>
      <c r="DG64"/>
      <c r="DI64"/>
      <c r="DK64"/>
      <c r="DM64"/>
      <c r="DO64"/>
      <c r="DQ64"/>
      <c r="DS64"/>
      <c r="DU64"/>
      <c r="DW64"/>
      <c r="DY64"/>
      <c r="EA64"/>
      <c r="EC64"/>
      <c r="EE64"/>
      <c r="EG64"/>
      <c r="EI64"/>
      <c r="EK64"/>
      <c r="EM64"/>
      <c r="EO64"/>
      <c r="EQ64"/>
      <c r="ES64"/>
      <c r="EU64"/>
      <c r="EW64"/>
      <c r="EY64"/>
      <c r="FA64"/>
      <c r="FC64"/>
      <c r="FE64"/>
      <c r="FG64"/>
      <c r="FI64"/>
      <c r="FK64"/>
      <c r="FM64"/>
      <c r="FO64"/>
      <c r="FQ64"/>
      <c r="FS64"/>
      <c r="FU64"/>
      <c r="FW64"/>
      <c r="FY64"/>
      <c r="GA64"/>
      <c r="GC64"/>
      <c r="GE64"/>
      <c r="GG64"/>
      <c r="GI64"/>
      <c r="GK64"/>
      <c r="GM64"/>
      <c r="GO64"/>
      <c r="GP64"/>
      <c r="GQ64"/>
      <c r="GS64"/>
      <c r="GT64"/>
      <c r="GU64"/>
      <c r="GW64"/>
      <c r="GY64"/>
      <c r="HA64"/>
      <c r="HB64"/>
      <c r="HC64"/>
      <c r="HE64"/>
      <c r="HG64"/>
      <c r="HK64"/>
      <c r="HM64"/>
      <c r="HO64"/>
      <c r="HQ64"/>
      <c r="HS64"/>
      <c r="HU64"/>
      <c r="HW64"/>
      <c r="IA64"/>
      <c r="IE64"/>
      <c r="II64"/>
      <c r="IK64"/>
      <c r="IM64"/>
      <c r="IO64"/>
      <c r="IQ64"/>
      <c r="IU64"/>
      <c r="IW64"/>
      <c r="IY64"/>
      <c r="JA64"/>
      <c r="JC64"/>
      <c r="JE64"/>
      <c r="JG64"/>
      <c r="JI64"/>
      <c r="JK64"/>
      <c r="JM64">
        <v>1</v>
      </c>
      <c r="JO64"/>
      <c r="JS64"/>
      <c r="JU64"/>
      <c r="JW64"/>
      <c r="JY64"/>
      <c r="KA64"/>
      <c r="KC64"/>
      <c r="KE64"/>
      <c r="KG64">
        <v>1</v>
      </c>
      <c r="KI64"/>
      <c r="KK64">
        <v>1</v>
      </c>
      <c r="KM64"/>
      <c r="KO64"/>
      <c r="KQ64"/>
      <c r="KU64"/>
      <c r="KW64"/>
      <c r="KY64"/>
      <c r="LA64"/>
      <c r="LC64"/>
      <c r="LE64"/>
      <c r="LG64"/>
      <c r="LK64"/>
      <c r="LM64"/>
      <c r="LO64"/>
      <c r="LQ64"/>
      <c r="LS64"/>
      <c r="LU64"/>
      <c r="LW64"/>
      <c r="LY64"/>
      <c r="MA64"/>
      <c r="MC64"/>
      <c r="ME64"/>
      <c r="MG64"/>
      <c r="MI64"/>
      <c r="MK64"/>
      <c r="MM64"/>
      <c r="MO64"/>
      <c r="MQ64"/>
      <c r="MS64"/>
      <c r="MU64"/>
      <c r="MW64"/>
      <c r="MY64"/>
      <c r="NA64"/>
      <c r="NC64"/>
      <c r="NE64"/>
      <c r="NG64"/>
      <c r="NI64"/>
      <c r="NK64"/>
      <c r="NM64"/>
      <c r="NO64"/>
      <c r="NQ64"/>
      <c r="NS64"/>
      <c r="NU64"/>
      <c r="NW64"/>
      <c r="NY64"/>
      <c r="OA64"/>
      <c r="OC64"/>
      <c r="OE64"/>
      <c r="OG64"/>
      <c r="OI64"/>
      <c r="OK64"/>
      <c r="OM64"/>
      <c r="OO64"/>
      <c r="OQ64"/>
      <c r="OS64"/>
      <c r="OU64"/>
      <c r="OW64"/>
      <c r="OY64"/>
      <c r="PA64"/>
      <c r="PC64"/>
      <c r="PE64">
        <v>1</v>
      </c>
      <c r="PG64"/>
      <c r="PI64">
        <v>1</v>
      </c>
      <c r="PK64"/>
      <c r="PM64">
        <v>1</v>
      </c>
      <c r="PO64"/>
      <c r="PQ64">
        <v>1</v>
      </c>
      <c r="PS64"/>
      <c r="PU64">
        <v>1</v>
      </c>
      <c r="PW64"/>
      <c r="PY64">
        <v>1</v>
      </c>
      <c r="QA64"/>
      <c r="QC64">
        <v>1</v>
      </c>
      <c r="QE64"/>
      <c r="QG64">
        <v>1</v>
      </c>
      <c r="QI64"/>
      <c r="QK64">
        <v>1</v>
      </c>
      <c r="QM64"/>
      <c r="QO64">
        <v>1</v>
      </c>
      <c r="QQ64"/>
      <c r="QS64">
        <v>1</v>
      </c>
      <c r="QU64"/>
      <c r="QW64">
        <v>1</v>
      </c>
      <c r="QY64"/>
      <c r="RA64">
        <v>1</v>
      </c>
      <c r="RC64"/>
      <c r="RE64">
        <v>1</v>
      </c>
      <c r="RG64"/>
      <c r="RI64"/>
      <c r="RK64"/>
      <c r="RM64"/>
      <c r="RO64"/>
      <c r="RQ64"/>
      <c r="RS64"/>
      <c r="RU64"/>
      <c r="RW64"/>
      <c r="RY64"/>
      <c r="SA64"/>
      <c r="SE64"/>
      <c r="SI64"/>
      <c r="SM64"/>
      <c r="SQ64"/>
      <c r="SS64"/>
      <c r="SU64"/>
      <c r="SW64"/>
      <c r="SY64"/>
      <c r="TA64"/>
      <c r="TC64"/>
      <c r="TG64"/>
      <c r="TK64"/>
      <c r="TM64"/>
      <c r="TO64"/>
      <c r="TS64"/>
      <c r="TU64"/>
      <c r="TW64"/>
      <c r="TY64"/>
      <c r="UA64"/>
      <c r="UC64"/>
      <c r="UE64"/>
      <c r="UI64"/>
      <c r="UM64"/>
      <c r="UQ64"/>
      <c r="UU64"/>
      <c r="UW64"/>
      <c r="UY64"/>
      <c r="VA64"/>
      <c r="VC64"/>
      <c r="VE64"/>
      <c r="VG64"/>
      <c r="VI64"/>
      <c r="VK64"/>
      <c r="VM64"/>
      <c r="VO64"/>
      <c r="VQ64"/>
      <c r="VS64"/>
      <c r="VU64"/>
      <c r="VW64"/>
      <c r="VY64"/>
      <c r="WA64"/>
      <c r="WC64"/>
      <c r="WE64"/>
      <c r="WG64"/>
      <c r="WI64"/>
      <c r="WK64"/>
      <c r="WM64"/>
      <c r="WO64"/>
      <c r="WQ64"/>
      <c r="WS64"/>
      <c r="WU64"/>
      <c r="WW64"/>
      <c r="WY64"/>
      <c r="XA64"/>
      <c r="XC64"/>
      <c r="XE64"/>
      <c r="XG64"/>
      <c r="XK64"/>
      <c r="XO64"/>
      <c r="XQ64"/>
    </row>
    <row r="65" s="172" customFormat="true" ht="15" hidden="false" customHeight="false" outlineLevel="0" collapsed="false">
      <c r="A65" s="141" t="inlineStr">
        <is>
          <t xml:space="preserve">{letter.heldhoffset}</t>
        </is>
      </c>
      <c r="B65" s="142"/>
      <c r="C65" s="142"/>
      <c r="D65" s="142"/>
      <c r="E65">
        <v>-56</v>
      </c>
      <c r="F65" s="143"/>
      <c r="G65" s="143"/>
      <c r="H65" s="143"/>
      <c r="I65">
        <v>-56</v>
      </c>
      <c r="J65" s="144"/>
      <c r="K65" s="144"/>
      <c r="L65" s="144"/>
      <c r="M65">
        <v>-56</v>
      </c>
      <c r="N65" s="145"/>
      <c r="O65" s="145"/>
      <c r="P65" s="145"/>
      <c r="Q65">
        <v>-56</v>
      </c>
      <c r="R65" s="146"/>
      <c r="S65" s="146"/>
      <c r="T65" s="146"/>
      <c r="U65">
        <v>-56</v>
      </c>
      <c r="V65" s="147"/>
      <c r="W65" s="147"/>
      <c r="X65" s="147"/>
      <c r="Y65">
        <v>-56</v>
      </c>
      <c r="Z65" s="148"/>
      <c r="AA65" s="148"/>
      <c r="AB65" s="148"/>
      <c r="AC65">
        <v>-56</v>
      </c>
      <c r="AD65" s="149"/>
      <c r="AE65" s="149"/>
      <c r="AF65" s="149"/>
      <c r="AG65">
        <v>-56</v>
      </c>
      <c r="AH65" s="150"/>
      <c r="AI65" s="150"/>
      <c r="AJ65" s="150"/>
      <c r="AK65">
        <v>-56</v>
      </c>
      <c r="AL65" s="151"/>
      <c r="AM65" s="151"/>
      <c r="AN65" s="151"/>
      <c r="AO65">
        <v>-56</v>
      </c>
      <c r="AP65" s="152"/>
      <c r="AQ65" s="152"/>
      <c r="AR65" s="152"/>
      <c r="AS65">
        <v>-56</v>
      </c>
      <c r="AT65" s="153"/>
      <c r="AU65" s="153"/>
      <c r="AV65" s="153"/>
      <c r="AW65">
        <v>-56</v>
      </c>
      <c r="AX65" s="154"/>
      <c r="AY65" s="155"/>
      <c r="AZ65" s="154"/>
      <c r="BA65">
        <v>-56</v>
      </c>
      <c r="BB65" s="156"/>
      <c r="BC65" s="157"/>
      <c r="BD65" s="156"/>
      <c r="BE65">
        <v>-56</v>
      </c>
      <c r="BF65" s="158"/>
      <c r="BG65" s="159"/>
      <c r="BH65" s="158"/>
      <c r="BI65">
        <v>-56</v>
      </c>
      <c r="BJ65" s="160"/>
      <c r="BK65" s="161"/>
      <c r="BL65" s="160"/>
      <c r="BM65">
        <v>-56</v>
      </c>
      <c r="BN65" s="143"/>
      <c r="BO65" s="143"/>
      <c r="BP65" s="143"/>
      <c r="BQ65">
        <v>-56</v>
      </c>
      <c r="BR65" s="162"/>
      <c r="BS65" s="162"/>
      <c r="BT65" s="162"/>
      <c r="BU65">
        <v>-56</v>
      </c>
      <c r="BW65"/>
      <c r="BY65">
        <v>-56</v>
      </c>
      <c r="BZ65" s="164"/>
      <c r="CA65" s="164"/>
      <c r="CB65" s="164"/>
      <c r="CC65">
        <v>-56</v>
      </c>
      <c r="CD65" s="143"/>
      <c r="CE65" s="143"/>
      <c r="CF65" s="143"/>
      <c r="CG65">
        <v>-56</v>
      </c>
      <c r="CH65" s="166"/>
      <c r="CI65" s="166"/>
      <c r="CJ65" s="166"/>
      <c r="CK65">
        <v>-56</v>
      </c>
      <c r="CL65" s="167"/>
      <c r="CM65" s="167"/>
      <c r="CN65" s="167"/>
      <c r="CO65">
        <v>-56</v>
      </c>
      <c r="CP65" s="163"/>
      <c r="CQ65" s="163"/>
      <c r="CR65" s="163"/>
      <c r="CS65">
        <v>-56</v>
      </c>
      <c r="CT65" s="162"/>
      <c r="CU65" s="162"/>
      <c r="CV65" s="162"/>
      <c r="CW65">
        <v>-56</v>
      </c>
      <c r="CX65" s="169"/>
      <c r="CY65" s="169"/>
      <c r="CZ65" s="169"/>
      <c r="DA65">
        <v>-56</v>
      </c>
      <c r="DB65" s="171"/>
      <c r="DC65" s="171"/>
      <c r="DD65" s="171"/>
      <c r="DE65">
        <v>-56</v>
      </c>
      <c r="DG65"/>
      <c r="DI65">
        <v>-56</v>
      </c>
      <c r="DK65"/>
      <c r="DM65">
        <v>-56</v>
      </c>
      <c r="DO65"/>
      <c r="DQ65">
        <v>-56</v>
      </c>
      <c r="DS65"/>
      <c r="DU65">
        <v>-56</v>
      </c>
      <c r="DW65"/>
      <c r="DY65">
        <v>-56</v>
      </c>
      <c r="EA65"/>
      <c r="EC65">
        <v>-56</v>
      </c>
      <c r="EE65"/>
      <c r="EG65">
        <v>-56</v>
      </c>
      <c r="EI65"/>
      <c r="EK65">
        <v>-56</v>
      </c>
      <c r="EM65"/>
      <c r="EO65">
        <v>-56</v>
      </c>
      <c r="EQ65"/>
      <c r="ES65">
        <v>-56</v>
      </c>
      <c r="EU65"/>
      <c r="EW65">
        <v>-56</v>
      </c>
      <c r="EY65"/>
      <c r="FA65">
        <v>-56</v>
      </c>
      <c r="FC65"/>
      <c r="FE65">
        <v>-56</v>
      </c>
      <c r="FG65"/>
      <c r="FI65">
        <v>-56</v>
      </c>
      <c r="FK65"/>
      <c r="FM65">
        <v>-56</v>
      </c>
      <c r="FO65"/>
      <c r="FQ65">
        <v>-56</v>
      </c>
      <c r="FS65"/>
      <c r="FU65">
        <v>-56</v>
      </c>
      <c r="FW65"/>
      <c r="FY65">
        <v>-56</v>
      </c>
      <c r="GA65"/>
      <c r="GC65">
        <v>-56</v>
      </c>
      <c r="GE65"/>
      <c r="GG65">
        <v>-56</v>
      </c>
      <c r="GI65"/>
      <c r="GK65">
        <v>-56</v>
      </c>
      <c r="GM65"/>
      <c r="GO65">
        <v>-56</v>
      </c>
      <c r="GP65"/>
      <c r="GQ65"/>
      <c r="GS65">
        <v>-56</v>
      </c>
      <c r="GT65"/>
      <c r="GU65"/>
      <c r="GW65">
        <v>-56</v>
      </c>
      <c r="GY65"/>
      <c r="HA65">
        <v>-56</v>
      </c>
      <c r="HB65"/>
      <c r="HC65"/>
      <c r="HE65">
        <v>-56</v>
      </c>
      <c r="HG65"/>
      <c r="HI65">
        <v>-56</v>
      </c>
      <c r="HK65"/>
      <c r="HM65">
        <v>-56</v>
      </c>
      <c r="HO65"/>
      <c r="HQ65">
        <v>-56</v>
      </c>
      <c r="HS65"/>
      <c r="HU65">
        <v>-56</v>
      </c>
      <c r="HW65"/>
      <c r="HY65">
        <v>-56</v>
      </c>
      <c r="IA65"/>
      <c r="IC65">
        <v>-56</v>
      </c>
      <c r="IE65"/>
      <c r="IG65">
        <v>-56</v>
      </c>
      <c r="II65"/>
      <c r="IK65">
        <v>-56</v>
      </c>
      <c r="IM65"/>
      <c r="IO65">
        <v>-56</v>
      </c>
      <c r="IQ65"/>
      <c r="IS65">
        <v>-56</v>
      </c>
      <c r="IU65"/>
      <c r="IW65">
        <v>-56</v>
      </c>
      <c r="IY65"/>
      <c r="JA65">
        <v>-56</v>
      </c>
      <c r="JC65"/>
      <c r="JE65">
        <v>-56</v>
      </c>
      <c r="JG65"/>
      <c r="JI65">
        <v>-56</v>
      </c>
      <c r="JK65"/>
      <c r="JM65">
        <v>-56</v>
      </c>
      <c r="JO65"/>
      <c r="JQ65">
        <v>-56</v>
      </c>
      <c r="JS65"/>
      <c r="JU65">
        <v>-56</v>
      </c>
      <c r="JW65"/>
      <c r="JY65">
        <v>-56</v>
      </c>
      <c r="KA65"/>
      <c r="KC65">
        <v>-56</v>
      </c>
      <c r="KE65"/>
      <c r="KG65">
        <v>-56</v>
      </c>
      <c r="KI65"/>
      <c r="KK65">
        <v>-56</v>
      </c>
      <c r="KM65"/>
      <c r="KO65">
        <v>-56</v>
      </c>
      <c r="KQ65"/>
      <c r="KS65">
        <v>-56</v>
      </c>
      <c r="KU65"/>
      <c r="KW65">
        <v>-56</v>
      </c>
      <c r="KY65"/>
      <c r="LA65">
        <v>-56</v>
      </c>
      <c r="LC65"/>
      <c r="LE65">
        <v>-56</v>
      </c>
      <c r="LG65"/>
      <c r="LI65">
        <v>-56</v>
      </c>
      <c r="LK65"/>
      <c r="LM65">
        <v>-56</v>
      </c>
      <c r="LO65"/>
      <c r="LQ65">
        <v>-56</v>
      </c>
      <c r="LS65"/>
      <c r="LU65">
        <v>-56</v>
      </c>
      <c r="LW65"/>
      <c r="LY65">
        <v>-56</v>
      </c>
      <c r="MA65"/>
      <c r="MC65">
        <v>-56</v>
      </c>
      <c r="ME65"/>
      <c r="MG65">
        <v>-56</v>
      </c>
      <c r="MI65"/>
      <c r="MK65">
        <v>-56</v>
      </c>
      <c r="MM65"/>
      <c r="MO65">
        <v>-56</v>
      </c>
      <c r="MQ65"/>
      <c r="MS65">
        <v>-56</v>
      </c>
      <c r="MU65"/>
      <c r="MW65">
        <v>-56</v>
      </c>
      <c r="MY65"/>
      <c r="NA65">
        <v>-56</v>
      </c>
      <c r="NC65"/>
      <c r="NE65">
        <v>-56</v>
      </c>
      <c r="NG65"/>
      <c r="NI65">
        <v>-56</v>
      </c>
      <c r="NK65"/>
      <c r="NM65">
        <v>-56</v>
      </c>
      <c r="NO65"/>
      <c r="NQ65">
        <v>-56</v>
      </c>
      <c r="NS65"/>
      <c r="NU65">
        <v>-56</v>
      </c>
      <c r="NW65"/>
      <c r="NY65">
        <v>-56</v>
      </c>
      <c r="OA65"/>
      <c r="OC65">
        <v>-56</v>
      </c>
      <c r="OE65"/>
      <c r="OG65">
        <v>-56</v>
      </c>
      <c r="OI65"/>
      <c r="OK65">
        <v>-56</v>
      </c>
      <c r="OM65"/>
      <c r="OO65">
        <v>-56</v>
      </c>
      <c r="OQ65"/>
      <c r="OS65">
        <v>-56</v>
      </c>
      <c r="OU65"/>
      <c r="OW65">
        <v>-56</v>
      </c>
      <c r="OY65"/>
      <c r="PA65">
        <v>-56</v>
      </c>
      <c r="PC65"/>
      <c r="PE65">
        <v>-56</v>
      </c>
      <c r="PG65"/>
      <c r="PI65">
        <v>-56</v>
      </c>
      <c r="PK65"/>
      <c r="PM65">
        <v>-56</v>
      </c>
      <c r="PO65"/>
      <c r="PQ65">
        <v>-56</v>
      </c>
      <c r="PS65"/>
      <c r="PU65">
        <v>-56</v>
      </c>
      <c r="PW65"/>
      <c r="PY65">
        <v>-56</v>
      </c>
      <c r="QA65"/>
      <c r="QC65">
        <v>-56</v>
      </c>
      <c r="QE65"/>
      <c r="QG65">
        <v>-56</v>
      </c>
      <c r="QI65"/>
      <c r="QK65">
        <v>-56</v>
      </c>
      <c r="QM65"/>
      <c r="QO65">
        <v>-56</v>
      </c>
      <c r="QQ65"/>
      <c r="QS65">
        <v>-56</v>
      </c>
      <c r="QU65"/>
      <c r="QW65">
        <v>-56</v>
      </c>
      <c r="QY65"/>
      <c r="RA65">
        <v>-56</v>
      </c>
      <c r="RC65"/>
      <c r="RE65">
        <v>-56</v>
      </c>
      <c r="RG65"/>
      <c r="RI65">
        <v>-56</v>
      </c>
      <c r="RK65"/>
      <c r="RM65">
        <v>-56</v>
      </c>
      <c r="RO65"/>
      <c r="RQ65">
        <v>-56</v>
      </c>
      <c r="RS65"/>
      <c r="RU65">
        <v>-56</v>
      </c>
      <c r="RW65"/>
      <c r="RY65">
        <v>-56</v>
      </c>
      <c r="SA65"/>
      <c r="SC65">
        <v>-56</v>
      </c>
      <c r="SE65"/>
      <c r="SG65">
        <v>-56</v>
      </c>
      <c r="SI65"/>
      <c r="SK65">
        <v>-56</v>
      </c>
      <c r="SM65"/>
      <c r="SO65">
        <v>-56</v>
      </c>
      <c r="SQ65"/>
      <c r="SS65">
        <v>-56</v>
      </c>
      <c r="SU65"/>
      <c r="SW65">
        <v>-56</v>
      </c>
      <c r="SY65"/>
      <c r="TA65">
        <v>-56</v>
      </c>
      <c r="TC65"/>
      <c r="TE65">
        <v>-56</v>
      </c>
      <c r="TG65"/>
      <c r="TI65">
        <v>-56</v>
      </c>
      <c r="TK65"/>
      <c r="TM65">
        <v>-56</v>
      </c>
      <c r="TO65"/>
      <c r="TQ65">
        <v>-56</v>
      </c>
      <c r="TS65"/>
      <c r="TU65">
        <v>-56</v>
      </c>
      <c r="TW65"/>
      <c r="TY65">
        <v>-56</v>
      </c>
      <c r="UA65"/>
      <c r="UC65">
        <v>-56</v>
      </c>
      <c r="UE65"/>
      <c r="UG65">
        <v>-56</v>
      </c>
      <c r="UI65"/>
      <c r="UK65">
        <v>-56</v>
      </c>
      <c r="UM65"/>
      <c r="UO65">
        <v>-56</v>
      </c>
      <c r="UQ65"/>
      <c r="US65">
        <v>-56</v>
      </c>
      <c r="UU65"/>
      <c r="UW65">
        <v>-56</v>
      </c>
      <c r="UY65"/>
      <c r="VA65">
        <v>-56</v>
      </c>
      <c r="VC65"/>
      <c r="VE65">
        <v>-56</v>
      </c>
      <c r="VG65"/>
      <c r="VI65">
        <v>-56</v>
      </c>
      <c r="VK65"/>
      <c r="VM65">
        <v>-56</v>
      </c>
      <c r="VO65"/>
      <c r="VQ65">
        <v>-56</v>
      </c>
      <c r="VS65"/>
      <c r="VU65">
        <v>-56</v>
      </c>
      <c r="VW65"/>
      <c r="VY65">
        <v>-56</v>
      </c>
      <c r="WA65"/>
      <c r="WC65">
        <v>-56</v>
      </c>
      <c r="WE65"/>
      <c r="WG65">
        <v>-56</v>
      </c>
      <c r="WI65"/>
      <c r="WK65">
        <v>-56</v>
      </c>
      <c r="WM65"/>
      <c r="WO65">
        <v>-56</v>
      </c>
      <c r="WQ65"/>
      <c r="WS65">
        <v>-56</v>
      </c>
      <c r="WU65"/>
      <c r="WW65">
        <v>-56</v>
      </c>
      <c r="WY65"/>
      <c r="XA65">
        <v>-56</v>
      </c>
      <c r="XC65"/>
      <c r="XE65">
        <v>-56</v>
      </c>
      <c r="XG65"/>
      <c r="XI65">
        <v>-56</v>
      </c>
      <c r="XK65"/>
      <c r="XM65">
        <v>-56</v>
      </c>
      <c r="XO65"/>
      <c r="XQ65">
        <v>-56</v>
      </c>
    </row>
    <row r="66" s="172" customFormat="true" ht="15" hidden="false" customHeight="false" outlineLevel="0" collapsed="false">
      <c r="A66" s="141" t="inlineStr">
        <is>
          <t xml:space="preserve">{letter.heldvoffset}</t>
        </is>
      </c>
      <c r="B66" s="142"/>
      <c r="C66" s="142"/>
      <c r="D66" s="142"/>
      <c r="E66">
        <v>-15</v>
      </c>
      <c r="F66" s="143"/>
      <c r="G66" s="143"/>
      <c r="H66" s="143"/>
      <c r="I66">
        <v>-15</v>
      </c>
      <c r="J66" s="144"/>
      <c r="K66" s="144"/>
      <c r="L66" s="144"/>
      <c r="M66">
        <v>-15</v>
      </c>
      <c r="N66" s="145"/>
      <c r="O66" s="145"/>
      <c r="P66" s="145"/>
      <c r="Q66">
        <v>-15</v>
      </c>
      <c r="R66" s="146"/>
      <c r="S66" s="146"/>
      <c r="T66" s="146"/>
      <c r="U66">
        <v>-15</v>
      </c>
      <c r="V66" s="147"/>
      <c r="W66" s="147"/>
      <c r="X66" s="147"/>
      <c r="Y66">
        <v>-15</v>
      </c>
      <c r="Z66" s="148"/>
      <c r="AA66" s="148"/>
      <c r="AB66" s="148"/>
      <c r="AC66">
        <v>-15</v>
      </c>
      <c r="AD66" s="149"/>
      <c r="AE66" s="149"/>
      <c r="AF66" s="149"/>
      <c r="AG66">
        <v>-15</v>
      </c>
      <c r="AH66" s="150"/>
      <c r="AI66" s="150"/>
      <c r="AJ66" s="150"/>
      <c r="AK66">
        <v>-15</v>
      </c>
      <c r="AL66" s="151"/>
      <c r="AM66" s="151"/>
      <c r="AN66" s="151"/>
      <c r="AO66">
        <v>-15</v>
      </c>
      <c r="AP66" s="152"/>
      <c r="AQ66" s="152"/>
      <c r="AR66" s="152"/>
      <c r="AS66">
        <v>-15</v>
      </c>
      <c r="AT66" s="153"/>
      <c r="AU66" s="153"/>
      <c r="AV66" s="153"/>
      <c r="AW66">
        <v>-15</v>
      </c>
      <c r="AX66" s="154"/>
      <c r="AY66" s="155"/>
      <c r="AZ66" s="154"/>
      <c r="BA66">
        <v>-15</v>
      </c>
      <c r="BB66" s="156"/>
      <c r="BC66" s="157"/>
      <c r="BD66" s="156"/>
      <c r="BE66">
        <v>-15</v>
      </c>
      <c r="BF66" s="158"/>
      <c r="BG66" s="159"/>
      <c r="BH66" s="158"/>
      <c r="BI66">
        <v>-15</v>
      </c>
      <c r="BJ66" s="160"/>
      <c r="BK66" s="161"/>
      <c r="BL66" s="160"/>
      <c r="BM66">
        <v>-15</v>
      </c>
      <c r="BN66" s="143"/>
      <c r="BO66" s="143"/>
      <c r="BP66" s="143"/>
      <c r="BQ66">
        <v>-15</v>
      </c>
      <c r="BR66" s="162"/>
      <c r="BS66" s="162"/>
      <c r="BT66" s="162"/>
      <c r="BU66">
        <v>-15</v>
      </c>
      <c r="BW66"/>
      <c r="BY66">
        <v>-15</v>
      </c>
      <c r="BZ66" s="164"/>
      <c r="CA66" s="164"/>
      <c r="CB66" s="164"/>
      <c r="CC66">
        <v>-15</v>
      </c>
      <c r="CD66" s="143"/>
      <c r="CE66" s="143"/>
      <c r="CF66" s="143"/>
      <c r="CG66">
        <v>-15</v>
      </c>
      <c r="CH66" s="166"/>
      <c r="CI66" s="166"/>
      <c r="CJ66" s="166"/>
      <c r="CK66">
        <v>-15</v>
      </c>
      <c r="CL66" s="167"/>
      <c r="CM66" s="167"/>
      <c r="CN66" s="167"/>
      <c r="CO66">
        <v>-15</v>
      </c>
      <c r="CP66" s="163"/>
      <c r="CQ66" s="163"/>
      <c r="CR66" s="163"/>
      <c r="CS66">
        <v>-15</v>
      </c>
      <c r="CT66" s="162"/>
      <c r="CU66" s="162"/>
      <c r="CV66" s="162"/>
      <c r="CW66">
        <v>-15</v>
      </c>
      <c r="CX66" s="169"/>
      <c r="CY66" s="169"/>
      <c r="CZ66" s="169"/>
      <c r="DA66">
        <v>-15</v>
      </c>
      <c r="DB66" s="171"/>
      <c r="DC66" s="171"/>
      <c r="DD66" s="171"/>
      <c r="DE66">
        <v>-15</v>
      </c>
      <c r="DG66"/>
      <c r="DI66">
        <v>-15</v>
      </c>
      <c r="DK66"/>
      <c r="DM66">
        <v>-15</v>
      </c>
      <c r="DO66"/>
      <c r="DQ66">
        <v>-15</v>
      </c>
      <c r="DS66"/>
      <c r="DU66">
        <v>-15</v>
      </c>
      <c r="DW66"/>
      <c r="DY66">
        <v>-15</v>
      </c>
      <c r="EA66"/>
      <c r="EC66">
        <v>-15</v>
      </c>
      <c r="EE66"/>
      <c r="EG66">
        <v>-15</v>
      </c>
      <c r="EI66"/>
      <c r="EK66">
        <v>-15</v>
      </c>
      <c r="EM66"/>
      <c r="EO66">
        <v>-15</v>
      </c>
      <c r="EQ66"/>
      <c r="ES66">
        <v>-15</v>
      </c>
      <c r="EU66"/>
      <c r="EW66">
        <v>-15</v>
      </c>
      <c r="EY66"/>
      <c r="FA66">
        <v>-15</v>
      </c>
      <c r="FC66"/>
      <c r="FE66">
        <v>-15</v>
      </c>
      <c r="FG66"/>
      <c r="FI66">
        <v>-15</v>
      </c>
      <c r="FK66"/>
      <c r="FM66">
        <v>-15</v>
      </c>
      <c r="FO66"/>
      <c r="FQ66">
        <v>-15</v>
      </c>
      <c r="FS66"/>
      <c r="FU66">
        <v>-15</v>
      </c>
      <c r="FW66"/>
      <c r="FY66">
        <v>-15</v>
      </c>
      <c r="GA66"/>
      <c r="GC66">
        <v>-15</v>
      </c>
      <c r="GE66"/>
      <c r="GG66">
        <v>-15</v>
      </c>
      <c r="GI66"/>
      <c r="GK66">
        <v>-15</v>
      </c>
      <c r="GM66"/>
      <c r="GO66">
        <v>-15</v>
      </c>
      <c r="GP66"/>
      <c r="GQ66"/>
      <c r="GS66">
        <v>-15</v>
      </c>
      <c r="GT66"/>
      <c r="GU66"/>
      <c r="GW66">
        <v>-15</v>
      </c>
      <c r="GY66"/>
      <c r="HA66">
        <v>-15</v>
      </c>
      <c r="HB66"/>
      <c r="HC66"/>
      <c r="HE66">
        <v>-15</v>
      </c>
      <c r="HG66"/>
      <c r="HI66">
        <v>-15</v>
      </c>
      <c r="HK66"/>
      <c r="HM66">
        <v>-15</v>
      </c>
      <c r="HO66"/>
      <c r="HQ66">
        <v>-15</v>
      </c>
      <c r="HS66"/>
      <c r="HU66">
        <v>-15</v>
      </c>
      <c r="HW66"/>
      <c r="HY66">
        <v>-15</v>
      </c>
      <c r="IA66"/>
      <c r="IC66">
        <v>-15</v>
      </c>
      <c r="IE66"/>
      <c r="IG66">
        <v>-15</v>
      </c>
      <c r="II66"/>
      <c r="IK66">
        <v>-15</v>
      </c>
      <c r="IM66"/>
      <c r="IO66">
        <v>-15</v>
      </c>
      <c r="IQ66"/>
      <c r="IS66">
        <v>-15</v>
      </c>
      <c r="IU66"/>
      <c r="IW66">
        <v>-15</v>
      </c>
      <c r="IY66"/>
      <c r="JA66">
        <v>-15</v>
      </c>
      <c r="JC66"/>
      <c r="JE66">
        <v>-15</v>
      </c>
      <c r="JG66"/>
      <c r="JI66">
        <v>-15</v>
      </c>
      <c r="JK66"/>
      <c r="JM66">
        <v>-15</v>
      </c>
      <c r="JO66"/>
      <c r="JQ66">
        <v>-15</v>
      </c>
      <c r="JS66"/>
      <c r="JU66">
        <v>-15</v>
      </c>
      <c r="JW66"/>
      <c r="JY66">
        <v>-15</v>
      </c>
      <c r="KA66"/>
      <c r="KC66">
        <v>-15</v>
      </c>
      <c r="KE66"/>
      <c r="KG66">
        <v>-15</v>
      </c>
      <c r="KI66"/>
      <c r="KK66">
        <v>-15</v>
      </c>
      <c r="KM66"/>
      <c r="KO66">
        <v>-15</v>
      </c>
      <c r="KQ66"/>
      <c r="KS66">
        <v>-15</v>
      </c>
      <c r="KU66"/>
      <c r="KW66">
        <v>-15</v>
      </c>
      <c r="KY66"/>
      <c r="LA66">
        <v>-15</v>
      </c>
      <c r="LC66"/>
      <c r="LE66">
        <v>-15</v>
      </c>
      <c r="LG66"/>
      <c r="LI66">
        <v>-15</v>
      </c>
      <c r="LK66"/>
      <c r="LM66">
        <v>-15</v>
      </c>
      <c r="LO66"/>
      <c r="LQ66">
        <v>-15</v>
      </c>
      <c r="LS66"/>
      <c r="LU66">
        <v>-15</v>
      </c>
      <c r="LW66"/>
      <c r="LY66">
        <v>-15</v>
      </c>
      <c r="MA66"/>
      <c r="MC66">
        <v>-15</v>
      </c>
      <c r="ME66"/>
      <c r="MG66">
        <v>-15</v>
      </c>
      <c r="MI66"/>
      <c r="MK66">
        <v>-15</v>
      </c>
      <c r="MM66"/>
      <c r="MO66">
        <v>-15</v>
      </c>
      <c r="MQ66"/>
      <c r="MS66">
        <v>-15</v>
      </c>
      <c r="MU66"/>
      <c r="MW66">
        <v>-15</v>
      </c>
      <c r="MY66"/>
      <c r="NA66">
        <v>-15</v>
      </c>
      <c r="NC66"/>
      <c r="NE66">
        <v>-15</v>
      </c>
      <c r="NG66"/>
      <c r="NI66">
        <v>-15</v>
      </c>
      <c r="NK66"/>
      <c r="NM66">
        <v>-15</v>
      </c>
      <c r="NO66"/>
      <c r="NQ66">
        <v>-15</v>
      </c>
      <c r="NS66"/>
      <c r="NU66">
        <v>-15</v>
      </c>
      <c r="NW66"/>
      <c r="NY66">
        <v>-15</v>
      </c>
      <c r="OA66"/>
      <c r="OC66">
        <v>-15</v>
      </c>
      <c r="OE66"/>
      <c r="OG66">
        <v>-15</v>
      </c>
      <c r="OI66"/>
      <c r="OK66">
        <v>-15</v>
      </c>
      <c r="OM66"/>
      <c r="OO66">
        <v>-15</v>
      </c>
      <c r="OQ66"/>
      <c r="OS66">
        <v>-15</v>
      </c>
      <c r="OU66"/>
      <c r="OW66">
        <v>-15</v>
      </c>
      <c r="OY66"/>
      <c r="PA66">
        <v>-15</v>
      </c>
      <c r="PC66"/>
      <c r="PE66">
        <v>-15</v>
      </c>
      <c r="PG66"/>
      <c r="PI66">
        <v>-15</v>
      </c>
      <c r="PK66"/>
      <c r="PM66">
        <v>-15</v>
      </c>
      <c r="PO66"/>
      <c r="PQ66">
        <v>-15</v>
      </c>
      <c r="PS66"/>
      <c r="PU66">
        <v>-15</v>
      </c>
      <c r="PW66"/>
      <c r="PY66">
        <v>-15</v>
      </c>
      <c r="QA66"/>
      <c r="QC66">
        <v>-15</v>
      </c>
      <c r="QE66"/>
      <c r="QG66">
        <v>-15</v>
      </c>
      <c r="QI66"/>
      <c r="QK66">
        <v>-15</v>
      </c>
      <c r="QM66"/>
      <c r="QO66">
        <v>-15</v>
      </c>
      <c r="QQ66"/>
      <c r="QS66">
        <v>-15</v>
      </c>
      <c r="QU66"/>
      <c r="QW66">
        <v>-15</v>
      </c>
      <c r="QY66"/>
      <c r="RA66">
        <v>-15</v>
      </c>
      <c r="RC66"/>
      <c r="RE66">
        <v>-15</v>
      </c>
      <c r="RG66"/>
      <c r="RI66">
        <v>-15</v>
      </c>
      <c r="RK66"/>
      <c r="RM66">
        <v>-15</v>
      </c>
      <c r="RO66"/>
      <c r="RQ66">
        <v>-15</v>
      </c>
      <c r="RS66"/>
      <c r="RU66">
        <v>-15</v>
      </c>
      <c r="RW66"/>
      <c r="RY66">
        <v>-15</v>
      </c>
      <c r="SA66"/>
      <c r="SC66">
        <v>-15</v>
      </c>
      <c r="SE66"/>
      <c r="SG66">
        <v>-15</v>
      </c>
      <c r="SI66"/>
      <c r="SK66">
        <v>-15</v>
      </c>
      <c r="SM66"/>
      <c r="SO66">
        <v>-15</v>
      </c>
      <c r="SQ66"/>
      <c r="SS66">
        <v>-15</v>
      </c>
      <c r="SU66"/>
      <c r="SW66">
        <v>-15</v>
      </c>
      <c r="SY66"/>
      <c r="TA66">
        <v>-15</v>
      </c>
      <c r="TC66"/>
      <c r="TE66">
        <v>-15</v>
      </c>
      <c r="TG66"/>
      <c r="TI66">
        <v>-15</v>
      </c>
      <c r="TK66"/>
      <c r="TM66">
        <v>-15</v>
      </c>
      <c r="TO66"/>
      <c r="TQ66">
        <v>-15</v>
      </c>
      <c r="TS66"/>
      <c r="TU66">
        <v>-15</v>
      </c>
      <c r="TW66"/>
      <c r="TY66">
        <v>-15</v>
      </c>
      <c r="UA66"/>
      <c r="UC66">
        <v>-15</v>
      </c>
      <c r="UE66"/>
      <c r="UG66">
        <v>-15</v>
      </c>
      <c r="UI66"/>
      <c r="UK66">
        <v>-15</v>
      </c>
      <c r="UM66"/>
      <c r="UO66">
        <v>-15</v>
      </c>
      <c r="UQ66"/>
      <c r="US66">
        <v>-15</v>
      </c>
      <c r="UU66"/>
      <c r="UW66">
        <v>-15</v>
      </c>
      <c r="UY66"/>
      <c r="VA66">
        <v>-15</v>
      </c>
      <c r="VC66"/>
      <c r="VE66">
        <v>-15</v>
      </c>
      <c r="VG66"/>
      <c r="VI66">
        <v>-15</v>
      </c>
      <c r="VK66"/>
      <c r="VM66">
        <v>-15</v>
      </c>
      <c r="VO66"/>
      <c r="VQ66">
        <v>-15</v>
      </c>
      <c r="VS66"/>
      <c r="VU66">
        <v>-15</v>
      </c>
      <c r="VW66"/>
      <c r="VY66">
        <v>-15</v>
      </c>
      <c r="WA66"/>
      <c r="WC66">
        <v>-15</v>
      </c>
      <c r="WE66"/>
      <c r="WG66">
        <v>-15</v>
      </c>
      <c r="WI66"/>
      <c r="WK66">
        <v>-15</v>
      </c>
      <c r="WM66"/>
      <c r="WO66">
        <v>-15</v>
      </c>
      <c r="WQ66"/>
      <c r="WS66">
        <v>-15</v>
      </c>
      <c r="WU66"/>
      <c r="WW66">
        <v>-15</v>
      </c>
      <c r="WY66"/>
      <c r="XA66">
        <v>-15</v>
      </c>
      <c r="XC66"/>
      <c r="XE66">
        <v>-15</v>
      </c>
      <c r="XG66"/>
      <c r="XI66">
        <v>-15</v>
      </c>
      <c r="XK66"/>
      <c r="XM66">
        <v>-15</v>
      </c>
      <c r="XO66"/>
      <c r="XQ66">
        <v>-15</v>
      </c>
    </row>
    <row r="67" s="172" customFormat="true" ht="15" hidden="false" customHeight="false" outlineLevel="0" collapsed="false">
      <c r="A67" s="141" t="inlineStr">
        <is>
          <t xml:space="preserve">{num.heldhoffset}</t>
        </is>
      </c>
      <c r="B67" s="142"/>
      <c r="C67" s="142"/>
      <c r="D67" s="142"/>
      <c r="E67">
        <v>-56</v>
      </c>
      <c r="F67" s="143"/>
      <c r="G67" s="143"/>
      <c r="H67" s="143"/>
      <c r="I67">
        <v>-56</v>
      </c>
      <c r="J67" s="144"/>
      <c r="K67" s="144"/>
      <c r="L67" s="144"/>
      <c r="M67">
        <v>-56</v>
      </c>
      <c r="N67" s="145"/>
      <c r="O67" s="145"/>
      <c r="P67" s="145"/>
      <c r="Q67">
        <v>-56</v>
      </c>
      <c r="R67" s="146"/>
      <c r="S67" s="146"/>
      <c r="T67" s="146"/>
      <c r="U67">
        <v>-56</v>
      </c>
      <c r="V67" s="147"/>
      <c r="W67" s="147"/>
      <c r="X67" s="147"/>
      <c r="Y67">
        <v>-56</v>
      </c>
      <c r="Z67" s="148"/>
      <c r="AA67" s="148"/>
      <c r="AB67" s="148"/>
      <c r="AC67">
        <v>-56</v>
      </c>
      <c r="AD67" s="149"/>
      <c r="AE67" s="149"/>
      <c r="AF67" s="149"/>
      <c r="AG67">
        <v>-56</v>
      </c>
      <c r="AH67" s="150"/>
      <c r="AI67" s="150"/>
      <c r="AJ67" s="150"/>
      <c r="AK67">
        <v>-56</v>
      </c>
      <c r="AL67" s="151"/>
      <c r="AM67" s="151"/>
      <c r="AN67" s="151"/>
      <c r="AO67">
        <v>-56</v>
      </c>
      <c r="AP67" s="152"/>
      <c r="AQ67" s="152"/>
      <c r="AR67" s="152"/>
      <c r="AS67">
        <v>-56</v>
      </c>
      <c r="AT67" s="153"/>
      <c r="AU67" s="153"/>
      <c r="AV67" s="153"/>
      <c r="AW67">
        <v>-56</v>
      </c>
      <c r="AX67" s="154"/>
      <c r="AY67" s="155"/>
      <c r="AZ67" s="154"/>
      <c r="BA67">
        <v>-56</v>
      </c>
      <c r="BB67" s="156"/>
      <c r="BC67" s="157"/>
      <c r="BD67" s="156"/>
      <c r="BE67">
        <v>-56</v>
      </c>
      <c r="BF67" s="158"/>
      <c r="BG67" s="159"/>
      <c r="BH67" s="158"/>
      <c r="BI67">
        <v>-56</v>
      </c>
      <c r="BJ67" s="160"/>
      <c r="BK67" s="161"/>
      <c r="BL67" s="160"/>
      <c r="BM67">
        <v>-56</v>
      </c>
      <c r="BN67" s="143"/>
      <c r="BO67" s="143"/>
      <c r="BP67" s="143"/>
      <c r="BQ67">
        <v>-56</v>
      </c>
      <c r="BR67" s="162"/>
      <c r="BS67" s="162"/>
      <c r="BT67" s="162"/>
      <c r="BU67">
        <v>-56</v>
      </c>
      <c r="BW67"/>
      <c r="BY67">
        <v>-56</v>
      </c>
      <c r="BZ67" s="164"/>
      <c r="CA67" s="164"/>
      <c r="CB67" s="164"/>
      <c r="CC67">
        <v>-56</v>
      </c>
      <c r="CD67" s="143"/>
      <c r="CE67" s="143"/>
      <c r="CF67" s="143"/>
      <c r="CG67">
        <v>-56</v>
      </c>
      <c r="CH67" s="166"/>
      <c r="CI67" s="166"/>
      <c r="CJ67" s="166"/>
      <c r="CK67">
        <v>-56</v>
      </c>
      <c r="CL67" s="167"/>
      <c r="CM67" s="167"/>
      <c r="CN67" s="167"/>
      <c r="CO67">
        <v>-56</v>
      </c>
      <c r="CP67" s="163"/>
      <c r="CQ67" s="163"/>
      <c r="CR67" s="163"/>
      <c r="CS67">
        <v>-56</v>
      </c>
      <c r="CT67" s="162"/>
      <c r="CU67" s="162"/>
      <c r="CV67" s="162"/>
      <c r="CW67">
        <v>-56</v>
      </c>
      <c r="CX67" s="169"/>
      <c r="CY67" s="169"/>
      <c r="CZ67" s="169"/>
      <c r="DA67">
        <v>-56</v>
      </c>
      <c r="DB67" s="171"/>
      <c r="DC67" s="171"/>
      <c r="DD67" s="171"/>
      <c r="DE67">
        <v>-56</v>
      </c>
      <c r="DG67"/>
      <c r="DI67">
        <v>-56</v>
      </c>
      <c r="DK67"/>
      <c r="DM67">
        <v>-56</v>
      </c>
      <c r="DO67"/>
      <c r="DQ67">
        <v>-56</v>
      </c>
      <c r="DS67"/>
      <c r="DU67">
        <v>-56</v>
      </c>
      <c r="DW67"/>
      <c r="DY67">
        <v>-56</v>
      </c>
      <c r="EA67"/>
      <c r="EC67">
        <v>-56</v>
      </c>
      <c r="EE67"/>
      <c r="EG67">
        <v>-56</v>
      </c>
      <c r="EI67"/>
      <c r="EK67">
        <v>-56</v>
      </c>
      <c r="EM67"/>
      <c r="EO67">
        <v>-56</v>
      </c>
      <c r="EQ67"/>
      <c r="ES67">
        <v>-56</v>
      </c>
      <c r="EU67"/>
      <c r="EW67">
        <v>-56</v>
      </c>
      <c r="EY67"/>
      <c r="FA67">
        <v>-56</v>
      </c>
      <c r="FC67"/>
      <c r="FE67">
        <v>-56</v>
      </c>
      <c r="FG67"/>
      <c r="FI67">
        <v>-56</v>
      </c>
      <c r="FK67"/>
      <c r="FM67">
        <v>-56</v>
      </c>
      <c r="FO67"/>
      <c r="FQ67">
        <v>-56</v>
      </c>
      <c r="FS67"/>
      <c r="FU67">
        <v>-56</v>
      </c>
      <c r="FW67"/>
      <c r="FY67">
        <v>-56</v>
      </c>
      <c r="GA67"/>
      <c r="GC67">
        <v>-56</v>
      </c>
      <c r="GE67"/>
      <c r="GG67">
        <v>-56</v>
      </c>
      <c r="GI67"/>
      <c r="GK67">
        <v>-56</v>
      </c>
      <c r="GM67"/>
      <c r="GO67">
        <v>-56</v>
      </c>
      <c r="GP67"/>
      <c r="GQ67"/>
      <c r="GS67">
        <v>-56</v>
      </c>
      <c r="GT67"/>
      <c r="GU67"/>
      <c r="GW67">
        <v>-56</v>
      </c>
      <c r="GY67"/>
      <c r="HA67">
        <v>-56</v>
      </c>
      <c r="HB67"/>
      <c r="HC67"/>
      <c r="HE67">
        <v>-56</v>
      </c>
      <c r="HG67"/>
      <c r="HI67">
        <v>-56</v>
      </c>
      <c r="HK67"/>
      <c r="HM67">
        <v>-56</v>
      </c>
      <c r="HO67"/>
      <c r="HQ67">
        <v>-56</v>
      </c>
      <c r="HS67"/>
      <c r="HU67">
        <v>-56</v>
      </c>
      <c r="HW67"/>
      <c r="HY67">
        <v>-56</v>
      </c>
      <c r="IA67"/>
      <c r="IC67">
        <v>-56</v>
      </c>
      <c r="IE67"/>
      <c r="IG67">
        <v>-56</v>
      </c>
      <c r="II67"/>
      <c r="IK67">
        <v>-56</v>
      </c>
      <c r="IM67"/>
      <c r="IO67">
        <v>-56</v>
      </c>
      <c r="IQ67"/>
      <c r="IS67">
        <v>-56</v>
      </c>
      <c r="IU67"/>
      <c r="IW67">
        <v>-56</v>
      </c>
      <c r="IY67"/>
      <c r="JA67">
        <v>-56</v>
      </c>
      <c r="JC67"/>
      <c r="JE67">
        <v>-56</v>
      </c>
      <c r="JG67"/>
      <c r="JI67">
        <v>-56</v>
      </c>
      <c r="JK67"/>
      <c r="JM67">
        <v>-56</v>
      </c>
      <c r="JO67"/>
      <c r="JQ67">
        <v>-56</v>
      </c>
      <c r="JS67"/>
      <c r="JU67">
        <v>-56</v>
      </c>
      <c r="JW67"/>
      <c r="JY67">
        <v>-56</v>
      </c>
      <c r="KA67"/>
      <c r="KC67">
        <v>-56</v>
      </c>
      <c r="KE67"/>
      <c r="KG67">
        <v>-56</v>
      </c>
      <c r="KI67"/>
      <c r="KK67">
        <v>-56</v>
      </c>
      <c r="KM67"/>
      <c r="KO67">
        <v>-56</v>
      </c>
      <c r="KQ67"/>
      <c r="KS67">
        <v>-56</v>
      </c>
      <c r="KU67"/>
      <c r="KW67">
        <v>-56</v>
      </c>
      <c r="KY67"/>
      <c r="LA67">
        <v>-56</v>
      </c>
      <c r="LC67"/>
      <c r="LE67">
        <v>-56</v>
      </c>
      <c r="LG67"/>
      <c r="LI67">
        <v>-56</v>
      </c>
      <c r="LK67"/>
      <c r="LM67">
        <v>-56</v>
      </c>
      <c r="LO67"/>
      <c r="LQ67">
        <v>-56</v>
      </c>
      <c r="LS67"/>
      <c r="LU67">
        <v>-56</v>
      </c>
      <c r="LW67"/>
      <c r="LY67">
        <v>-56</v>
      </c>
      <c r="MA67"/>
      <c r="MC67">
        <v>-56</v>
      </c>
      <c r="ME67"/>
      <c r="MG67">
        <v>-56</v>
      </c>
      <c r="MI67"/>
      <c r="MK67">
        <v>-56</v>
      </c>
      <c r="MM67"/>
      <c r="MO67">
        <v>-56</v>
      </c>
      <c r="MQ67"/>
      <c r="MS67">
        <v>-56</v>
      </c>
      <c r="MU67"/>
      <c r="MW67">
        <v>-56</v>
      </c>
      <c r="MY67"/>
      <c r="NA67">
        <v>-56</v>
      </c>
      <c r="NC67"/>
      <c r="NE67">
        <v>-56</v>
      </c>
      <c r="NG67"/>
      <c r="NI67">
        <v>-56</v>
      </c>
      <c r="NK67"/>
      <c r="NM67">
        <v>-56</v>
      </c>
      <c r="NO67"/>
      <c r="NQ67">
        <v>-56</v>
      </c>
      <c r="NS67"/>
      <c r="NU67">
        <v>-56</v>
      </c>
      <c r="NW67"/>
      <c r="NY67">
        <v>-56</v>
      </c>
      <c r="OA67"/>
      <c r="OC67">
        <v>-56</v>
      </c>
      <c r="OE67"/>
      <c r="OG67">
        <v>-56</v>
      </c>
      <c r="OI67"/>
      <c r="OK67">
        <v>-56</v>
      </c>
      <c r="OM67"/>
      <c r="OO67">
        <v>-56</v>
      </c>
      <c r="OQ67"/>
      <c r="OS67">
        <v>-56</v>
      </c>
      <c r="OU67"/>
      <c r="OW67">
        <v>-56</v>
      </c>
      <c r="OY67"/>
      <c r="PA67">
        <v>-56</v>
      </c>
      <c r="PC67"/>
      <c r="PE67">
        <v>-56</v>
      </c>
      <c r="PG67"/>
      <c r="PI67">
        <v>-56</v>
      </c>
      <c r="PK67"/>
      <c r="PM67">
        <v>-56</v>
      </c>
      <c r="PO67"/>
      <c r="PQ67">
        <v>-56</v>
      </c>
      <c r="PS67"/>
      <c r="PU67">
        <v>-56</v>
      </c>
      <c r="PW67"/>
      <c r="PY67">
        <v>-56</v>
      </c>
      <c r="QA67"/>
      <c r="QC67">
        <v>-56</v>
      </c>
      <c r="QE67"/>
      <c r="QG67">
        <v>-56</v>
      </c>
      <c r="QI67"/>
      <c r="QK67">
        <v>-56</v>
      </c>
      <c r="QM67"/>
      <c r="QO67">
        <v>-56</v>
      </c>
      <c r="QQ67"/>
      <c r="QS67">
        <v>-56</v>
      </c>
      <c r="QU67"/>
      <c r="QW67">
        <v>-56</v>
      </c>
      <c r="QY67"/>
      <c r="RA67">
        <v>-56</v>
      </c>
      <c r="RC67"/>
      <c r="RE67">
        <v>-56</v>
      </c>
      <c r="RG67"/>
      <c r="RI67">
        <v>-56</v>
      </c>
      <c r="RK67"/>
      <c r="RM67">
        <v>-56</v>
      </c>
      <c r="RO67"/>
      <c r="RQ67">
        <v>-56</v>
      </c>
      <c r="RS67"/>
      <c r="RU67">
        <v>-56</v>
      </c>
      <c r="RW67"/>
      <c r="RY67">
        <v>-56</v>
      </c>
      <c r="SA67"/>
      <c r="SC67">
        <v>-56</v>
      </c>
      <c r="SE67"/>
      <c r="SG67">
        <v>-56</v>
      </c>
      <c r="SI67"/>
      <c r="SK67">
        <v>-56</v>
      </c>
      <c r="SM67"/>
      <c r="SO67">
        <v>-56</v>
      </c>
      <c r="SQ67"/>
      <c r="SS67">
        <v>-56</v>
      </c>
      <c r="SU67"/>
      <c r="SW67">
        <v>-56</v>
      </c>
      <c r="SY67"/>
      <c r="TA67">
        <v>-56</v>
      </c>
      <c r="TC67"/>
      <c r="TE67">
        <v>-56</v>
      </c>
      <c r="TG67"/>
      <c r="TI67">
        <v>-56</v>
      </c>
      <c r="TK67"/>
      <c r="TM67">
        <v>-56</v>
      </c>
      <c r="TO67"/>
      <c r="TQ67">
        <v>-56</v>
      </c>
      <c r="TS67"/>
      <c r="TU67">
        <v>-56</v>
      </c>
      <c r="TW67"/>
      <c r="TY67">
        <v>-56</v>
      </c>
      <c r="UA67"/>
      <c r="UC67">
        <v>-56</v>
      </c>
      <c r="UE67"/>
      <c r="UG67">
        <v>-56</v>
      </c>
      <c r="UI67"/>
      <c r="UK67">
        <v>-56</v>
      </c>
      <c r="UM67"/>
      <c r="UO67">
        <v>-56</v>
      </c>
      <c r="UQ67"/>
      <c r="US67">
        <v>-56</v>
      </c>
      <c r="UU67"/>
      <c r="UW67">
        <v>-56</v>
      </c>
      <c r="UY67"/>
      <c r="VA67">
        <v>-56</v>
      </c>
      <c r="VC67"/>
      <c r="VE67">
        <v>-56</v>
      </c>
      <c r="VG67"/>
      <c r="VI67">
        <v>-56</v>
      </c>
      <c r="VK67"/>
      <c r="VM67">
        <v>-56</v>
      </c>
      <c r="VO67"/>
      <c r="VQ67">
        <v>-56</v>
      </c>
      <c r="VS67"/>
      <c r="VU67">
        <v>-56</v>
      </c>
      <c r="VW67"/>
      <c r="VY67">
        <v>-56</v>
      </c>
      <c r="WA67"/>
      <c r="WC67">
        <v>-56</v>
      </c>
      <c r="WE67"/>
      <c r="WG67">
        <v>-56</v>
      </c>
      <c r="WI67"/>
      <c r="WK67">
        <v>-56</v>
      </c>
      <c r="WM67"/>
      <c r="WO67">
        <v>-56</v>
      </c>
      <c r="WQ67"/>
      <c r="WS67">
        <v>-56</v>
      </c>
      <c r="WU67"/>
      <c r="WW67">
        <v>-56</v>
      </c>
      <c r="WY67"/>
      <c r="XA67">
        <v>-56</v>
      </c>
      <c r="XC67"/>
      <c r="XE67">
        <v>-56</v>
      </c>
      <c r="XG67"/>
      <c r="XI67">
        <v>-56</v>
      </c>
      <c r="XK67"/>
      <c r="XM67">
        <v>-56</v>
      </c>
      <c r="XO67"/>
      <c r="XQ67">
        <v>-56</v>
      </c>
    </row>
    <row r="68" s="172" customFormat="true" ht="15" hidden="false" customHeight="false" outlineLevel="0" collapsed="false">
      <c r="A68" s="141" t="inlineStr">
        <is>
          <t xml:space="preserve">{num.heldvoffset}</t>
        </is>
      </c>
      <c r="B68" s="142"/>
      <c r="C68" s="142"/>
      <c r="D68" s="142"/>
      <c r="E68">
        <v>-13</v>
      </c>
      <c r="F68" s="143"/>
      <c r="G68" s="143"/>
      <c r="H68" s="143"/>
      <c r="I68">
        <v>-13</v>
      </c>
      <c r="J68" s="144"/>
      <c r="K68" s="144"/>
      <c r="L68" s="144"/>
      <c r="M68">
        <v>-13</v>
      </c>
      <c r="N68" s="145"/>
      <c r="O68" s="145"/>
      <c r="P68" s="145"/>
      <c r="Q68">
        <v>-13</v>
      </c>
      <c r="R68" s="146"/>
      <c r="S68" s="146"/>
      <c r="T68" s="146"/>
      <c r="U68">
        <v>-13</v>
      </c>
      <c r="V68" s="147"/>
      <c r="W68" s="147"/>
      <c r="X68" s="147"/>
      <c r="Y68">
        <v>-13</v>
      </c>
      <c r="Z68" s="148"/>
      <c r="AA68" s="148"/>
      <c r="AB68" s="148"/>
      <c r="AC68">
        <v>-13</v>
      </c>
      <c r="AD68" s="149"/>
      <c r="AE68" s="149"/>
      <c r="AF68" s="149"/>
      <c r="AG68">
        <v>-13</v>
      </c>
      <c r="AH68" s="150"/>
      <c r="AI68" s="150"/>
      <c r="AJ68" s="150"/>
      <c r="AK68">
        <v>-13</v>
      </c>
      <c r="AL68" s="151"/>
      <c r="AM68" s="151"/>
      <c r="AN68" s="151"/>
      <c r="AO68">
        <v>-13</v>
      </c>
      <c r="AP68" s="152"/>
      <c r="AQ68" s="152"/>
      <c r="AR68" s="152"/>
      <c r="AS68">
        <v>-13</v>
      </c>
      <c r="AT68" s="153"/>
      <c r="AU68" s="153"/>
      <c r="AV68" s="153"/>
      <c r="AW68">
        <v>-13</v>
      </c>
      <c r="AX68" s="154"/>
      <c r="AY68" s="155"/>
      <c r="AZ68" s="154"/>
      <c r="BA68">
        <v>-13</v>
      </c>
      <c r="BB68" s="156"/>
      <c r="BC68" s="157"/>
      <c r="BD68" s="156"/>
      <c r="BE68">
        <v>-13</v>
      </c>
      <c r="BF68" s="158"/>
      <c r="BG68" s="159"/>
      <c r="BH68" s="158"/>
      <c r="BI68">
        <v>-13</v>
      </c>
      <c r="BJ68" s="160"/>
      <c r="BK68" s="161"/>
      <c r="BL68" s="160"/>
      <c r="BM68">
        <v>-13</v>
      </c>
      <c r="BN68" s="143"/>
      <c r="BO68" s="143"/>
      <c r="BP68" s="143"/>
      <c r="BQ68">
        <v>-13</v>
      </c>
      <c r="BR68" s="162"/>
      <c r="BS68" s="162"/>
      <c r="BT68" s="162"/>
      <c r="BU68">
        <v>-13</v>
      </c>
      <c r="BW68"/>
      <c r="BY68">
        <v>-13</v>
      </c>
      <c r="BZ68" s="164"/>
      <c r="CA68" s="164"/>
      <c r="CB68" s="164"/>
      <c r="CC68">
        <v>-13</v>
      </c>
      <c r="CD68" s="143"/>
      <c r="CE68" s="143"/>
      <c r="CF68" s="143"/>
      <c r="CG68">
        <v>-13</v>
      </c>
      <c r="CH68" s="166"/>
      <c r="CI68" s="166"/>
      <c r="CJ68" s="166"/>
      <c r="CK68">
        <v>-13</v>
      </c>
      <c r="CL68" s="167"/>
      <c r="CM68" s="167"/>
      <c r="CN68" s="167"/>
      <c r="CO68">
        <v>-13</v>
      </c>
      <c r="CP68" s="163"/>
      <c r="CQ68" s="163"/>
      <c r="CR68" s="163"/>
      <c r="CS68">
        <v>-13</v>
      </c>
      <c r="CT68" s="162"/>
      <c r="CU68" s="162"/>
      <c r="CV68" s="162"/>
      <c r="CW68">
        <v>-13</v>
      </c>
      <c r="CX68" s="169"/>
      <c r="CY68" s="169"/>
      <c r="CZ68" s="169"/>
      <c r="DA68">
        <v>-13</v>
      </c>
      <c r="DB68" s="171"/>
      <c r="DC68" s="171"/>
      <c r="DD68" s="171"/>
      <c r="DE68">
        <v>-13</v>
      </c>
      <c r="DG68"/>
      <c r="DI68">
        <v>-13</v>
      </c>
      <c r="DK68"/>
      <c r="DM68">
        <v>-13</v>
      </c>
      <c r="DO68"/>
      <c r="DQ68">
        <v>-13</v>
      </c>
      <c r="DS68"/>
      <c r="DU68">
        <v>-13</v>
      </c>
      <c r="DW68"/>
      <c r="DY68">
        <v>-13</v>
      </c>
      <c r="EA68"/>
      <c r="EC68">
        <v>-13</v>
      </c>
      <c r="EE68"/>
      <c r="EG68">
        <v>-13</v>
      </c>
      <c r="EI68"/>
      <c r="EK68">
        <v>-13</v>
      </c>
      <c r="EM68"/>
      <c r="EO68">
        <v>-13</v>
      </c>
      <c r="EQ68"/>
      <c r="ES68">
        <v>-13</v>
      </c>
      <c r="EU68"/>
      <c r="EW68">
        <v>-13</v>
      </c>
      <c r="EY68"/>
      <c r="FA68">
        <v>-13</v>
      </c>
      <c r="FC68"/>
      <c r="FE68">
        <v>-13</v>
      </c>
      <c r="FG68"/>
      <c r="FI68">
        <v>-13</v>
      </c>
      <c r="FK68"/>
      <c r="FM68">
        <v>-13</v>
      </c>
      <c r="FO68"/>
      <c r="FQ68">
        <v>-13</v>
      </c>
      <c r="FS68"/>
      <c r="FU68">
        <v>-13</v>
      </c>
      <c r="FW68"/>
      <c r="FY68">
        <v>-13</v>
      </c>
      <c r="GA68"/>
      <c r="GC68">
        <v>-13</v>
      </c>
      <c r="GE68"/>
      <c r="GG68">
        <v>-13</v>
      </c>
      <c r="GI68"/>
      <c r="GK68">
        <v>-13</v>
      </c>
      <c r="GM68"/>
      <c r="GO68">
        <v>-13</v>
      </c>
      <c r="GP68"/>
      <c r="GQ68"/>
      <c r="GS68">
        <v>-13</v>
      </c>
      <c r="GT68"/>
      <c r="GU68"/>
      <c r="GW68">
        <v>-13</v>
      </c>
      <c r="GY68"/>
      <c r="HA68">
        <v>-13</v>
      </c>
      <c r="HB68"/>
      <c r="HC68"/>
      <c r="HE68">
        <v>-13</v>
      </c>
      <c r="HG68"/>
      <c r="HI68">
        <v>-13</v>
      </c>
      <c r="HK68"/>
      <c r="HM68">
        <v>-13</v>
      </c>
      <c r="HO68"/>
      <c r="HQ68">
        <v>-13</v>
      </c>
      <c r="HS68"/>
      <c r="HU68">
        <v>-13</v>
      </c>
      <c r="HW68"/>
      <c r="HY68">
        <v>-13</v>
      </c>
      <c r="IA68"/>
      <c r="IC68">
        <v>-13</v>
      </c>
      <c r="IE68"/>
      <c r="IG68">
        <v>-13</v>
      </c>
      <c r="II68"/>
      <c r="IK68">
        <v>-13</v>
      </c>
      <c r="IM68"/>
      <c r="IO68">
        <v>-13</v>
      </c>
      <c r="IQ68"/>
      <c r="IS68">
        <v>-13</v>
      </c>
      <c r="IU68"/>
      <c r="IW68">
        <v>-13</v>
      </c>
      <c r="IY68"/>
      <c r="JA68">
        <v>-13</v>
      </c>
      <c r="JC68"/>
      <c r="JE68">
        <v>-13</v>
      </c>
      <c r="JG68"/>
      <c r="JI68">
        <v>-13</v>
      </c>
      <c r="JK68"/>
      <c r="JM68">
        <v>-13</v>
      </c>
      <c r="JO68"/>
      <c r="JQ68">
        <v>-13</v>
      </c>
      <c r="JS68"/>
      <c r="JU68">
        <v>-13</v>
      </c>
      <c r="JW68"/>
      <c r="JY68">
        <v>-13</v>
      </c>
      <c r="KA68"/>
      <c r="KC68">
        <v>-13</v>
      </c>
      <c r="KE68"/>
      <c r="KG68">
        <v>-13</v>
      </c>
      <c r="KI68"/>
      <c r="KK68">
        <v>-13</v>
      </c>
      <c r="KM68"/>
      <c r="KO68">
        <v>-13</v>
      </c>
      <c r="KQ68"/>
      <c r="KS68">
        <v>-13</v>
      </c>
      <c r="KU68"/>
      <c r="KW68">
        <v>-13</v>
      </c>
      <c r="KY68"/>
      <c r="LA68">
        <v>-13</v>
      </c>
      <c r="LC68"/>
      <c r="LE68">
        <v>-13</v>
      </c>
      <c r="LG68"/>
      <c r="LI68">
        <v>-13</v>
      </c>
      <c r="LK68"/>
      <c r="LM68">
        <v>-13</v>
      </c>
      <c r="LO68"/>
      <c r="LQ68">
        <v>-13</v>
      </c>
      <c r="LS68"/>
      <c r="LU68">
        <v>-13</v>
      </c>
      <c r="LW68"/>
      <c r="LY68">
        <v>-13</v>
      </c>
      <c r="MA68"/>
      <c r="MC68">
        <v>-13</v>
      </c>
      <c r="ME68"/>
      <c r="MG68">
        <v>-13</v>
      </c>
      <c r="MI68"/>
      <c r="MK68">
        <v>-13</v>
      </c>
      <c r="MM68"/>
      <c r="MO68">
        <v>-13</v>
      </c>
      <c r="MQ68"/>
      <c r="MS68">
        <v>-13</v>
      </c>
      <c r="MU68"/>
      <c r="MW68">
        <v>-13</v>
      </c>
      <c r="MY68"/>
      <c r="NA68">
        <v>-13</v>
      </c>
      <c r="NC68"/>
      <c r="NE68">
        <v>-13</v>
      </c>
      <c r="NG68"/>
      <c r="NI68">
        <v>-13</v>
      </c>
      <c r="NK68"/>
      <c r="NM68">
        <v>-13</v>
      </c>
      <c r="NO68"/>
      <c r="NQ68">
        <v>-13</v>
      </c>
      <c r="NS68"/>
      <c r="NU68">
        <v>-13</v>
      </c>
      <c r="NW68"/>
      <c r="NY68">
        <v>-13</v>
      </c>
      <c r="OA68"/>
      <c r="OC68">
        <v>-13</v>
      </c>
      <c r="OE68"/>
      <c r="OG68">
        <v>-13</v>
      </c>
      <c r="OI68"/>
      <c r="OK68">
        <v>-13</v>
      </c>
      <c r="OM68"/>
      <c r="OO68">
        <v>-13</v>
      </c>
      <c r="OQ68"/>
      <c r="OS68">
        <v>-13</v>
      </c>
      <c r="OU68"/>
      <c r="OW68">
        <v>-13</v>
      </c>
      <c r="OY68"/>
      <c r="PA68">
        <v>-13</v>
      </c>
      <c r="PC68"/>
      <c r="PE68">
        <v>-13</v>
      </c>
      <c r="PG68"/>
      <c r="PI68">
        <v>-13</v>
      </c>
      <c r="PK68"/>
      <c r="PM68">
        <v>-13</v>
      </c>
      <c r="PO68"/>
      <c r="PQ68">
        <v>-13</v>
      </c>
      <c r="PS68"/>
      <c r="PU68">
        <v>-13</v>
      </c>
      <c r="PW68"/>
      <c r="PY68">
        <v>-13</v>
      </c>
      <c r="QA68"/>
      <c r="QC68">
        <v>-13</v>
      </c>
      <c r="QE68"/>
      <c r="QG68">
        <v>-13</v>
      </c>
      <c r="QI68"/>
      <c r="QK68">
        <v>-13</v>
      </c>
      <c r="QM68"/>
      <c r="QO68">
        <v>-13</v>
      </c>
      <c r="QQ68"/>
      <c r="QS68">
        <v>-13</v>
      </c>
      <c r="QU68"/>
      <c r="QW68">
        <v>-13</v>
      </c>
      <c r="QY68"/>
      <c r="RA68">
        <v>-13</v>
      </c>
      <c r="RC68"/>
      <c r="RE68">
        <v>-13</v>
      </c>
      <c r="RG68"/>
      <c r="RI68">
        <v>-13</v>
      </c>
      <c r="RK68"/>
      <c r="RM68">
        <v>-13</v>
      </c>
      <c r="RO68"/>
      <c r="RQ68">
        <v>-13</v>
      </c>
      <c r="RS68"/>
      <c r="RU68">
        <v>-13</v>
      </c>
      <c r="RW68"/>
      <c r="RY68">
        <v>-13</v>
      </c>
      <c r="SA68"/>
      <c r="SC68">
        <v>-13</v>
      </c>
      <c r="SE68"/>
      <c r="SG68">
        <v>-13</v>
      </c>
      <c r="SI68"/>
      <c r="SK68">
        <v>-13</v>
      </c>
      <c r="SM68"/>
      <c r="SO68">
        <v>-13</v>
      </c>
      <c r="SQ68"/>
      <c r="SS68">
        <v>-13</v>
      </c>
      <c r="SU68"/>
      <c r="SW68">
        <v>-13</v>
      </c>
      <c r="SY68"/>
      <c r="TA68">
        <v>-13</v>
      </c>
      <c r="TC68"/>
      <c r="TE68">
        <v>-13</v>
      </c>
      <c r="TG68"/>
      <c r="TI68">
        <v>-13</v>
      </c>
      <c r="TK68"/>
      <c r="TM68">
        <v>-13</v>
      </c>
      <c r="TO68"/>
      <c r="TQ68">
        <v>-13</v>
      </c>
      <c r="TS68"/>
      <c r="TU68">
        <v>-13</v>
      </c>
      <c r="TW68"/>
      <c r="TY68">
        <v>-13</v>
      </c>
      <c r="UA68"/>
      <c r="UC68">
        <v>-13</v>
      </c>
      <c r="UE68"/>
      <c r="UG68">
        <v>-13</v>
      </c>
      <c r="UI68"/>
      <c r="UK68">
        <v>-13</v>
      </c>
      <c r="UM68"/>
      <c r="UO68">
        <v>-13</v>
      </c>
      <c r="UQ68"/>
      <c r="US68">
        <v>-13</v>
      </c>
      <c r="UU68"/>
      <c r="UW68">
        <v>-13</v>
      </c>
      <c r="UY68"/>
      <c r="VA68">
        <v>-13</v>
      </c>
      <c r="VC68"/>
      <c r="VE68">
        <v>-13</v>
      </c>
      <c r="VG68"/>
      <c r="VI68">
        <v>-13</v>
      </c>
      <c r="VK68"/>
      <c r="VM68">
        <v>-13</v>
      </c>
      <c r="VO68"/>
      <c r="VQ68">
        <v>-13</v>
      </c>
      <c r="VS68"/>
      <c r="VU68">
        <v>-13</v>
      </c>
      <c r="VW68"/>
      <c r="VY68">
        <v>-13</v>
      </c>
      <c r="WA68"/>
      <c r="WC68">
        <v>-13</v>
      </c>
      <c r="WE68"/>
      <c r="WG68">
        <v>-13</v>
      </c>
      <c r="WI68"/>
      <c r="WK68">
        <v>-13</v>
      </c>
      <c r="WM68"/>
      <c r="WO68">
        <v>-13</v>
      </c>
      <c r="WQ68"/>
      <c r="WS68">
        <v>-13</v>
      </c>
      <c r="WU68"/>
      <c r="WW68">
        <v>-13</v>
      </c>
      <c r="WY68"/>
      <c r="XA68">
        <v>-13</v>
      </c>
      <c r="XC68"/>
      <c r="XE68">
        <v>-13</v>
      </c>
      <c r="XG68"/>
      <c r="XI68">
        <v>-13</v>
      </c>
      <c r="XK68"/>
      <c r="XM68">
        <v>-13</v>
      </c>
      <c r="XO68"/>
      <c r="XQ68">
        <v>-13</v>
      </c>
    </row>
    <row r="69" s="172" customFormat="true" ht="15" hidden="false" customHeight="false" outlineLevel="0" collapsed="false">
      <c r="A69" s="141" t="inlineStr">
        <is>
          <t xml:space="preserve">{sym.heldhoffset}</t>
        </is>
      </c>
      <c r="B69" s="142"/>
      <c r="C69" s="142"/>
      <c r="D69" s="142"/>
      <c r="E69">
        <v>-56</v>
      </c>
      <c r="F69" s="143"/>
      <c r="G69" s="143"/>
      <c r="H69" s="143"/>
      <c r="I69">
        <v>-56</v>
      </c>
      <c r="J69" s="144"/>
      <c r="K69" s="144"/>
      <c r="L69" s="144"/>
      <c r="M69">
        <v>-56</v>
      </c>
      <c r="N69" s="145"/>
      <c r="O69" s="145"/>
      <c r="P69" s="145"/>
      <c r="Q69">
        <v>-56</v>
      </c>
      <c r="R69" s="146"/>
      <c r="S69" s="146"/>
      <c r="T69" s="146"/>
      <c r="U69">
        <v>-56</v>
      </c>
      <c r="V69" s="147"/>
      <c r="W69" s="147"/>
      <c r="X69" s="147"/>
      <c r="Y69">
        <v>-56</v>
      </c>
      <c r="Z69" s="148"/>
      <c r="AA69" s="148"/>
      <c r="AB69" s="148"/>
      <c r="AC69">
        <v>-56</v>
      </c>
      <c r="AD69" s="149"/>
      <c r="AE69" s="149"/>
      <c r="AF69" s="149"/>
      <c r="AG69">
        <v>-56</v>
      </c>
      <c r="AH69" s="150"/>
      <c r="AI69" s="150"/>
      <c r="AJ69" s="150"/>
      <c r="AK69">
        <v>-56</v>
      </c>
      <c r="AL69" s="151"/>
      <c r="AM69" s="151"/>
      <c r="AN69" s="151"/>
      <c r="AO69">
        <v>-56</v>
      </c>
      <c r="AP69" s="152"/>
      <c r="AQ69" s="152"/>
      <c r="AR69" s="152"/>
      <c r="AS69">
        <v>-56</v>
      </c>
      <c r="AT69" s="153"/>
      <c r="AU69" s="153"/>
      <c r="AV69" s="153"/>
      <c r="AW69">
        <v>-56</v>
      </c>
      <c r="AX69" s="154"/>
      <c r="AY69" s="155"/>
      <c r="AZ69" s="154"/>
      <c r="BA69">
        <v>-56</v>
      </c>
      <c r="BB69" s="156"/>
      <c r="BC69" s="157"/>
      <c r="BD69" s="156"/>
      <c r="BE69">
        <v>-56</v>
      </c>
      <c r="BF69" s="158"/>
      <c r="BG69" s="159"/>
      <c r="BH69" s="158"/>
      <c r="BI69">
        <v>-56</v>
      </c>
      <c r="BJ69" s="160"/>
      <c r="BK69" s="161"/>
      <c r="BL69" s="160"/>
      <c r="BM69">
        <v>-56</v>
      </c>
      <c r="BN69" s="143"/>
      <c r="BO69" s="143"/>
      <c r="BP69" s="143"/>
      <c r="BQ69">
        <v>-56</v>
      </c>
      <c r="BR69" s="162"/>
      <c r="BS69" s="162"/>
      <c r="BT69" s="162"/>
      <c r="BU69">
        <v>-56</v>
      </c>
      <c r="BW69"/>
      <c r="BY69">
        <v>-56</v>
      </c>
      <c r="BZ69" s="164"/>
      <c r="CA69" s="164"/>
      <c r="CB69" s="164"/>
      <c r="CC69">
        <v>-56</v>
      </c>
      <c r="CD69" s="143"/>
      <c r="CE69" s="143"/>
      <c r="CF69" s="143"/>
      <c r="CG69">
        <v>-56</v>
      </c>
      <c r="CH69" s="166"/>
      <c r="CI69" s="166"/>
      <c r="CJ69" s="166"/>
      <c r="CK69">
        <v>-56</v>
      </c>
      <c r="CL69" s="167"/>
      <c r="CM69" s="167"/>
      <c r="CN69" s="167"/>
      <c r="CO69">
        <v>-56</v>
      </c>
      <c r="CP69" s="163"/>
      <c r="CQ69" s="163"/>
      <c r="CR69" s="163"/>
      <c r="CS69">
        <v>-56</v>
      </c>
      <c r="CT69" s="162"/>
      <c r="CU69" s="162"/>
      <c r="CV69" s="162"/>
      <c r="CW69">
        <v>-56</v>
      </c>
      <c r="CX69" s="169"/>
      <c r="CY69" s="169"/>
      <c r="CZ69" s="169"/>
      <c r="DA69">
        <v>-56</v>
      </c>
      <c r="DB69" s="171"/>
      <c r="DC69" s="171"/>
      <c r="DD69" s="171"/>
      <c r="DE69">
        <v>-56</v>
      </c>
      <c r="DG69"/>
      <c r="DI69">
        <v>-56</v>
      </c>
      <c r="DK69"/>
      <c r="DM69">
        <v>-56</v>
      </c>
      <c r="DO69"/>
      <c r="DQ69">
        <v>-56</v>
      </c>
      <c r="DS69"/>
      <c r="DU69">
        <v>-56</v>
      </c>
      <c r="DW69"/>
      <c r="DY69">
        <v>-56</v>
      </c>
      <c r="EA69"/>
      <c r="EC69">
        <v>-56</v>
      </c>
      <c r="EE69"/>
      <c r="EG69">
        <v>-56</v>
      </c>
      <c r="EI69"/>
      <c r="EK69">
        <v>-56</v>
      </c>
      <c r="EM69"/>
      <c r="EO69">
        <v>-56</v>
      </c>
      <c r="EQ69"/>
      <c r="ES69">
        <v>-56</v>
      </c>
      <c r="EU69"/>
      <c r="EW69">
        <v>-56</v>
      </c>
      <c r="EY69"/>
      <c r="FA69">
        <v>-56</v>
      </c>
      <c r="FC69"/>
      <c r="FE69">
        <v>-56</v>
      </c>
      <c r="FG69"/>
      <c r="FI69">
        <v>-56</v>
      </c>
      <c r="FK69"/>
      <c r="FM69">
        <v>-56</v>
      </c>
      <c r="FO69"/>
      <c r="FQ69">
        <v>-56</v>
      </c>
      <c r="FS69"/>
      <c r="FU69">
        <v>-56</v>
      </c>
      <c r="FW69"/>
      <c r="FY69">
        <v>-56</v>
      </c>
      <c r="GA69"/>
      <c r="GC69">
        <v>-56</v>
      </c>
      <c r="GE69"/>
      <c r="GG69">
        <v>-56</v>
      </c>
      <c r="GI69"/>
      <c r="GK69">
        <v>-56</v>
      </c>
      <c r="GM69"/>
      <c r="GO69">
        <v>-56</v>
      </c>
      <c r="GP69"/>
      <c r="GQ69"/>
      <c r="GS69">
        <v>-56</v>
      </c>
      <c r="GT69"/>
      <c r="GU69"/>
      <c r="GW69">
        <v>-56</v>
      </c>
      <c r="GY69"/>
      <c r="HA69">
        <v>-56</v>
      </c>
      <c r="HB69"/>
      <c r="HC69"/>
      <c r="HE69">
        <v>-56</v>
      </c>
      <c r="HG69"/>
      <c r="HI69">
        <v>-56</v>
      </c>
      <c r="HK69"/>
      <c r="HM69">
        <v>-56</v>
      </c>
      <c r="HO69"/>
      <c r="HQ69">
        <v>-56</v>
      </c>
      <c r="HS69"/>
      <c r="HU69">
        <v>-56</v>
      </c>
      <c r="HW69"/>
      <c r="HY69">
        <v>-56</v>
      </c>
      <c r="IA69"/>
      <c r="IC69">
        <v>-56</v>
      </c>
      <c r="IE69"/>
      <c r="IG69">
        <v>-56</v>
      </c>
      <c r="II69"/>
      <c r="IK69">
        <v>-56</v>
      </c>
      <c r="IM69"/>
      <c r="IO69">
        <v>-56</v>
      </c>
      <c r="IQ69"/>
      <c r="IS69">
        <v>-56</v>
      </c>
      <c r="IU69"/>
      <c r="IW69">
        <v>-56</v>
      </c>
      <c r="IY69"/>
      <c r="JA69">
        <v>-56</v>
      </c>
      <c r="JC69"/>
      <c r="JE69">
        <v>-56</v>
      </c>
      <c r="JG69"/>
      <c r="JI69">
        <v>-56</v>
      </c>
      <c r="JK69"/>
      <c r="JM69">
        <v>-56</v>
      </c>
      <c r="JO69"/>
      <c r="JQ69">
        <v>-56</v>
      </c>
      <c r="JS69"/>
      <c r="JU69">
        <v>-56</v>
      </c>
      <c r="JW69"/>
      <c r="JY69">
        <v>-56</v>
      </c>
      <c r="KA69"/>
      <c r="KC69">
        <v>-56</v>
      </c>
      <c r="KE69"/>
      <c r="KG69">
        <v>-56</v>
      </c>
      <c r="KI69"/>
      <c r="KK69">
        <v>-56</v>
      </c>
      <c r="KM69"/>
      <c r="KO69">
        <v>-56</v>
      </c>
      <c r="KQ69"/>
      <c r="KS69">
        <v>-56</v>
      </c>
      <c r="KU69"/>
      <c r="KW69">
        <v>-56</v>
      </c>
      <c r="KY69"/>
      <c r="LA69">
        <v>-56</v>
      </c>
      <c r="LC69"/>
      <c r="LE69">
        <v>-56</v>
      </c>
      <c r="LG69"/>
      <c r="LI69">
        <v>-56</v>
      </c>
      <c r="LK69"/>
      <c r="LM69">
        <v>-56</v>
      </c>
      <c r="LO69"/>
      <c r="LQ69">
        <v>-56</v>
      </c>
      <c r="LS69"/>
      <c r="LU69">
        <v>-56</v>
      </c>
      <c r="LW69"/>
      <c r="LY69">
        <v>-56</v>
      </c>
      <c r="MA69"/>
      <c r="MC69">
        <v>-56</v>
      </c>
      <c r="ME69"/>
      <c r="MG69">
        <v>-56</v>
      </c>
      <c r="MI69"/>
      <c r="MK69">
        <v>-56</v>
      </c>
      <c r="MM69"/>
      <c r="MO69">
        <v>-56</v>
      </c>
      <c r="MQ69"/>
      <c r="MS69">
        <v>-56</v>
      </c>
      <c r="MU69"/>
      <c r="MW69">
        <v>-56</v>
      </c>
      <c r="MY69"/>
      <c r="NA69">
        <v>-56</v>
      </c>
      <c r="NC69"/>
      <c r="NE69">
        <v>-56</v>
      </c>
      <c r="NG69"/>
      <c r="NI69">
        <v>-56</v>
      </c>
      <c r="NK69"/>
      <c r="NM69">
        <v>-56</v>
      </c>
      <c r="NO69"/>
      <c r="NQ69">
        <v>-56</v>
      </c>
      <c r="NS69"/>
      <c r="NU69">
        <v>-56</v>
      </c>
      <c r="NW69"/>
      <c r="NY69">
        <v>-56</v>
      </c>
      <c r="OA69"/>
      <c r="OC69">
        <v>-56</v>
      </c>
      <c r="OE69"/>
      <c r="OG69">
        <v>-56</v>
      </c>
      <c r="OI69"/>
      <c r="OK69">
        <v>-56</v>
      </c>
      <c r="OM69"/>
      <c r="OO69">
        <v>-56</v>
      </c>
      <c r="OQ69"/>
      <c r="OS69">
        <v>-56</v>
      </c>
      <c r="OU69"/>
      <c r="OW69">
        <v>-56</v>
      </c>
      <c r="OY69"/>
      <c r="PA69">
        <v>-56</v>
      </c>
      <c r="PC69"/>
      <c r="PE69">
        <v>-56</v>
      </c>
      <c r="PG69"/>
      <c r="PI69">
        <v>-56</v>
      </c>
      <c r="PK69"/>
      <c r="PM69">
        <v>-56</v>
      </c>
      <c r="PO69"/>
      <c r="PQ69">
        <v>-56</v>
      </c>
      <c r="PS69"/>
      <c r="PU69">
        <v>-56</v>
      </c>
      <c r="PW69"/>
      <c r="PY69">
        <v>-56</v>
      </c>
      <c r="QA69"/>
      <c r="QC69">
        <v>-56</v>
      </c>
      <c r="QE69"/>
      <c r="QG69">
        <v>-56</v>
      </c>
      <c r="QI69"/>
      <c r="QK69">
        <v>-56</v>
      </c>
      <c r="QM69"/>
      <c r="QO69">
        <v>-56</v>
      </c>
      <c r="QQ69"/>
      <c r="QS69">
        <v>-56</v>
      </c>
      <c r="QU69"/>
      <c r="QW69">
        <v>-56</v>
      </c>
      <c r="QY69"/>
      <c r="RA69">
        <v>-56</v>
      </c>
      <c r="RC69"/>
      <c r="RE69">
        <v>-56</v>
      </c>
      <c r="RG69"/>
      <c r="RI69">
        <v>-56</v>
      </c>
      <c r="RK69"/>
      <c r="RM69">
        <v>-56</v>
      </c>
      <c r="RO69"/>
      <c r="RQ69">
        <v>-56</v>
      </c>
      <c r="RS69"/>
      <c r="RU69">
        <v>-56</v>
      </c>
      <c r="RW69"/>
      <c r="RY69">
        <v>-56</v>
      </c>
      <c r="SA69"/>
      <c r="SC69">
        <v>-56</v>
      </c>
      <c r="SE69"/>
      <c r="SG69">
        <v>-56</v>
      </c>
      <c r="SI69"/>
      <c r="SK69">
        <v>-56</v>
      </c>
      <c r="SM69"/>
      <c r="SO69">
        <v>-56</v>
      </c>
      <c r="SQ69"/>
      <c r="SS69">
        <v>-56</v>
      </c>
      <c r="SU69"/>
      <c r="SW69">
        <v>-56</v>
      </c>
      <c r="SY69"/>
      <c r="TA69">
        <v>-56</v>
      </c>
      <c r="TC69"/>
      <c r="TE69">
        <v>-56</v>
      </c>
      <c r="TG69"/>
      <c r="TI69">
        <v>-56</v>
      </c>
      <c r="TK69"/>
      <c r="TM69">
        <v>-56</v>
      </c>
      <c r="TO69"/>
      <c r="TQ69">
        <v>-56</v>
      </c>
      <c r="TS69"/>
      <c r="TU69">
        <v>-56</v>
      </c>
      <c r="TW69"/>
      <c r="TY69">
        <v>-56</v>
      </c>
      <c r="UA69"/>
      <c r="UC69">
        <v>-56</v>
      </c>
      <c r="UE69"/>
      <c r="UG69">
        <v>-56</v>
      </c>
      <c r="UI69"/>
      <c r="UK69">
        <v>-56</v>
      </c>
      <c r="UM69"/>
      <c r="UO69">
        <v>-56</v>
      </c>
      <c r="UQ69"/>
      <c r="US69">
        <v>-56</v>
      </c>
      <c r="UU69"/>
      <c r="UW69">
        <v>-56</v>
      </c>
      <c r="UY69"/>
      <c r="VA69">
        <v>-56</v>
      </c>
      <c r="VC69"/>
      <c r="VE69">
        <v>-56</v>
      </c>
      <c r="VG69"/>
      <c r="VI69">
        <v>-56</v>
      </c>
      <c r="VK69"/>
      <c r="VM69">
        <v>-56</v>
      </c>
      <c r="VO69"/>
      <c r="VQ69">
        <v>-56</v>
      </c>
      <c r="VS69"/>
      <c r="VU69">
        <v>-56</v>
      </c>
      <c r="VW69"/>
      <c r="VY69">
        <v>-56</v>
      </c>
      <c r="WA69"/>
      <c r="WC69">
        <v>-56</v>
      </c>
      <c r="WE69"/>
      <c r="WG69">
        <v>-56</v>
      </c>
      <c r="WI69"/>
      <c r="WK69">
        <v>-56</v>
      </c>
      <c r="WM69"/>
      <c r="WO69">
        <v>-56</v>
      </c>
      <c r="WQ69"/>
      <c r="WS69">
        <v>-56</v>
      </c>
      <c r="WU69"/>
      <c r="WW69">
        <v>-56</v>
      </c>
      <c r="WY69"/>
      <c r="XA69">
        <v>-56</v>
      </c>
      <c r="XC69"/>
      <c r="XE69">
        <v>-56</v>
      </c>
      <c r="XG69"/>
      <c r="XI69">
        <v>-56</v>
      </c>
      <c r="XK69"/>
      <c r="XM69">
        <v>-56</v>
      </c>
      <c r="XO69"/>
      <c r="XQ69">
        <v>-56</v>
      </c>
    </row>
    <row r="70" s="172" customFormat="true" ht="15" hidden="false" customHeight="false" outlineLevel="0" collapsed="false">
      <c r="A70" s="141" t="inlineStr">
        <is>
          <t xml:space="preserve">{sym.heldvoffset}</t>
        </is>
      </c>
      <c r="B70" s="142"/>
      <c r="C70" s="142"/>
      <c r="D70" s="142"/>
      <c r="E70">
        <v>-15</v>
      </c>
      <c r="F70" s="143"/>
      <c r="G70" s="143"/>
      <c r="H70" s="143"/>
      <c r="I70">
        <v>-15</v>
      </c>
      <c r="J70" s="144"/>
      <c r="K70" s="144"/>
      <c r="L70" s="144"/>
      <c r="M70">
        <v>-15</v>
      </c>
      <c r="N70" s="145"/>
      <c r="O70" s="145"/>
      <c r="P70" s="145"/>
      <c r="Q70">
        <v>-15</v>
      </c>
      <c r="R70" s="146"/>
      <c r="S70" s="146"/>
      <c r="T70" s="146"/>
      <c r="U70">
        <v>-15</v>
      </c>
      <c r="V70" s="147"/>
      <c r="W70" s="147"/>
      <c r="X70" s="147"/>
      <c r="Y70">
        <v>-15</v>
      </c>
      <c r="Z70" s="148"/>
      <c r="AA70" s="148"/>
      <c r="AB70" s="148"/>
      <c r="AC70">
        <v>-15</v>
      </c>
      <c r="AD70" s="149"/>
      <c r="AE70" s="149"/>
      <c r="AF70" s="149"/>
      <c r="AG70">
        <v>-15</v>
      </c>
      <c r="AH70" s="150"/>
      <c r="AI70" s="150"/>
      <c r="AJ70" s="150"/>
      <c r="AK70">
        <v>-15</v>
      </c>
      <c r="AL70" s="151"/>
      <c r="AM70" s="151"/>
      <c r="AN70" s="151"/>
      <c r="AO70">
        <v>-15</v>
      </c>
      <c r="AP70" s="152"/>
      <c r="AQ70" s="152"/>
      <c r="AR70" s="152"/>
      <c r="AS70">
        <v>-15</v>
      </c>
      <c r="AT70" s="153"/>
      <c r="AU70" s="153"/>
      <c r="AV70" s="153"/>
      <c r="AW70">
        <v>-15</v>
      </c>
      <c r="AX70" s="154"/>
      <c r="AY70" s="155"/>
      <c r="AZ70" s="154"/>
      <c r="BA70">
        <v>-15</v>
      </c>
      <c r="BB70" s="156"/>
      <c r="BC70" s="157"/>
      <c r="BD70" s="156"/>
      <c r="BE70">
        <v>-15</v>
      </c>
      <c r="BF70" s="158"/>
      <c r="BG70" s="159"/>
      <c r="BH70" s="158"/>
      <c r="BI70">
        <v>-15</v>
      </c>
      <c r="BJ70" s="160"/>
      <c r="BK70" s="161"/>
      <c r="BL70" s="160"/>
      <c r="BM70">
        <v>-15</v>
      </c>
      <c r="BN70" s="143"/>
      <c r="BO70" s="143"/>
      <c r="BP70" s="143"/>
      <c r="BQ70">
        <v>-15</v>
      </c>
      <c r="BR70" s="162"/>
      <c r="BS70" s="162"/>
      <c r="BT70" s="162"/>
      <c r="BU70">
        <v>-15</v>
      </c>
      <c r="BW70"/>
      <c r="BY70">
        <v>-15</v>
      </c>
      <c r="BZ70" s="164"/>
      <c r="CA70" s="164"/>
      <c r="CB70" s="164"/>
      <c r="CC70">
        <v>-15</v>
      </c>
      <c r="CD70" s="143"/>
      <c r="CE70" s="143"/>
      <c r="CF70" s="143"/>
      <c r="CG70">
        <v>-15</v>
      </c>
      <c r="CH70" s="166"/>
      <c r="CI70" s="166"/>
      <c r="CJ70" s="166"/>
      <c r="CK70">
        <v>-15</v>
      </c>
      <c r="CL70" s="167"/>
      <c r="CM70" s="167"/>
      <c r="CN70" s="167"/>
      <c r="CO70">
        <v>-15</v>
      </c>
      <c r="CP70" s="163"/>
      <c r="CQ70" s="163"/>
      <c r="CR70" s="163"/>
      <c r="CS70">
        <v>-15</v>
      </c>
      <c r="CT70" s="162"/>
      <c r="CU70" s="162"/>
      <c r="CV70" s="162"/>
      <c r="CW70">
        <v>-15</v>
      </c>
      <c r="CX70" s="169"/>
      <c r="CY70" s="169"/>
      <c r="CZ70" s="169"/>
      <c r="DA70">
        <v>-15</v>
      </c>
      <c r="DB70" s="171"/>
      <c r="DC70" s="171"/>
      <c r="DD70" s="171"/>
      <c r="DE70">
        <v>-15</v>
      </c>
      <c r="DG70"/>
      <c r="DI70">
        <v>-15</v>
      </c>
      <c r="DK70"/>
      <c r="DM70">
        <v>-15</v>
      </c>
      <c r="DO70"/>
      <c r="DQ70">
        <v>-15</v>
      </c>
      <c r="DS70"/>
      <c r="DU70">
        <v>-15</v>
      </c>
      <c r="DW70"/>
      <c r="DY70">
        <v>-15</v>
      </c>
      <c r="EA70"/>
      <c r="EC70">
        <v>-15</v>
      </c>
      <c r="EE70"/>
      <c r="EG70">
        <v>-15</v>
      </c>
      <c r="EI70"/>
      <c r="EK70">
        <v>-15</v>
      </c>
      <c r="EM70"/>
      <c r="EO70">
        <v>-15</v>
      </c>
      <c r="EQ70"/>
      <c r="ES70">
        <v>-15</v>
      </c>
      <c r="EU70"/>
      <c r="EW70">
        <v>-15</v>
      </c>
      <c r="EY70"/>
      <c r="FA70">
        <v>-15</v>
      </c>
      <c r="FC70"/>
      <c r="FE70">
        <v>-15</v>
      </c>
      <c r="FG70"/>
      <c r="FI70">
        <v>-15</v>
      </c>
      <c r="FK70"/>
      <c r="FM70">
        <v>-15</v>
      </c>
      <c r="FO70"/>
      <c r="FQ70">
        <v>-15</v>
      </c>
      <c r="FS70"/>
      <c r="FU70">
        <v>-15</v>
      </c>
      <c r="FW70"/>
      <c r="FY70">
        <v>-15</v>
      </c>
      <c r="GA70"/>
      <c r="GC70">
        <v>-15</v>
      </c>
      <c r="GE70"/>
      <c r="GG70">
        <v>-15</v>
      </c>
      <c r="GI70"/>
      <c r="GK70">
        <v>-15</v>
      </c>
      <c r="GM70"/>
      <c r="GO70">
        <v>-15</v>
      </c>
      <c r="GP70"/>
      <c r="GQ70"/>
      <c r="GS70">
        <v>-15</v>
      </c>
      <c r="GT70"/>
      <c r="GU70"/>
      <c r="GW70">
        <v>-15</v>
      </c>
      <c r="GY70"/>
      <c r="HA70">
        <v>-15</v>
      </c>
      <c r="HB70"/>
      <c r="HC70"/>
      <c r="HE70">
        <v>-15</v>
      </c>
      <c r="HG70"/>
      <c r="HI70">
        <v>-15</v>
      </c>
      <c r="HK70"/>
      <c r="HM70">
        <v>-15</v>
      </c>
      <c r="HO70"/>
      <c r="HQ70">
        <v>-15</v>
      </c>
      <c r="HS70"/>
      <c r="HU70">
        <v>-15</v>
      </c>
      <c r="HW70"/>
      <c r="HY70">
        <v>-15</v>
      </c>
      <c r="IA70"/>
      <c r="IC70">
        <v>-15</v>
      </c>
      <c r="IE70"/>
      <c r="IG70">
        <v>-15</v>
      </c>
      <c r="II70"/>
      <c r="IK70">
        <v>-15</v>
      </c>
      <c r="IM70"/>
      <c r="IO70">
        <v>-15</v>
      </c>
      <c r="IQ70"/>
      <c r="IS70">
        <v>-15</v>
      </c>
      <c r="IU70"/>
      <c r="IW70">
        <v>-15</v>
      </c>
      <c r="IY70"/>
      <c r="JA70">
        <v>-15</v>
      </c>
      <c r="JC70"/>
      <c r="JE70">
        <v>-15</v>
      </c>
      <c r="JG70"/>
      <c r="JI70">
        <v>-15</v>
      </c>
      <c r="JK70"/>
      <c r="JM70">
        <v>-15</v>
      </c>
      <c r="JO70"/>
      <c r="JQ70">
        <v>-15</v>
      </c>
      <c r="JS70"/>
      <c r="JU70">
        <v>-15</v>
      </c>
      <c r="JW70"/>
      <c r="JY70">
        <v>-15</v>
      </c>
      <c r="KA70"/>
      <c r="KC70">
        <v>-15</v>
      </c>
      <c r="KE70"/>
      <c r="KG70">
        <v>-15</v>
      </c>
      <c r="KI70"/>
      <c r="KK70">
        <v>-15</v>
      </c>
      <c r="KM70"/>
      <c r="KO70">
        <v>-15</v>
      </c>
      <c r="KQ70"/>
      <c r="KS70">
        <v>-15</v>
      </c>
      <c r="KU70"/>
      <c r="KW70">
        <v>-15</v>
      </c>
      <c r="KY70"/>
      <c r="LA70">
        <v>-15</v>
      </c>
      <c r="LC70"/>
      <c r="LE70">
        <v>-15</v>
      </c>
      <c r="LG70"/>
      <c r="LI70">
        <v>-15</v>
      </c>
      <c r="LK70"/>
      <c r="LM70">
        <v>-15</v>
      </c>
      <c r="LO70"/>
      <c r="LQ70">
        <v>-15</v>
      </c>
      <c r="LS70"/>
      <c r="LU70">
        <v>-15</v>
      </c>
      <c r="LW70"/>
      <c r="LY70">
        <v>-15</v>
      </c>
      <c r="MA70"/>
      <c r="MC70">
        <v>-15</v>
      </c>
      <c r="ME70"/>
      <c r="MG70">
        <v>-15</v>
      </c>
      <c r="MI70"/>
      <c r="MK70">
        <v>-15</v>
      </c>
      <c r="MM70"/>
      <c r="MO70">
        <v>-15</v>
      </c>
      <c r="MQ70"/>
      <c r="MS70">
        <v>-15</v>
      </c>
      <c r="MU70"/>
      <c r="MW70">
        <v>-15</v>
      </c>
      <c r="MY70"/>
      <c r="NA70">
        <v>-15</v>
      </c>
      <c r="NC70"/>
      <c r="NE70">
        <v>-15</v>
      </c>
      <c r="NG70"/>
      <c r="NI70">
        <v>-15</v>
      </c>
      <c r="NK70"/>
      <c r="NM70">
        <v>-15</v>
      </c>
      <c r="NO70"/>
      <c r="NQ70">
        <v>-15</v>
      </c>
      <c r="NS70"/>
      <c r="NU70">
        <v>-15</v>
      </c>
      <c r="NW70"/>
      <c r="NY70">
        <v>-15</v>
      </c>
      <c r="OA70"/>
      <c r="OC70">
        <v>-15</v>
      </c>
      <c r="OE70"/>
      <c r="OG70">
        <v>-15</v>
      </c>
      <c r="OI70"/>
      <c r="OK70">
        <v>-15</v>
      </c>
      <c r="OM70"/>
      <c r="OO70">
        <v>-15</v>
      </c>
      <c r="OQ70"/>
      <c r="OS70">
        <v>-15</v>
      </c>
      <c r="OU70"/>
      <c r="OW70">
        <v>-15</v>
      </c>
      <c r="OY70"/>
      <c r="PA70">
        <v>-15</v>
      </c>
      <c r="PC70"/>
      <c r="PE70">
        <v>-15</v>
      </c>
      <c r="PG70"/>
      <c r="PI70">
        <v>-15</v>
      </c>
      <c r="PK70"/>
      <c r="PM70">
        <v>-15</v>
      </c>
      <c r="PO70"/>
      <c r="PQ70">
        <v>-15</v>
      </c>
      <c r="PS70"/>
      <c r="PU70">
        <v>-15</v>
      </c>
      <c r="PW70"/>
      <c r="PY70">
        <v>-15</v>
      </c>
      <c r="QA70"/>
      <c r="QC70">
        <v>-15</v>
      </c>
      <c r="QE70"/>
      <c r="QG70">
        <v>-15</v>
      </c>
      <c r="QI70"/>
      <c r="QK70">
        <v>-15</v>
      </c>
      <c r="QM70"/>
      <c r="QO70">
        <v>-15</v>
      </c>
      <c r="QQ70"/>
      <c r="QS70">
        <v>-15</v>
      </c>
      <c r="QU70"/>
      <c r="QW70">
        <v>-15</v>
      </c>
      <c r="QY70"/>
      <c r="RA70">
        <v>-15</v>
      </c>
      <c r="RC70"/>
      <c r="RE70">
        <v>-15</v>
      </c>
      <c r="RG70"/>
      <c r="RI70">
        <v>-15</v>
      </c>
      <c r="RK70"/>
      <c r="RM70">
        <v>-15</v>
      </c>
      <c r="RO70"/>
      <c r="RQ70">
        <v>-15</v>
      </c>
      <c r="RS70"/>
      <c r="RU70">
        <v>-15</v>
      </c>
      <c r="RW70"/>
      <c r="RY70">
        <v>-15</v>
      </c>
      <c r="SA70"/>
      <c r="SC70">
        <v>-15</v>
      </c>
      <c r="SE70"/>
      <c r="SG70">
        <v>-15</v>
      </c>
      <c r="SI70"/>
      <c r="SK70">
        <v>-15</v>
      </c>
      <c r="SM70"/>
      <c r="SO70">
        <v>-15</v>
      </c>
      <c r="SQ70"/>
      <c r="SS70">
        <v>-15</v>
      </c>
      <c r="SU70"/>
      <c r="SW70">
        <v>-15</v>
      </c>
      <c r="SY70"/>
      <c r="TA70">
        <v>-15</v>
      </c>
      <c r="TC70"/>
      <c r="TE70">
        <v>-15</v>
      </c>
      <c r="TG70"/>
      <c r="TI70">
        <v>-15</v>
      </c>
      <c r="TK70"/>
      <c r="TM70">
        <v>-15</v>
      </c>
      <c r="TO70"/>
      <c r="TQ70">
        <v>-15</v>
      </c>
      <c r="TS70"/>
      <c r="TU70">
        <v>-15</v>
      </c>
      <c r="TW70"/>
      <c r="TY70">
        <v>-15</v>
      </c>
      <c r="UA70"/>
      <c r="UC70">
        <v>-15</v>
      </c>
      <c r="UE70"/>
      <c r="UG70">
        <v>-15</v>
      </c>
      <c r="UI70"/>
      <c r="UK70">
        <v>-15</v>
      </c>
      <c r="UM70"/>
      <c r="UO70">
        <v>-15</v>
      </c>
      <c r="UQ70"/>
      <c r="US70">
        <v>-15</v>
      </c>
      <c r="UU70"/>
      <c r="UW70">
        <v>-15</v>
      </c>
      <c r="UY70"/>
      <c r="VA70">
        <v>-15</v>
      </c>
      <c r="VC70"/>
      <c r="VE70">
        <v>-15</v>
      </c>
      <c r="VG70"/>
      <c r="VI70">
        <v>-15</v>
      </c>
      <c r="VK70"/>
      <c r="VM70">
        <v>-15</v>
      </c>
      <c r="VO70"/>
      <c r="VQ70">
        <v>-15</v>
      </c>
      <c r="VS70"/>
      <c r="VU70">
        <v>-15</v>
      </c>
      <c r="VW70"/>
      <c r="VY70">
        <v>-15</v>
      </c>
      <c r="WA70"/>
      <c r="WC70">
        <v>-15</v>
      </c>
      <c r="WE70"/>
      <c r="WG70">
        <v>-15</v>
      </c>
      <c r="WI70"/>
      <c r="WK70">
        <v>-15</v>
      </c>
      <c r="WM70"/>
      <c r="WO70">
        <v>-15</v>
      </c>
      <c r="WQ70"/>
      <c r="WS70">
        <v>-15</v>
      </c>
      <c r="WU70"/>
      <c r="WW70">
        <v>-15</v>
      </c>
      <c r="WY70"/>
      <c r="XA70">
        <v>-15</v>
      </c>
      <c r="XC70"/>
      <c r="XE70">
        <v>-15</v>
      </c>
      <c r="XG70"/>
      <c r="XI70">
        <v>-15</v>
      </c>
      <c r="XK70"/>
      <c r="XM70">
        <v>-15</v>
      </c>
      <c r="XO70"/>
      <c r="XQ70">
        <v>-15</v>
      </c>
    </row>
    <row r="71" customFormat="false" ht="15" hidden="false" customHeight="false" outlineLevel="0" collapsed="false">
      <c r="A71" s="173"/>
      <c r="B71" s="173" t="s">
        <v>1360</v>
      </c>
      <c r="C71" s="173" t="s">
        <v>1361</v>
      </c>
      <c r="D71" s="173" t="s">
        <v>1362</v>
      </c>
      <c r="E71" s="173" t="s">
        <v>1363</v>
      </c>
      <c r="F71" s="173" t="s">
        <v>1360</v>
      </c>
      <c r="G71" s="173" t="s">
        <v>1361</v>
      </c>
      <c r="H71" s="173" t="s">
        <v>1362</v>
      </c>
      <c r="I71" s="173" t="s">
        <v>1363</v>
      </c>
      <c r="J71" s="173" t="s">
        <v>1360</v>
      </c>
      <c r="K71" s="173" t="s">
        <v>1361</v>
      </c>
      <c r="L71" s="173" t="s">
        <v>1362</v>
      </c>
      <c r="M71" s="173" t="s">
        <v>1363</v>
      </c>
      <c r="N71" s="173" t="s">
        <v>1360</v>
      </c>
      <c r="O71" s="173" t="s">
        <v>1361</v>
      </c>
      <c r="P71" s="173" t="s">
        <v>1362</v>
      </c>
      <c r="Q71" s="173" t="s">
        <v>1363</v>
      </c>
      <c r="R71" s="173" t="s">
        <v>1360</v>
      </c>
      <c r="S71" s="173" t="s">
        <v>1361</v>
      </c>
      <c r="T71" s="173" t="s">
        <v>1362</v>
      </c>
      <c r="U71" s="173" t="s">
        <v>1363</v>
      </c>
      <c r="V71" s="173" t="s">
        <v>1360</v>
      </c>
      <c r="W71" s="173" t="s">
        <v>1361</v>
      </c>
      <c r="X71" s="173" t="s">
        <v>1362</v>
      </c>
      <c r="Y71" s="173" t="s">
        <v>1363</v>
      </c>
      <c r="Z71" s="173" t="s">
        <v>1360</v>
      </c>
      <c r="AA71" s="173" t="s">
        <v>1361</v>
      </c>
      <c r="AB71" s="173" t="s">
        <v>1362</v>
      </c>
      <c r="AC71" s="173" t="s">
        <v>1363</v>
      </c>
      <c r="AD71" s="173" t="s">
        <v>1360</v>
      </c>
      <c r="AE71" s="173" t="s">
        <v>1361</v>
      </c>
      <c r="AF71" s="173" t="s">
        <v>1362</v>
      </c>
      <c r="AG71" s="173" t="s">
        <v>1363</v>
      </c>
      <c r="AH71" s="173" t="s">
        <v>1360</v>
      </c>
      <c r="AI71" s="173" t="s">
        <v>1361</v>
      </c>
      <c r="AJ71" s="173" t="s">
        <v>1362</v>
      </c>
      <c r="AK71" s="173" t="s">
        <v>1363</v>
      </c>
      <c r="AL71" s="173" t="s">
        <v>1360</v>
      </c>
      <c r="AM71" s="173" t="s">
        <v>1361</v>
      </c>
      <c r="AN71" s="173" t="s">
        <v>1362</v>
      </c>
      <c r="AO71" s="173" t="s">
        <v>1363</v>
      </c>
      <c r="AP71" s="173" t="s">
        <v>1360</v>
      </c>
      <c r="AQ71" s="173" t="s">
        <v>1361</v>
      </c>
      <c r="AR71" s="173" t="s">
        <v>1362</v>
      </c>
      <c r="AS71" s="173" t="s">
        <v>1363</v>
      </c>
      <c r="AT71" s="173" t="s">
        <v>1360</v>
      </c>
      <c r="AU71" s="173" t="s">
        <v>1361</v>
      </c>
      <c r="AV71" s="173" t="s">
        <v>1362</v>
      </c>
      <c r="AW71" s="173" t="s">
        <v>1363</v>
      </c>
      <c r="AX71" s="173" t="s">
        <v>1360</v>
      </c>
      <c r="AY71" s="173" t="s">
        <v>1361</v>
      </c>
      <c r="AZ71" s="173" t="s">
        <v>1362</v>
      </c>
      <c r="BA71" s="173" t="s">
        <v>1363</v>
      </c>
      <c r="BB71" s="173" t="s">
        <v>1360</v>
      </c>
      <c r="BC71" s="173" t="s">
        <v>1361</v>
      </c>
      <c r="BD71" s="173" t="s">
        <v>1362</v>
      </c>
      <c r="BE71" s="173" t="s">
        <v>1363</v>
      </c>
      <c r="BF71" s="173" t="s">
        <v>1360</v>
      </c>
      <c r="BG71" s="173" t="s">
        <v>1361</v>
      </c>
      <c r="BH71" s="173" t="s">
        <v>1362</v>
      </c>
      <c r="BI71" s="173" t="s">
        <v>1363</v>
      </c>
      <c r="BJ71" s="173" t="s">
        <v>1360</v>
      </c>
      <c r="BK71" s="173" t="s">
        <v>1361</v>
      </c>
      <c r="BL71" s="173" t="s">
        <v>1362</v>
      </c>
      <c r="BM71" s="173" t="s">
        <v>1363</v>
      </c>
      <c r="BN71" s="173" t="s">
        <v>1360</v>
      </c>
      <c r="BO71" s="173" t="s">
        <v>1361</v>
      </c>
      <c r="BP71" s="173" t="s">
        <v>1362</v>
      </c>
      <c r="BQ71" s="173" t="s">
        <v>1363</v>
      </c>
      <c r="BR71" s="173" t="s">
        <v>1360</v>
      </c>
      <c r="BS71" s="173" t="s">
        <v>1361</v>
      </c>
      <c r="BT71" s="173" t="s">
        <v>1362</v>
      </c>
      <c r="BU71" s="173" t="s">
        <v>1363</v>
      </c>
      <c r="BV71" s="173" t="s">
        <v>1360</v>
      </c>
      <c r="BW71" s="173" t="s">
        <v>1361</v>
      </c>
      <c r="BX71" s="173" t="s">
        <v>1362</v>
      </c>
      <c r="BY71" s="173"/>
      <c r="BZ71" s="173" t="s">
        <v>1360</v>
      </c>
      <c r="CA71" s="173" t="s">
        <v>1361</v>
      </c>
      <c r="CB71" s="173" t="s">
        <v>1362</v>
      </c>
      <c r="CC71" s="173"/>
      <c r="CD71" s="173" t="s">
        <v>1360</v>
      </c>
      <c r="CE71" s="173" t="s">
        <v>1361</v>
      </c>
      <c r="CF71" s="173" t="s">
        <v>1362</v>
      </c>
      <c r="CG71" s="173" t="s">
        <v>1363</v>
      </c>
      <c r="CH71" s="173" t="s">
        <v>1360</v>
      </c>
      <c r="CI71" s="173" t="s">
        <v>1361</v>
      </c>
      <c r="CJ71" s="173" t="s">
        <v>1362</v>
      </c>
      <c r="CK71" s="173" t="s">
        <v>1363</v>
      </c>
      <c r="CL71" s="173" t="s">
        <v>1360</v>
      </c>
      <c r="CM71" s="173" t="s">
        <v>1361</v>
      </c>
      <c r="CN71" s="173" t="s">
        <v>1362</v>
      </c>
      <c r="CO71" s="173" t="s">
        <v>1363</v>
      </c>
      <c r="CP71" s="173" t="s">
        <v>1360</v>
      </c>
      <c r="CQ71" s="173" t="s">
        <v>1361</v>
      </c>
      <c r="CR71" s="173" t="s">
        <v>1362</v>
      </c>
      <c r="CS71" s="173" t="s">
        <v>1363</v>
      </c>
      <c r="CT71" s="173" t="s">
        <v>1360</v>
      </c>
      <c r="CU71" s="173" t="s">
        <v>1361</v>
      </c>
      <c r="CV71" s="173" t="s">
        <v>1362</v>
      </c>
      <c r="CW71" s="173" t="s">
        <v>1363</v>
      </c>
      <c r="CX71" s="173" t="s">
        <v>1360</v>
      </c>
      <c r="CY71" s="173" t="s">
        <v>1361</v>
      </c>
      <c r="CZ71" s="173" t="s">
        <v>1362</v>
      </c>
      <c r="DA71" s="173" t="s">
        <v>1363</v>
      </c>
      <c r="DB71" s="173" t="s">
        <v>1360</v>
      </c>
      <c r="DC71" s="173" t="s">
        <v>1361</v>
      </c>
      <c r="DD71" s="173" t="s">
        <v>1362</v>
      </c>
      <c r="DE71" s="173" t="s">
        <v>1363</v>
      </c>
    </row>
    <row r="72" customFormat="false" ht="34.8" hidden="false" customHeight="true" outlineLevel="0" collapsed="false">
      <c r="A72" s="173"/>
      <c r="B72" s="173"/>
      <c r="C72" s="173"/>
      <c r="D72" s="174" t="s">
        <v>1364</v>
      </c>
      <c r="E72" s="174"/>
      <c r="F72" s="173"/>
      <c r="G72" s="173"/>
      <c r="H72" s="174" t="s">
        <v>1364</v>
      </c>
      <c r="I72" s="174"/>
      <c r="J72" s="173"/>
      <c r="K72" s="173"/>
      <c r="L72" s="174" t="s">
        <v>1364</v>
      </c>
      <c r="M72" s="174"/>
      <c r="N72" s="173"/>
      <c r="O72" s="173"/>
      <c r="P72" s="174" t="s">
        <v>1364</v>
      </c>
      <c r="Q72" s="174"/>
      <c r="R72" s="173"/>
      <c r="S72" s="173"/>
      <c r="T72" s="174" t="s">
        <v>1364</v>
      </c>
      <c r="U72" s="174"/>
      <c r="V72" s="173"/>
      <c r="W72" s="173"/>
      <c r="X72" s="174" t="s">
        <v>1364</v>
      </c>
      <c r="Y72" s="174"/>
      <c r="Z72" s="173"/>
      <c r="AA72" s="173"/>
      <c r="AB72" s="174" t="s">
        <v>1364</v>
      </c>
      <c r="AC72" s="174"/>
      <c r="AD72" s="173"/>
      <c r="AE72" s="173"/>
      <c r="AF72" s="174" t="s">
        <v>1364</v>
      </c>
      <c r="AG72" s="174"/>
      <c r="AH72" s="173"/>
      <c r="AI72" s="173"/>
      <c r="AJ72" s="174" t="s">
        <v>1364</v>
      </c>
      <c r="AK72" s="174"/>
      <c r="AL72" s="173"/>
      <c r="AM72" s="173"/>
      <c r="AN72" s="174" t="s">
        <v>1364</v>
      </c>
      <c r="AO72" s="174"/>
      <c r="AP72" s="173"/>
      <c r="AQ72" s="173"/>
      <c r="AR72" s="174" t="s">
        <v>1364</v>
      </c>
      <c r="AS72" s="174"/>
      <c r="AT72" s="173"/>
      <c r="AU72" s="173"/>
      <c r="AV72" s="174" t="s">
        <v>1364</v>
      </c>
      <c r="AW72" s="174"/>
      <c r="AX72" s="173"/>
      <c r="AY72" s="173"/>
      <c r="AZ72" s="174" t="s">
        <v>1364</v>
      </c>
      <c r="BA72" s="174"/>
      <c r="BB72" s="173"/>
      <c r="BC72" s="173"/>
      <c r="BD72" s="174" t="s">
        <v>1364</v>
      </c>
      <c r="BE72" s="174"/>
      <c r="BF72" s="173"/>
      <c r="BG72" s="173"/>
      <c r="BH72" s="174" t="s">
        <v>1364</v>
      </c>
      <c r="BI72" s="174"/>
      <c r="BJ72" s="173"/>
      <c r="BK72" s="173"/>
      <c r="BL72" s="174" t="s">
        <v>1364</v>
      </c>
      <c r="BM72" s="174"/>
      <c r="BN72" s="173"/>
      <c r="BO72" s="173"/>
      <c r="BP72" s="174" t="s">
        <v>1364</v>
      </c>
      <c r="BQ72" s="174"/>
      <c r="BR72" s="173"/>
      <c r="BS72" s="173"/>
      <c r="BT72" s="174" t="s">
        <v>1364</v>
      </c>
      <c r="BU72" s="174"/>
      <c r="BV72" s="173"/>
      <c r="BW72" s="173"/>
      <c r="BX72" s="174" t="s">
        <v>1364</v>
      </c>
      <c r="BY72" s="174"/>
      <c r="BZ72" s="173"/>
      <c r="CA72" s="173"/>
      <c r="CB72" s="174" t="s">
        <v>1364</v>
      </c>
      <c r="CC72" s="174"/>
      <c r="CD72" s="173"/>
      <c r="CE72" s="173"/>
      <c r="CF72" s="174" t="s">
        <v>1364</v>
      </c>
      <c r="CG72" s="174"/>
      <c r="CH72" s="173"/>
      <c r="CI72" s="173"/>
      <c r="CJ72" s="174" t="s">
        <v>1364</v>
      </c>
      <c r="CK72" s="174"/>
      <c r="CL72" s="173"/>
      <c r="CM72" s="173"/>
      <c r="CN72" s="174" t="s">
        <v>1364</v>
      </c>
      <c r="CO72" s="174"/>
      <c r="CP72" s="173"/>
      <c r="CQ72" s="173"/>
      <c r="CR72" s="174" t="s">
        <v>1364</v>
      </c>
      <c r="CS72" s="174"/>
      <c r="CT72" s="173"/>
      <c r="CU72" s="173"/>
      <c r="CV72" s="174" t="s">
        <v>1364</v>
      </c>
      <c r="CW72" s="174"/>
      <c r="CX72" s="173"/>
      <c r="CY72" s="173"/>
      <c r="CZ72" s="174" t="s">
        <v>1364</v>
      </c>
      <c r="DA72" s="174"/>
      <c r="DB72" s="173"/>
      <c r="DC72" s="173"/>
      <c r="DD72" s="174" t="s">
        <v>1364</v>
      </c>
      <c r="DE72" s="174"/>
    </row>
    <row r="73" customFormat="false" ht="15" hidden="false" customHeight="false" outlineLevel="0" collapsed="false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3"/>
      <c r="AT73" s="173"/>
      <c r="AU73" s="173"/>
      <c r="AV73" s="173"/>
      <c r="AW73" s="173"/>
      <c r="AX73" s="173"/>
      <c r="AY73" s="173"/>
      <c r="AZ73" s="173"/>
      <c r="BA73" s="173"/>
      <c r="BB73" s="173"/>
      <c r="BC73" s="173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73"/>
      <c r="BP73" s="173"/>
      <c r="BQ73" s="173"/>
      <c r="BR73" s="173"/>
      <c r="BS73" s="173"/>
      <c r="BT73" s="173"/>
      <c r="BU73" s="173"/>
      <c r="BV73" s="173"/>
      <c r="BW73" s="173"/>
      <c r="BX73" s="173"/>
      <c r="BY73" s="173"/>
      <c r="BZ73" s="173"/>
      <c r="CA73" s="173"/>
      <c r="CB73" s="173"/>
      <c r="CC73" s="173"/>
      <c r="CD73" s="173"/>
      <c r="CE73" s="173"/>
      <c r="CF73" s="173"/>
      <c r="CG73" s="173"/>
      <c r="CH73" s="173"/>
      <c r="CI73" s="173"/>
      <c r="CJ73" s="173"/>
      <c r="CK73" s="173"/>
      <c r="CL73" s="173"/>
      <c r="CM73" s="173"/>
      <c r="CN73" s="173"/>
      <c r="CO73" s="173"/>
      <c r="CP73" s="173"/>
      <c r="CQ73" s="173"/>
      <c r="CR73" s="173"/>
      <c r="CS73" s="173"/>
      <c r="CT73" s="173"/>
      <c r="CU73" s="173"/>
      <c r="CV73" s="173"/>
      <c r="CW73" s="173"/>
      <c r="CX73" s="173"/>
      <c r="CY73" s="173"/>
      <c r="CZ73" s="173"/>
      <c r="DA73" s="173"/>
      <c r="DB73" s="173"/>
      <c r="DC73" s="173"/>
      <c r="DD73" s="173"/>
      <c r="DE73" s="173"/>
    </row>
    <row r="74" customFormat="false" ht="15" hidden="false" customHeight="false" outlineLevel="0" collapsed="false">
      <c r="A74" s="173"/>
      <c r="B74" s="175" t="s">
        <v>1365</v>
      </c>
      <c r="C74" s="175"/>
      <c r="D74" s="175"/>
      <c r="E74" s="175"/>
      <c r="F74" s="175" t="s">
        <v>1366</v>
      </c>
      <c r="G74" s="175"/>
      <c r="H74" s="175"/>
      <c r="I74" s="175"/>
      <c r="J74" s="175" t="s">
        <v>1367</v>
      </c>
      <c r="K74" s="175"/>
      <c r="L74" s="175"/>
      <c r="M74" s="175"/>
      <c r="N74" s="175" t="s">
        <v>1368</v>
      </c>
      <c r="O74" s="175"/>
      <c r="P74" s="175"/>
      <c r="Q74" s="175"/>
      <c r="R74" s="175" t="s">
        <v>1369</v>
      </c>
      <c r="S74" s="175"/>
      <c r="T74" s="175"/>
      <c r="U74" s="175"/>
      <c r="V74" s="175" t="s">
        <v>1370</v>
      </c>
      <c r="W74" s="175"/>
      <c r="X74" s="175"/>
      <c r="Y74" s="175"/>
      <c r="Z74" s="175" t="s">
        <v>1371</v>
      </c>
      <c r="AA74" s="175"/>
      <c r="AB74" s="175"/>
      <c r="AC74" s="175"/>
      <c r="AD74" s="175" t="s">
        <v>1372</v>
      </c>
      <c r="AE74" s="175"/>
      <c r="AF74" s="175"/>
      <c r="AG74" s="175"/>
      <c r="AH74" s="175" t="s">
        <v>1373</v>
      </c>
      <c r="AI74" s="175"/>
      <c r="AJ74" s="175"/>
      <c r="AK74" s="175"/>
      <c r="AL74" s="175" t="s">
        <v>1374</v>
      </c>
      <c r="AM74" s="175"/>
      <c r="AN74" s="175"/>
      <c r="AO74" s="175"/>
      <c r="AP74" s="175" t="s">
        <v>1375</v>
      </c>
      <c r="AQ74" s="175"/>
      <c r="AR74" s="175"/>
      <c r="AS74" s="175"/>
      <c r="AT74" s="175" t="s">
        <v>1376</v>
      </c>
      <c r="AU74" s="175"/>
      <c r="AV74" s="175"/>
      <c r="AW74" s="175"/>
      <c r="AX74" s="175" t="s">
        <v>1377</v>
      </c>
      <c r="AY74" s="175"/>
      <c r="AZ74" s="175"/>
      <c r="BA74" s="175"/>
      <c r="BB74" s="175" t="s">
        <v>1378</v>
      </c>
      <c r="BC74" s="175"/>
      <c r="BD74" s="175"/>
      <c r="BE74" s="175"/>
      <c r="BF74" s="175" t="s">
        <v>1379</v>
      </c>
      <c r="BG74" s="175"/>
      <c r="BH74" s="175"/>
      <c r="BI74" s="175"/>
      <c r="BJ74" s="175" t="s">
        <v>1380</v>
      </c>
      <c r="BK74" s="175"/>
      <c r="BL74" s="175"/>
      <c r="BM74" s="175"/>
      <c r="BN74" s="175" t="s">
        <v>1381</v>
      </c>
      <c r="BO74" s="175"/>
      <c r="BP74" s="175"/>
      <c r="BQ74" s="175"/>
      <c r="BR74" s="175" t="s">
        <v>1382</v>
      </c>
      <c r="BS74" s="175"/>
      <c r="BT74" s="175"/>
      <c r="BU74" s="175"/>
      <c r="BV74" s="175" t="s">
        <v>1383</v>
      </c>
      <c r="BW74" s="175"/>
      <c r="BX74" s="175"/>
      <c r="BY74" s="175"/>
      <c r="BZ74" s="175" t="s">
        <v>1384</v>
      </c>
      <c r="CA74" s="175"/>
      <c r="CB74" s="175"/>
      <c r="CC74" s="175"/>
      <c r="CD74" s="175" t="s">
        <v>1385</v>
      </c>
      <c r="CE74" s="175"/>
      <c r="CF74" s="175"/>
      <c r="CG74" s="175"/>
      <c r="CH74" s="175" t="s">
        <v>1386</v>
      </c>
      <c r="CI74" s="175"/>
      <c r="CJ74" s="175"/>
      <c r="CK74" s="175"/>
      <c r="CL74" s="175" t="s">
        <v>1387</v>
      </c>
      <c r="CM74" s="175"/>
      <c r="CN74" s="175"/>
      <c r="CO74" s="175"/>
      <c r="CP74" s="175" t="s">
        <v>1388</v>
      </c>
      <c r="CQ74" s="175"/>
      <c r="CR74" s="175"/>
      <c r="CS74" s="175"/>
      <c r="CT74" s="175" t="s">
        <v>1388</v>
      </c>
      <c r="CU74" s="175"/>
      <c r="CV74" s="175"/>
      <c r="CW74" s="175"/>
      <c r="CX74" s="175" t="s">
        <v>1389</v>
      </c>
      <c r="CY74" s="175"/>
      <c r="CZ74" s="175"/>
      <c r="DA74" s="175"/>
      <c r="DB74" s="175" t="s">
        <v>1382</v>
      </c>
      <c r="DC74" s="175"/>
      <c r="DD74" s="175"/>
      <c r="DE74" s="175"/>
    </row>
    <row r="75" customFormat="false" ht="15" hidden="false" customHeight="false" outlineLevel="0" collapsed="false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3"/>
      <c r="AT75" s="173"/>
      <c r="AU75" s="173"/>
      <c r="AV75" s="173"/>
      <c r="AW75" s="173"/>
      <c r="AX75" s="173"/>
      <c r="AY75" s="173"/>
      <c r="AZ75" s="173"/>
      <c r="BA75" s="173"/>
      <c r="BB75" s="173"/>
      <c r="BC75" s="173"/>
      <c r="BD75" s="173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73"/>
      <c r="BP75" s="173"/>
      <c r="BQ75" s="173"/>
      <c r="BR75" s="173"/>
      <c r="BS75" s="173"/>
      <c r="BT75" s="173"/>
      <c r="BU75" s="173"/>
      <c r="BV75" s="173"/>
      <c r="BW75" s="173" t="s">
        <v>1390</v>
      </c>
      <c r="BX75" s="173"/>
      <c r="BY75" s="173"/>
      <c r="BZ75" s="173"/>
      <c r="CA75" s="173"/>
      <c r="CB75" s="173"/>
      <c r="CC75" s="173"/>
      <c r="CD75" s="173"/>
      <c r="CE75" s="173"/>
      <c r="CF75" s="173"/>
      <c r="CG75" s="173"/>
      <c r="CH75" s="173"/>
      <c r="CI75" s="173"/>
      <c r="CJ75" s="173"/>
      <c r="CK75" s="173"/>
      <c r="CL75" s="173"/>
      <c r="CM75" s="173"/>
      <c r="CN75" s="173"/>
      <c r="CO75" s="173"/>
      <c r="CP75" s="173"/>
      <c r="CQ75" s="173"/>
      <c r="CR75" s="173"/>
      <c r="CS75" s="173"/>
      <c r="CT75" s="173"/>
      <c r="CU75" s="173"/>
      <c r="CV75" s="173"/>
      <c r="CW75" s="173"/>
      <c r="CX75" s="173"/>
      <c r="CY75" s="173"/>
      <c r="CZ75" s="173"/>
      <c r="DA75" s="173"/>
      <c r="DB75" s="173"/>
      <c r="DC75" s="173"/>
      <c r="DD75" s="173"/>
      <c r="DE75" s="173"/>
    </row>
    <row r="76" customFormat="false" ht="15" hidden="false" customHeight="false" outlineLevel="0" collapsed="false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3"/>
      <c r="AM76" s="173"/>
      <c r="AN76" s="173"/>
      <c r="AO76" s="173"/>
      <c r="AP76" s="173"/>
      <c r="AQ76" s="173"/>
      <c r="AR76" s="173"/>
      <c r="AS76" s="173"/>
      <c r="AT76" s="173"/>
      <c r="AU76" s="173"/>
      <c r="AV76" s="173"/>
      <c r="AW76" s="173"/>
      <c r="AX76" s="173"/>
      <c r="AY76" s="173"/>
      <c r="AZ76" s="173"/>
      <c r="BA76" s="173"/>
      <c r="BB76" s="173"/>
      <c r="BC76" s="173"/>
      <c r="BD76" s="173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173"/>
      <c r="BP76" s="173"/>
      <c r="BQ76" s="173"/>
      <c r="BR76" s="173"/>
      <c r="BS76" s="173"/>
      <c r="BT76" s="173"/>
      <c r="BU76" s="173"/>
      <c r="BV76" s="173"/>
      <c r="BW76" s="173"/>
      <c r="BX76" s="173"/>
      <c r="BY76" s="173"/>
      <c r="BZ76" s="173"/>
      <c r="CA76" s="173"/>
      <c r="CB76" s="173"/>
      <c r="CC76" s="173"/>
      <c r="CD76" s="173"/>
      <c r="CE76" s="173"/>
      <c r="CF76" s="173"/>
      <c r="CG76" s="173"/>
      <c r="CH76" s="173"/>
      <c r="CI76" s="173"/>
      <c r="CJ76" s="173"/>
      <c r="CK76" s="173"/>
      <c r="CL76" s="173"/>
      <c r="CM76" s="173"/>
      <c r="CN76" s="173"/>
      <c r="CO76" s="173"/>
      <c r="CP76" s="173"/>
      <c r="CQ76" s="173"/>
      <c r="CR76" s="173"/>
      <c r="CS76" s="173"/>
      <c r="CT76" s="173"/>
      <c r="CU76" s="173"/>
      <c r="CV76" s="173"/>
      <c r="CW76" s="173"/>
      <c r="CX76" s="173"/>
      <c r="CY76" s="173"/>
      <c r="CZ76" s="173"/>
      <c r="DA76" s="173"/>
      <c r="DB76" s="173"/>
      <c r="DC76" s="173"/>
      <c r="DD76" s="173"/>
      <c r="DE76" s="173"/>
    </row>
    <row r="77" customFormat="false" ht="15" hidden="false" customHeight="false" outlineLevel="0" collapsed="false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3"/>
      <c r="AT77" s="173"/>
      <c r="AU77" s="173"/>
      <c r="AV77" s="173"/>
      <c r="AW77" s="173"/>
      <c r="AX77" s="173"/>
      <c r="AY77" s="173"/>
      <c r="AZ77" s="173"/>
      <c r="BA77" s="173"/>
      <c r="BB77" s="173"/>
      <c r="BC77" s="173"/>
      <c r="BD77" s="173"/>
      <c r="BE77" s="173"/>
      <c r="BF77" s="173"/>
      <c r="BG77" s="173"/>
      <c r="BH77" s="173"/>
      <c r="BI77" s="173"/>
      <c r="BJ77" s="173"/>
      <c r="BK77" s="173"/>
      <c r="BL77" s="173"/>
      <c r="BM77" s="173"/>
      <c r="BN77" s="173"/>
      <c r="BO77" s="173"/>
      <c r="BP77" s="173"/>
      <c r="BQ77" s="173"/>
      <c r="BR77" s="173"/>
      <c r="BS77" s="173"/>
      <c r="BT77" s="173"/>
      <c r="BU77" s="173"/>
      <c r="BV77" s="173"/>
      <c r="BW77" s="173"/>
      <c r="BX77" s="173"/>
      <c r="BY77" s="173"/>
      <c r="BZ77" s="173"/>
      <c r="CA77" s="173"/>
      <c r="CB77" s="173"/>
      <c r="CC77" s="173"/>
      <c r="CD77" s="173"/>
      <c r="CE77" s="173"/>
      <c r="CF77" s="173"/>
      <c r="CG77" s="173"/>
      <c r="CH77" s="173"/>
      <c r="CI77" s="173"/>
      <c r="CJ77" s="173"/>
      <c r="CK77" s="173"/>
      <c r="CL77" s="173"/>
      <c r="CM77" s="173"/>
      <c r="CN77" s="173"/>
      <c r="CO77" s="173"/>
      <c r="CP77" s="173"/>
      <c r="CQ77" s="173"/>
      <c r="CR77" s="173"/>
      <c r="CS77" s="173"/>
      <c r="CT77" s="173"/>
      <c r="CU77" s="173"/>
      <c r="CV77" s="173"/>
      <c r="CW77" s="173"/>
      <c r="CX77" s="173"/>
      <c r="CY77" s="173"/>
      <c r="CZ77" s="173"/>
      <c r="DA77" s="173"/>
      <c r="DB77" s="173"/>
      <c r="DC77" s="173"/>
      <c r="DD77" s="173"/>
      <c r="DE77" s="173"/>
    </row>
    <row r="78" customFormat="false" ht="15" hidden="false" customHeight="false" outlineLevel="0" collapsed="false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173"/>
      <c r="AU78" s="173"/>
      <c r="AV78" s="173"/>
      <c r="AW78" s="173"/>
      <c r="AX78" s="173"/>
      <c r="AY78" s="173"/>
      <c r="AZ78" s="173"/>
      <c r="BA78" s="173"/>
      <c r="BB78" s="173"/>
      <c r="BC78" s="173"/>
      <c r="BD78" s="173"/>
      <c r="BE78" s="173"/>
      <c r="BF78" s="173"/>
      <c r="BG78" s="173"/>
      <c r="BH78" s="173"/>
      <c r="BI78" s="173"/>
      <c r="BJ78" s="173"/>
      <c r="BK78" s="173"/>
      <c r="BL78" s="173"/>
      <c r="BM78" s="173"/>
      <c r="BN78" s="173"/>
      <c r="BO78" s="173"/>
      <c r="BP78" s="173"/>
      <c r="BQ78" s="173"/>
      <c r="BR78" s="173"/>
      <c r="BS78" s="173"/>
      <c r="BT78" s="173"/>
      <c r="BU78" s="173"/>
      <c r="BV78" s="173"/>
      <c r="BW78" s="173"/>
      <c r="BX78" s="173"/>
      <c r="BY78" s="173"/>
      <c r="BZ78" s="173"/>
      <c r="CA78" s="173"/>
      <c r="CB78" s="173"/>
      <c r="CC78" s="173"/>
      <c r="CD78" s="173"/>
      <c r="CE78" s="173"/>
      <c r="CF78" s="173"/>
      <c r="CG78" s="173"/>
      <c r="CH78" s="173"/>
      <c r="CI78" s="173"/>
      <c r="CJ78" s="173"/>
      <c r="CK78" s="173"/>
      <c r="CL78" s="173"/>
      <c r="CM78" s="173"/>
      <c r="CN78" s="173"/>
      <c r="CO78" s="173"/>
      <c r="CP78" s="173"/>
      <c r="CQ78" s="173"/>
      <c r="CR78" s="173"/>
      <c r="CS78" s="173"/>
      <c r="CT78" s="173"/>
      <c r="CU78" s="173"/>
      <c r="CV78" s="173"/>
      <c r="CW78" s="173"/>
      <c r="CX78" s="173"/>
      <c r="CY78" s="173"/>
      <c r="CZ78" s="173"/>
      <c r="DA78" s="173"/>
      <c r="DB78" s="173"/>
      <c r="DC78" s="173"/>
      <c r="DD78" s="173"/>
      <c r="DE78" s="173"/>
    </row>
    <row r="81" customFormat="false" ht="15" hidden="false" customHeight="false" outlineLevel="0" collapsed="false">
      <c r="A81" s="17" t="s">
        <v>1391</v>
      </c>
      <c r="B81" s="18" t="s">
        <v>1392</v>
      </c>
      <c r="C81" s="18" t="s">
        <v>1393</v>
      </c>
    </row>
    <row r="82" customFormat="false" ht="15" hidden="false" customHeight="false" outlineLevel="0" collapsed="false">
      <c r="B82" s="18" t="s">
        <v>1394</v>
      </c>
      <c r="C82" s="18" t="s">
        <v>1395</v>
      </c>
    </row>
    <row r="83" customFormat="false" ht="15" hidden="false" customHeight="false" outlineLevel="0" collapsed="false">
      <c r="B83" s="18" t="s">
        <v>1396</v>
      </c>
      <c r="C83" s="18" t="s">
        <v>1397</v>
      </c>
    </row>
    <row r="84" customFormat="false" ht="15" hidden="false" customHeight="false" outlineLevel="0" collapsed="false">
      <c r="B84" s="18" t="s">
        <v>1398</v>
      </c>
      <c r="C84" s="18" t="s">
        <v>1399</v>
      </c>
    </row>
    <row r="85" customFormat="false" ht="15" hidden="false" customHeight="false" outlineLevel="0" collapsed="false">
      <c r="B85" s="18" t="s">
        <v>1400</v>
      </c>
      <c r="C85" s="18" t="s">
        <v>1401</v>
      </c>
    </row>
    <row r="86" customFormat="false" ht="15" hidden="false" customHeight="false" outlineLevel="0" collapsed="false">
      <c r="B86" s="18" t="s">
        <v>1402</v>
      </c>
      <c r="C86" s="18" t="s">
        <v>1403</v>
      </c>
    </row>
    <row r="87" customFormat="false" ht="15" hidden="false" customHeight="false" outlineLevel="0" collapsed="false">
      <c r="B87" s="18" t="s">
        <v>1404</v>
      </c>
      <c r="C87" s="18" t="s">
        <v>1405</v>
      </c>
    </row>
    <row r="88" customFormat="false" ht="15" hidden="false" customHeight="false" outlineLevel="0" collapsed="false">
      <c r="B88" s="18" t="s">
        <v>1406</v>
      </c>
      <c r="C88" s="18" t="s">
        <v>1407</v>
      </c>
    </row>
  </sheetData>
  <mergeCells count="54">
    <mergeCell ref="B1:D1"/>
    <mergeCell ref="F1:H1"/>
    <mergeCell ref="J1:L1"/>
    <mergeCell ref="N1:P1"/>
    <mergeCell ref="R1:T1"/>
    <mergeCell ref="V1:X1"/>
    <mergeCell ref="Z1:AB1"/>
    <mergeCell ref="AD1:AF1"/>
    <mergeCell ref="AH1:AJ1"/>
    <mergeCell ref="AL1:AN1"/>
    <mergeCell ref="AP1:AR1"/>
    <mergeCell ref="AT1:AV1"/>
    <mergeCell ref="AX1:AZ1"/>
    <mergeCell ref="BB1:BD1"/>
    <mergeCell ref="BF1:BH1"/>
    <mergeCell ref="BJ1:BL1"/>
    <mergeCell ref="BN1:BP1"/>
    <mergeCell ref="BR1:BT1"/>
    <mergeCell ref="BV1:BX1"/>
    <mergeCell ref="BZ1:CB1"/>
    <mergeCell ref="CD1:CF1"/>
    <mergeCell ref="CH1:CJ1"/>
    <mergeCell ref="CL1:CN1"/>
    <mergeCell ref="CP1:CR1"/>
    <mergeCell ref="CT1:CV1"/>
    <mergeCell ref="CX1:CZ1"/>
    <mergeCell ref="DB1:DD1"/>
    <mergeCell ref="B71:D71"/>
    <mergeCell ref="F71:H71"/>
    <mergeCell ref="J71:L71"/>
    <mergeCell ref="N71:P71"/>
    <mergeCell ref="R71:T71"/>
    <mergeCell ref="V71:X71"/>
    <mergeCell ref="Z71:AB71"/>
    <mergeCell ref="AD71:AF71"/>
    <mergeCell ref="AH71:AJ71"/>
    <mergeCell ref="AL71:AN71"/>
    <mergeCell ref="AP71:AR71"/>
    <mergeCell ref="AT71:AV71"/>
    <mergeCell ref="AX71:AZ71"/>
    <mergeCell ref="BB71:BD71"/>
    <mergeCell ref="BF71:BH71"/>
    <mergeCell ref="BJ71:BL71"/>
    <mergeCell ref="BN71:BP71"/>
    <mergeCell ref="BR71:BT71"/>
    <mergeCell ref="BV71:BX71"/>
    <mergeCell ref="BZ71:CB71"/>
    <mergeCell ref="CD71:CF71"/>
    <mergeCell ref="CH71:CJ71"/>
    <mergeCell ref="CL71:CN71"/>
    <mergeCell ref="CP71:CR71"/>
    <mergeCell ref="CT71:CV71"/>
    <mergeCell ref="CX71:CZ71"/>
    <mergeCell ref="DB71:DD71"/>
  </mergeCells>
  <hyperlinks>
    <hyperlink ref="B71" r:id="rId1" display="https://www.branah.com/english"/>
    <hyperlink ref="R71" r:id="rId2" display="https://www.branah.com/portuguese"/>
    <hyperlink ref="V71" r:id="rId3" display="https://www.branah.com/italian"/>
    <hyperlink ref="AP71" r:id="rId4" display="https://www.branah.com/greek"/>
    <hyperlink ref="AT71" r:id="rId5" display="https://www.branah.com/ukrainian"/>
    <hyperlink ref="AX71" r:id="rId6" display="https://www.branah.com/russian"/>
    <hyperlink ref="BB71" r:id="rId7" display="https://www.branah.com/belarusian"/>
    <hyperlink ref="BF71" r:id="rId8" display="https://www.branah.com/kazakh"/>
    <hyperlink ref="BJ71" r:id="rId9" display="https://www.branah.com/bulgarian"/>
    <hyperlink ref="BR71" r:id="rId10" display="https://www.branah.com/romania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8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O82" activeCellId="0" sqref="O82"/>
    </sheetView>
  </sheetViews>
  <sheetFormatPr defaultColWidth="12.00390625" defaultRowHeight="12.8" customHeight="false" zeroHeight="false" outlineLevelRow="0" outlineLevelCol="0"/>
  <cols>
    <col collapsed="false" customWidth="true" hidden="false" outlineLevel="0" max="1" min="1" style="176" width="11.52"/>
  </cols>
  <sheetData>
    <row r="1" customFormat="false" ht="12.8" hidden="false" customHeight="false" outlineLevel="0" collapsed="false">
      <c r="A1" s="176" t="s">
        <v>1131</v>
      </c>
      <c r="B1" s="177" t="s">
        <v>1408</v>
      </c>
      <c r="C1" s="177" t="s">
        <v>1409</v>
      </c>
      <c r="D1" s="177" t="s">
        <v>1410</v>
      </c>
      <c r="E1" s="177" t="s">
        <v>1411</v>
      </c>
      <c r="F1" s="177" t="s">
        <v>1412</v>
      </c>
      <c r="G1" s="177" t="s">
        <v>1413</v>
      </c>
      <c r="H1" s="177" t="s">
        <v>1414</v>
      </c>
      <c r="I1" s="177" t="s">
        <v>1415</v>
      </c>
      <c r="J1" s="177" t="s">
        <v>1416</v>
      </c>
      <c r="K1" s="177" t="s">
        <v>1417</v>
      </c>
      <c r="L1" s="177" t="inlineStr">
        <is>
          <t xml:space="preserve">Ȁ</t>
        </is>
      </c>
      <c r="M1" s="177" t="inlineStr">
        <is>
          <t xml:space="preserve">Ȃ</t>
        </is>
      </c>
      <c r="N1" s="177" t="inlineStr">
        <is>
          <t xml:space="preserve">Ǎ</t>
        </is>
      </c>
      <c r="O1" s="177" t="inlineStr">
        <is>
          <t xml:space="preserve">Ǟ</t>
        </is>
      </c>
      <c r="P1" s="177" t="inlineStr">
        <is>
          <t xml:space="preserve">Ǡ</t>
        </is>
      </c>
      <c r="Q1" s="177" t="inlineStr">
        <is>
          <t xml:space="preserve">Ǻ</t>
        </is>
      </c>
      <c r="R1" s="177" t="inlineStr">
        <is>
          <t xml:space="preserve">Ȧ</t>
        </is>
      </c>
      <c r="S1" s="177" t="inlineStr">
        <is>
          <t xml:space="preserve">Ḁ</t>
        </is>
      </c>
      <c r="T1" s="177" t="inlineStr">
        <is>
          <t xml:space="preserve">Ạ</t>
        </is>
      </c>
      <c r="U1" s="177" t="inlineStr">
        <is>
          <t xml:space="preserve">Ả</t>
        </is>
      </c>
      <c r="V1" s="177" t="inlineStr">
        <is>
          <t xml:space="preserve">Ấ</t>
        </is>
      </c>
      <c r="W1" s="177" t="inlineStr">
        <is>
          <t xml:space="preserve">Ầ</t>
        </is>
      </c>
      <c r="X1" s="177" t="inlineStr">
        <is>
          <t xml:space="preserve">Ẩ</t>
        </is>
      </c>
      <c r="Y1" s="177" t="inlineStr">
        <is>
          <t xml:space="preserve">Ẫ</t>
        </is>
      </c>
      <c r="Z1" s="177" t="inlineStr">
        <is>
          <t xml:space="preserve">Ậ</t>
        </is>
      </c>
      <c r="AA1" s="177" t="inlineStr">
        <is>
          <t xml:space="preserve">Ắ</t>
        </is>
      </c>
      <c r="AB1" s="177" t="inlineStr">
        <is>
          <t xml:space="preserve">Ằ</t>
        </is>
      </c>
      <c r="AC1" s="177" t="inlineStr">
        <is>
          <t xml:space="preserve">Ẳ</t>
        </is>
      </c>
      <c r="AD1" s="177" t="inlineStr">
        <is>
          <t xml:space="preserve">Ẵ</t>
        </is>
      </c>
      <c r="AE1" s="177" t="inlineStr">
        <is>
          <t xml:space="preserve">Ặ</t>
        </is>
      </c>
      <c r="BN1" s="1" t="s">
        <v>1418</v>
      </c>
      <c r="BO1" s="1" t="s">
        <v>1419</v>
      </c>
    </row>
    <row r="2" customFormat="false" ht="12.8" hidden="false" customHeight="false" outlineLevel="0" collapsed="false">
      <c r="B2" s="177" t="str">
        <f aca="false">DEC2HEX(_xlfn.UNICODE(B1))</f>
        <v>C0</v>
      </c>
      <c r="C2" s="177" t="str">
        <f aca="false">DEC2HEX(_xlfn.UNICODE(C1))</f>
        <v>C1</v>
      </c>
      <c r="D2" s="177" t="str">
        <f aca="false">DEC2HEX(_xlfn.UNICODE(D1))</f>
        <v>C2</v>
      </c>
      <c r="E2" s="177" t="str">
        <f aca="false">DEC2HEX(_xlfn.UNICODE(E1))</f>
        <v>C3</v>
      </c>
      <c r="F2" s="177" t="str">
        <f aca="false">DEC2HEX(_xlfn.UNICODE(F1))</f>
        <v>C4</v>
      </c>
      <c r="G2" s="177" t="str">
        <f aca="false">DEC2HEX(_xlfn.UNICODE(G1))</f>
        <v>C5</v>
      </c>
      <c r="H2" s="177" t="str">
        <f aca="false">DEC2HEX(_xlfn.UNICODE(H1))</f>
        <v>C6</v>
      </c>
      <c r="I2" s="177" t="str">
        <f aca="false">DEC2HEX(_xlfn.UNICODE(I1))</f>
        <v>100</v>
      </c>
      <c r="J2" s="177" t="str">
        <f aca="false">DEC2HEX(_xlfn.UNICODE(J1))</f>
        <v>102</v>
      </c>
      <c r="K2" s="177" t="str">
        <f aca="false">DEC2HEX(_xlfn.UNICODE(K1))</f>
        <v>104</v>
      </c>
      <c r="L2" s="177" t="str">
        <f aca="false">DEC2HEX(_xlfn.UNICODE(L1))</f>
        <v>200</v>
      </c>
      <c r="M2" s="177" t="str">
        <f aca="false">DEC2HEX(_xlfn.UNICODE(M1))</f>
        <v>202</v>
      </c>
      <c r="N2" s="177" t="str">
        <f aca="false">DEC2HEX(_xlfn.UNICODE(N1))</f>
        <v>1CD</v>
      </c>
      <c r="O2" s="177" t="str">
        <f aca="false">DEC2HEX(_xlfn.UNICODE(O1))</f>
        <v>1DE</v>
      </c>
      <c r="P2" s="177" t="str">
        <f aca="false">DEC2HEX(_xlfn.UNICODE(P1))</f>
        <v>1E0</v>
      </c>
      <c r="Q2" s="177" t="str">
        <f aca="false">DEC2HEX(_xlfn.UNICODE(Q1))</f>
        <v>1FA</v>
      </c>
      <c r="R2" s="177" t="str">
        <f aca="false">DEC2HEX(_xlfn.UNICODE(R1))</f>
        <v>226</v>
      </c>
      <c r="S2" s="177" t="str">
        <f aca="false">DEC2HEX(_xlfn.UNICODE(S1))</f>
        <v>1E00</v>
      </c>
      <c r="T2" s="177" t="str">
        <f aca="false">DEC2HEX(_xlfn.UNICODE(T1))</f>
        <v>1EA0</v>
      </c>
      <c r="U2" s="177" t="str">
        <f aca="false">DEC2HEX(_xlfn.UNICODE(U1))</f>
        <v>1EA2</v>
      </c>
      <c r="V2" s="177" t="str">
        <f aca="false">DEC2HEX(_xlfn.UNICODE(V1))</f>
        <v>1EA4</v>
      </c>
      <c r="W2" s="177" t="str">
        <f aca="false">DEC2HEX(_xlfn.UNICODE(W1))</f>
        <v>1EA6</v>
      </c>
      <c r="X2" s="177" t="str">
        <f aca="false">DEC2HEX(_xlfn.UNICODE(X1))</f>
        <v>1EA8</v>
      </c>
      <c r="Y2" s="177" t="str">
        <f aca="false">DEC2HEX(_xlfn.UNICODE(Y1))</f>
        <v>1EAA</v>
      </c>
      <c r="Z2" s="177" t="str">
        <f aca="false">DEC2HEX(_xlfn.UNICODE(Z1))</f>
        <v>1EAC</v>
      </c>
      <c r="AA2" s="177" t="str">
        <f aca="false">DEC2HEX(_xlfn.UNICODE(AA1))</f>
        <v>1EAE</v>
      </c>
      <c r="AB2" s="177" t="str">
        <f aca="false">DEC2HEX(_xlfn.UNICODE(AB1))</f>
        <v>1EB0</v>
      </c>
      <c r="AC2" s="177" t="str">
        <f aca="false">DEC2HEX(_xlfn.UNICODE(AC1))</f>
        <v>1EB2</v>
      </c>
      <c r="AD2" s="177" t="str">
        <f aca="false">DEC2HEX(_xlfn.UNICODE(AD1))</f>
        <v>1EB4</v>
      </c>
      <c r="AE2" s="177" t="str">
        <f aca="false">DEC2HEX(_xlfn.UNICODE(AE1))</f>
        <v>1EB6</v>
      </c>
      <c r="BN2" s="1" t="n">
        <f aca="false">MIN(HEX2DEC(B2),HEX2DEC(C2),HEX2DEC(D2),HEX2DEC(E2),HEX2DEC(F2),HEX2DEC(G2),HEX2DEC(H2),HEX2DEC(I2),HEX2DEC(J2),HEX2DEC(K2),HEX2DEC(L2),HEX2DEC(M2),HEX2DEC(N2),HEX2DEC(O2),HEX2DEC(P2),HEX2DEC(Q2),HEX2DEC(R2),HEX2DEC(S2),HEX2DEC(T2),HEX2DEC(U2),HEX2DEC(V2),HEX2DEC(W2),HEX2DEC(X2),HEX2DEC(Y2),HEX2DEC(Z2),HEX2DEC(AA2),HEX2DEC(AB2),HEX2DEC(AC2),HEX2DEC(AD2),HEX2DEC(AE2))</f>
        <v>192</v>
      </c>
      <c r="BO2" s="1" t="n">
        <f aca="false">MAX(HEX2DEC(B2),HEX2DEC(C2),HEX2DEC(D2),HEX2DEC(E2),HEX2DEC(F2),HEX2DEC(G2),HEX2DEC(H2),HEX2DEC(I2),HEX2DEC(J2),HEX2DEC(K2))</f>
        <v>7862</v>
      </c>
    </row>
    <row r="3" customFormat="false" ht="12.8" hidden="false" customHeight="false" outlineLevel="0" collapsed="false">
      <c r="A3" s="176" t="s">
        <v>1130</v>
      </c>
      <c r="B3" s="177" t="s">
        <v>1420</v>
      </c>
      <c r="C3" s="177" t="s">
        <v>1421</v>
      </c>
      <c r="D3" s="177" t="s">
        <v>1422</v>
      </c>
      <c r="E3" s="177" t="s">
        <v>1423</v>
      </c>
      <c r="F3" s="177" t="s">
        <v>1424</v>
      </c>
      <c r="G3" s="177" t="s">
        <v>1425</v>
      </c>
      <c r="H3" s="177" t="s">
        <v>1426</v>
      </c>
      <c r="I3" s="177" t="s">
        <v>1427</v>
      </c>
      <c r="J3" s="177" t="s">
        <v>1428</v>
      </c>
      <c r="K3" s="177" t="s">
        <v>1429</v>
      </c>
      <c r="L3" s="177" t="inlineStr">
        <is>
          <t xml:space="preserve">ȁ</t>
        </is>
      </c>
      <c r="M3" s="177" t="inlineStr">
        <is>
          <t xml:space="preserve">ȃ</t>
        </is>
      </c>
      <c r="N3" s="177" t="inlineStr">
        <is>
          <t xml:space="preserve">ǎ</t>
        </is>
      </c>
      <c r="O3" s="177" t="inlineStr">
        <is>
          <t xml:space="preserve">ǟ</t>
        </is>
      </c>
      <c r="P3" s="177" t="inlineStr">
        <is>
          <t xml:space="preserve">ǡ</t>
        </is>
      </c>
      <c r="Q3" s="177" t="inlineStr">
        <is>
          <t xml:space="preserve">ǻ</t>
        </is>
      </c>
      <c r="R3" s="177" t="inlineStr">
        <is>
          <t xml:space="preserve">ȧ</t>
        </is>
      </c>
      <c r="S3" s="177" t="inlineStr">
        <is>
          <t xml:space="preserve">ḁ</t>
        </is>
      </c>
      <c r="T3" s="177" t="inlineStr">
        <is>
          <t xml:space="preserve">ạ</t>
        </is>
      </c>
      <c r="U3" s="177" t="inlineStr">
        <is>
          <t xml:space="preserve">ả</t>
        </is>
      </c>
      <c r="V3" s="177" t="inlineStr">
        <is>
          <t xml:space="preserve">ấ</t>
        </is>
      </c>
      <c r="W3" s="177" t="inlineStr">
        <is>
          <t xml:space="preserve">ầ</t>
        </is>
      </c>
      <c r="X3" s="177" t="inlineStr">
        <is>
          <t xml:space="preserve">ẩ</t>
        </is>
      </c>
      <c r="Y3" s="177" t="inlineStr">
        <is>
          <t xml:space="preserve">ẫ</t>
        </is>
      </c>
      <c r="Z3" s="177" t="inlineStr">
        <is>
          <t xml:space="preserve">ậ</t>
        </is>
      </c>
      <c r="AA3" s="177" t="inlineStr">
        <is>
          <t xml:space="preserve">ắ</t>
        </is>
      </c>
      <c r="AB3" s="177" t="inlineStr">
        <is>
          <t xml:space="preserve">ằ</t>
        </is>
      </c>
      <c r="AC3" s="177" t="inlineStr">
        <is>
          <t xml:space="preserve">ẳ</t>
        </is>
      </c>
      <c r="AD3" s="177" t="inlineStr">
        <is>
          <t xml:space="preserve">ẵ</t>
        </is>
      </c>
      <c r="AE3" s="177" t="inlineStr">
        <is>
          <t xml:space="preserve">ặ</t>
        </is>
      </c>
    </row>
    <row r="4" customFormat="false" ht="12.8" hidden="false" customHeight="false" outlineLevel="0" collapsed="false">
      <c r="B4" s="177" t="str">
        <f aca="false">DEC2HEX(_xlfn.UNICODE(B3))</f>
        <v>E0</v>
      </c>
      <c r="C4" s="177" t="str">
        <f aca="false">DEC2HEX(_xlfn.UNICODE(C3))</f>
        <v>E1</v>
      </c>
      <c r="D4" s="177" t="str">
        <f aca="false">DEC2HEX(_xlfn.UNICODE(D3))</f>
        <v>E2</v>
      </c>
      <c r="E4" s="177" t="str">
        <f aca="false">DEC2HEX(_xlfn.UNICODE(E3))</f>
        <v>E3</v>
      </c>
      <c r="F4" s="177" t="str">
        <f aca="false">DEC2HEX(_xlfn.UNICODE(F3))</f>
        <v>E4</v>
      </c>
      <c r="G4" s="177" t="str">
        <f aca="false">DEC2HEX(_xlfn.UNICODE(G3))</f>
        <v>E5</v>
      </c>
      <c r="H4" s="177" t="str">
        <f aca="false">DEC2HEX(_xlfn.UNICODE(H3))</f>
        <v>E6</v>
      </c>
      <c r="I4" s="177" t="str">
        <f aca="false">DEC2HEX(_xlfn.UNICODE(I3))</f>
        <v>101</v>
      </c>
      <c r="J4" s="177" t="str">
        <f aca="false">DEC2HEX(_xlfn.UNICODE(J3))</f>
        <v>103</v>
      </c>
      <c r="K4" s="177" t="str">
        <f aca="false">DEC2HEX(_xlfn.UNICODE(K3))</f>
        <v>105</v>
      </c>
      <c r="L4" s="177" t="str">
        <f aca="false">DEC2HEX(_xlfn.UNICODE(L3))</f>
        <v>201</v>
      </c>
      <c r="M4" s="177" t="str">
        <f aca="false">DEC2HEX(_xlfn.UNICODE(M3))</f>
        <v>203</v>
      </c>
      <c r="N4" s="177" t="str">
        <f aca="false">DEC2HEX(_xlfn.UNICODE(N3))</f>
        <v>1CE</v>
      </c>
      <c r="O4" s="177" t="str">
        <f aca="false">DEC2HEX(_xlfn.UNICODE(O3))</f>
        <v>1DF</v>
      </c>
      <c r="P4" s="177" t="str">
        <f aca="false">DEC2HEX(_xlfn.UNICODE(P3))</f>
        <v>1E1</v>
      </c>
      <c r="Q4" s="177" t="str">
        <f aca="false">DEC2HEX(_xlfn.UNICODE(Q3))</f>
        <v>1FB</v>
      </c>
      <c r="R4" s="177" t="str">
        <f aca="false">DEC2HEX(_xlfn.UNICODE(R3))</f>
        <v>227</v>
      </c>
      <c r="S4" s="177" t="str">
        <f aca="false">DEC2HEX(_xlfn.UNICODE(S3))</f>
        <v>1E01</v>
      </c>
      <c r="T4" s="177" t="str">
        <f aca="false">DEC2HEX(_xlfn.UNICODE(T3))</f>
        <v>1EA1</v>
      </c>
      <c r="U4" s="177" t="str">
        <f aca="false">DEC2HEX(_xlfn.UNICODE(U3))</f>
        <v>1EA3</v>
      </c>
      <c r="V4" s="177" t="str">
        <f aca="false">DEC2HEX(_xlfn.UNICODE(V3))</f>
        <v>1EA5</v>
      </c>
      <c r="W4" s="177" t="str">
        <f aca="false">DEC2HEX(_xlfn.UNICODE(W3))</f>
        <v>1EA7</v>
      </c>
      <c r="X4" s="177" t="str">
        <f aca="false">DEC2HEX(_xlfn.UNICODE(X3))</f>
        <v>1EA9</v>
      </c>
      <c r="Y4" s="177" t="str">
        <f aca="false">DEC2HEX(_xlfn.UNICODE(Y3))</f>
        <v>1EAB</v>
      </c>
      <c r="Z4" s="177" t="str">
        <f aca="false">DEC2HEX(_xlfn.UNICODE(Z3))</f>
        <v>1EAD</v>
      </c>
      <c r="AA4" s="177" t="str">
        <f aca="false">DEC2HEX(_xlfn.UNICODE(AA3))</f>
        <v>1EAF</v>
      </c>
      <c r="AB4" s="177" t="str">
        <f aca="false">DEC2HEX(_xlfn.UNICODE(AB3))</f>
        <v>1EB1</v>
      </c>
      <c r="AC4" s="177" t="str">
        <f aca="false">DEC2HEX(_xlfn.UNICODE(AC3))</f>
        <v>1EB3</v>
      </c>
      <c r="AD4" s="177" t="str">
        <f aca="false">DEC2HEX(_xlfn.UNICODE(AD3))</f>
        <v>1EB5</v>
      </c>
      <c r="AE4" s="177" t="str">
        <f aca="false">DEC2HEX(_xlfn.UNICODE(AE3))</f>
        <v>1EB7</v>
      </c>
      <c r="BN4" s="1" t="n">
        <f aca="false">MIN(HEX2DEC(B4),HEX2DEC(C4),HEX2DEC(D4),HEX2DEC(E4),HEX2DEC(F4),HEX2DEC(G4),HEX2DEC(H4),HEX2DEC(I4),HEX2DEC(J4),HEX2DEC(K4),HEX2DEC(L4),HEX2DEC(M4),HEX2DEC(N4),HEX2DEC(O4),HEX2DEC(P4),HEX2DEC(Q4),HEX2DEC(R4),HEX2DEC(S4),HEX2DEC(T4),HEX2DEC(U4),HEX2DEC(V4),HEX2DEC(W4),HEX2DEC(X4),HEX2DEC(Y4),HEX2DEC(Z4),HEX2DEC(AA4),HEX2DEC(AB4),HEX2DEC(AC4),HEX2DEC(AD4),HEX2DEC(AE4))</f>
        <v>224</v>
      </c>
      <c r="BO4" s="1" t="n">
        <f aca="false">MAX(HEX2DEC(B4),HEX2DEC(C4),HEX2DEC(D4),HEX2DEC(E4),HEX2DEC(F4),HEX2DEC(G4),HEX2DEC(H4),HEX2DEC(I4),HEX2DEC(J4),HEX2DEC(K4))</f>
        <v>7863</v>
      </c>
    </row>
    <row r="5" customFormat="false" ht="12.8" hidden="false" customHeight="false" outlineLevel="0" collapsed="false">
      <c r="A5" s="176" t="s">
        <v>1140</v>
      </c>
      <c r="B5" s="177" t="s">
        <v>1430</v>
      </c>
      <c r="C5" s="177" t="s">
        <v>1431</v>
      </c>
      <c r="D5" s="177" t="s">
        <v>1432</v>
      </c>
      <c r="E5" s="177" t="s">
        <v>1433</v>
      </c>
      <c r="F5" s="177" t="s">
        <v>1434</v>
      </c>
      <c r="G5" s="177" t="inlineStr">
        <is>
          <t xml:space="preserve">Ƈ</t>
        </is>
      </c>
      <c r="H5" s="177" t="inlineStr">
        <is>
          <t xml:space="preserve">Ḉ</t>
        </is>
      </c>
      <c r="J5" s="177"/>
    </row>
    <row r="6" customFormat="false" ht="12.8" hidden="false" customHeight="false" outlineLevel="0" collapsed="false">
      <c r="B6" s="177" t="str">
        <f aca="false">DEC2HEX(_xlfn.UNICODE(B5))</f>
        <v>C7</v>
      </c>
      <c r="C6" s="177" t="str">
        <f aca="false">DEC2HEX(_xlfn.UNICODE(C5))</f>
        <v>106</v>
      </c>
      <c r="D6" s="177" t="str">
        <f aca="false">DEC2HEX(_xlfn.UNICODE(D5))</f>
        <v>108</v>
      </c>
      <c r="E6" s="177" t="str">
        <f aca="false">DEC2HEX(_xlfn.UNICODE(E5))</f>
        <v>10A</v>
      </c>
      <c r="F6" s="177" t="str">
        <f aca="false">DEC2HEX(_xlfn.UNICODE(F5))</f>
        <v>10C</v>
      </c>
      <c r="G6" s="177" t="str">
        <f aca="false">DEC2HEX(_xlfn.UNICODE(G5))</f>
        <v>187</v>
      </c>
      <c r="H6" s="177" t="str">
        <f aca="false">DEC2HEX(_xlfn.UNICODE(H5))</f>
        <v>1E08</v>
      </c>
      <c r="J6" s="177"/>
      <c r="BN6" s="1" t="n">
        <f aca="false">MIN(HEX2DEC(B6),HEX2DEC(C6),HEX2DEC(D6),HEX2DEC(E6),HEX2DEC(F6),HEX2DEC(G6),HEX2DEC(H6))</f>
        <v>199</v>
      </c>
      <c r="BO6" s="1" t="n">
        <f aca="false">MAX(HEX2DEC(B6),HEX2DEC(C6),HEX2DEC(D6),HEX2DEC(E6),HEX2DEC(F6),HEX2DEC(G6),HEX2DEC(H6),HEX2DEC(I6),HEX2DEC(J6),HEX2DEC(K6))</f>
        <v>7688</v>
      </c>
    </row>
    <row r="7" customFormat="false" ht="12.8" hidden="false" customHeight="false" outlineLevel="0" collapsed="false">
      <c r="A7" s="176" t="s">
        <v>1139</v>
      </c>
      <c r="B7" s="177" t="s">
        <v>1435</v>
      </c>
      <c r="C7" s="177" t="s">
        <v>1436</v>
      </c>
      <c r="D7" s="177" t="s">
        <v>1437</v>
      </c>
      <c r="E7" s="177" t="s">
        <v>1438</v>
      </c>
      <c r="F7" s="177" t="s">
        <v>1439</v>
      </c>
      <c r="G7" s="177" t="inlineStr">
        <is>
          <t xml:space="preserve">ƈ</t>
        </is>
      </c>
      <c r="H7" s="177" t="inlineStr">
        <is>
          <t xml:space="preserve">ḉ</t>
        </is>
      </c>
    </row>
    <row r="8" customFormat="false" ht="12.8" hidden="false" customHeight="false" outlineLevel="0" collapsed="false">
      <c r="B8" s="177" t="str">
        <f aca="false">DEC2HEX(_xlfn.UNICODE(B7))</f>
        <v>E7</v>
      </c>
      <c r="C8" s="177" t="str">
        <f aca="false">DEC2HEX(_xlfn.UNICODE(C7))</f>
        <v>107</v>
      </c>
      <c r="D8" s="177" t="str">
        <f aca="false">DEC2HEX(_xlfn.UNICODE(D7))</f>
        <v>109</v>
      </c>
      <c r="E8" s="177" t="str">
        <f aca="false">DEC2HEX(_xlfn.UNICODE(E7))</f>
        <v>10B</v>
      </c>
      <c r="F8" s="177" t="str">
        <f aca="false">DEC2HEX(_xlfn.UNICODE(F7))</f>
        <v>10D</v>
      </c>
      <c r="G8" s="177" t="str">
        <f aca="false">DEC2HEX(_xlfn.UNICODE(G7))</f>
        <v>188</v>
      </c>
      <c r="H8" s="177" t="str">
        <f aca="false">DEC2HEX(_xlfn.UNICODE(H7))</f>
        <v>1E09</v>
      </c>
      <c r="BN8" s="1" t="n">
        <f aca="false">MIN(HEX2DEC(B8),HEX2DEC(C8),HEX2DEC(D8),HEX2DEC(E8),HEX2DEC(F8),HEX2DEC(G8),HEX2DEC(H8))</f>
        <v>231</v>
      </c>
      <c r="BO8" s="1" t="n">
        <f aca="false">MAX(HEX2DEC(B8),HEX2DEC(C8),HEX2DEC(D8),HEX2DEC(E8),HEX2DEC(F8),HEX2DEC(G8),HEX2DEC(H8),HEX2DEC(I8),HEX2DEC(J8),HEX2DEC(K8))</f>
        <v>7689</v>
      </c>
    </row>
    <row r="9" customFormat="false" ht="12.8" hidden="false" customHeight="false" outlineLevel="0" collapsed="false">
      <c r="A9" s="176" t="s">
        <v>1144</v>
      </c>
      <c r="B9" s="177" t="s">
        <v>1440</v>
      </c>
      <c r="C9" s="177" t="s">
        <v>1441</v>
      </c>
      <c r="D9" s="177" t="s">
        <v>1442</v>
      </c>
      <c r="E9" s="177" t="inlineStr">
        <is>
          <t xml:space="preserve">Ḋ</t>
        </is>
      </c>
      <c r="F9" s="177" t="inlineStr">
        <is>
          <t xml:space="preserve">Ɗ</t>
        </is>
      </c>
      <c r="G9" s="177" t="inlineStr">
        <is>
          <t xml:space="preserve">Ƌ</t>
        </is>
      </c>
      <c r="H9" s="177" t="inlineStr">
        <is>
          <t xml:space="preserve">Ḍ</t>
        </is>
      </c>
      <c r="I9" s="177" t="inlineStr">
        <is>
          <t xml:space="preserve">Ḏ</t>
        </is>
      </c>
      <c r="J9" s="177" t="inlineStr">
        <is>
          <t xml:space="preserve">Ḑ</t>
        </is>
      </c>
      <c r="K9" s="177" t="inlineStr">
        <is>
          <t xml:space="preserve">Ḓ</t>
        </is>
      </c>
    </row>
    <row r="10" customFormat="false" ht="12.8" hidden="false" customHeight="false" outlineLevel="0" collapsed="false">
      <c r="B10" s="177" t="str">
        <f aca="false">DEC2HEX(_xlfn.UNICODE(B9))</f>
        <v>D0</v>
      </c>
      <c r="C10" s="177" t="str">
        <f aca="false">DEC2HEX(_xlfn.UNICODE(C9))</f>
        <v>10E</v>
      </c>
      <c r="D10" s="177" t="str">
        <f aca="false">DEC2HEX(_xlfn.UNICODE(D9))</f>
        <v>110</v>
      </c>
      <c r="E10" s="177" t="str">
        <f aca="false">DEC2HEX(_xlfn.UNICODE(E9))</f>
        <v>1E0A</v>
      </c>
      <c r="F10" s="177" t="str">
        <f aca="false">DEC2HEX(_xlfn.UNICODE(F9))</f>
        <v>18A</v>
      </c>
      <c r="G10" s="177" t="str">
        <f aca="false">DEC2HEX(_xlfn.UNICODE(G9))</f>
        <v>18B</v>
      </c>
      <c r="H10" s="177" t="str">
        <f aca="false">DEC2HEX(_xlfn.UNICODE(H9))</f>
        <v>1E0C</v>
      </c>
      <c r="I10" s="177" t="str">
        <f aca="false">DEC2HEX(_xlfn.UNICODE(I9))</f>
        <v>1E0E</v>
      </c>
      <c r="J10" s="177" t="str">
        <f aca="false">DEC2HEX(_xlfn.UNICODE(J9))</f>
        <v>1E10</v>
      </c>
      <c r="K10" s="177" t="str">
        <f aca="false">DEC2HEX(_xlfn.UNICODE(K9))</f>
        <v>1E12</v>
      </c>
      <c r="BN10" s="1" t="n">
        <f aca="false">MIN(HEX2DEC(B10),HEX2DEC(C10),HEX2DEC(D10),HEX2DEC(E10),HEX2DEC(F10),HEX2DEC(G10),HEX2DEC(H10),HEX2DEC(I10),HEX2DEC(J10),HEX2DEC(K10))</f>
        <v>208</v>
      </c>
      <c r="BO10" s="1" t="n">
        <f aca="false">MAX(HEX2DEC(B10),HEX2DEC(C10),HEX2DEC(D10),HEX2DEC(E10),HEX2DEC(F10),HEX2DEC(G10),HEX2DEC(H10),HEX2DEC(I10),HEX2DEC(J10),HEX2DEC(K10))</f>
        <v>7698</v>
      </c>
    </row>
    <row r="11" customFormat="false" ht="12.8" hidden="false" customHeight="false" outlineLevel="0" collapsed="false">
      <c r="A11" s="176" t="s">
        <v>1143</v>
      </c>
      <c r="B11" s="177" t="s">
        <v>1443</v>
      </c>
      <c r="C11" s="177" t="s">
        <v>1444</v>
      </c>
      <c r="D11" s="177" t="s">
        <v>1445</v>
      </c>
      <c r="E11" s="177" t="inlineStr">
        <is>
          <t xml:space="preserve">ḋ</t>
        </is>
      </c>
      <c r="F11" s="177" t="inlineStr">
        <is>
          <t xml:space="preserve">ɗ</t>
        </is>
      </c>
      <c r="G11" s="177" t="inlineStr">
        <is>
          <t xml:space="preserve">ƌ</t>
        </is>
      </c>
      <c r="H11" s="177" t="inlineStr">
        <is>
          <t xml:space="preserve">ḍ</t>
        </is>
      </c>
      <c r="I11" s="177" t="inlineStr">
        <is>
          <t xml:space="preserve">ḏ</t>
        </is>
      </c>
      <c r="J11" s="177" t="inlineStr">
        <is>
          <t xml:space="preserve">ḑ</t>
        </is>
      </c>
      <c r="K11" s="177" t="inlineStr">
        <is>
          <t xml:space="preserve">ḓ</t>
        </is>
      </c>
      <c r="BN11" s="12"/>
      <c r="BO11" s="12"/>
    </row>
    <row r="12" customFormat="false" ht="12.8" hidden="false" customHeight="false" outlineLevel="0" collapsed="false">
      <c r="B12" s="177" t="str">
        <f aca="false">DEC2HEX(_xlfn.UNICODE(B11))</f>
        <v>F0</v>
      </c>
      <c r="C12" s="177" t="str">
        <f aca="false">DEC2HEX(_xlfn.UNICODE(C11))</f>
        <v>10F</v>
      </c>
      <c r="D12" s="177" t="str">
        <f aca="false">DEC2HEX(_xlfn.UNICODE(D11))</f>
        <v>111</v>
      </c>
      <c r="E12" s="177" t="str">
        <f aca="false">DEC2HEX(_xlfn.UNICODE(E11))</f>
        <v>1E0B</v>
      </c>
      <c r="F12" s="177" t="str">
        <f aca="false">DEC2HEX(_xlfn.UNICODE(F11))</f>
        <v>257</v>
      </c>
      <c r="G12" s="177" t="str">
        <f aca="false">DEC2HEX(_xlfn.UNICODE(G11))</f>
        <v>18C</v>
      </c>
      <c r="H12" s="177" t="str">
        <f aca="false">DEC2HEX(_xlfn.UNICODE(H11))</f>
        <v>1E0D</v>
      </c>
      <c r="I12" s="177" t="str">
        <f aca="false">DEC2HEX(_xlfn.UNICODE(I11))</f>
        <v>1E0F</v>
      </c>
      <c r="J12" s="177" t="str">
        <f aca="false">DEC2HEX(_xlfn.UNICODE(J11))</f>
        <v>1E11</v>
      </c>
      <c r="K12" s="177" t="str">
        <f aca="false">DEC2HEX(_xlfn.UNICODE(K11))</f>
        <v>1E13</v>
      </c>
      <c r="BN12" s="1" t="n">
        <f aca="false">MIN(HEX2DEC(B12),HEX2DEC(C12),HEX2DEC(D12),HEX2DEC(E12),HEX2DEC(F12),HEX2DEC(G12),HEX2DEC(H12),HEX2DEC(I12),HEX2DEC(J12),HEX2DEC(K12))</f>
        <v>240</v>
      </c>
      <c r="BN12" s="12"/>
      <c r="BO12" s="1" t="n">
        <f aca="false">MAX(HEX2DEC(B12),HEX2DEC(C12),HEX2DEC(D12),HEX2DEC(E12),HEX2DEC(F12),HEX2DEC(G12),HEX2DEC(H12),HEX2DEC(I12),HEX2DEC(J12),HEX2DEC(K12))</f>
        <v>7699</v>
      </c>
      <c r="BO12" s="12"/>
    </row>
    <row r="13" customFormat="false" ht="12.8" hidden="false" customHeight="false" outlineLevel="0" collapsed="false">
      <c r="A13" s="176" t="s">
        <v>1149</v>
      </c>
      <c r="B13" s="177" t="s">
        <v>1446</v>
      </c>
      <c r="C13" s="177" t="s">
        <v>1447</v>
      </c>
      <c r="D13" s="177" t="s">
        <v>1448</v>
      </c>
      <c r="E13" s="177" t="s">
        <v>1449</v>
      </c>
      <c r="F13" s="177" t="s">
        <v>1450</v>
      </c>
      <c r="G13" s="177" t="s">
        <v>1451</v>
      </c>
      <c r="H13" s="177" t="s">
        <v>1452</v>
      </c>
      <c r="I13" s="177" t="s">
        <v>1453</v>
      </c>
      <c r="J13" s="177" t="s">
        <v>1454</v>
      </c>
      <c r="K13" s="177" t="inlineStr">
        <is>
          <t xml:space="preserve">Ȅ</t>
        </is>
      </c>
      <c r="L13" s="177" t="inlineStr">
        <is>
          <t xml:space="preserve">Ȇ</t>
        </is>
      </c>
      <c r="M13" s="177" t="inlineStr">
        <is>
          <t xml:space="preserve">Ẹ</t>
        </is>
      </c>
      <c r="N13" s="177" t="inlineStr">
        <is>
          <t xml:space="preserve">Ẽ</t>
        </is>
      </c>
      <c r="O13" s="177" t="inlineStr">
        <is>
          <t xml:space="preserve">Ȩ</t>
        </is>
      </c>
      <c r="P13" s="177" t="inlineStr">
        <is>
          <t xml:space="preserve">Ḕ</t>
        </is>
      </c>
      <c r="Q13" s="177" t="inlineStr">
        <is>
          <t xml:space="preserve">Ḗ</t>
        </is>
      </c>
      <c r="R13" s="177" t="inlineStr">
        <is>
          <t xml:space="preserve">Ḙ</t>
        </is>
      </c>
      <c r="S13" s="177" t="inlineStr">
        <is>
          <t xml:space="preserve">Ḛ</t>
        </is>
      </c>
      <c r="T13" s="177" t="inlineStr">
        <is>
          <t xml:space="preserve">Ḝ</t>
        </is>
      </c>
      <c r="U13" s="177" t="inlineStr">
        <is>
          <t xml:space="preserve">Ẻ</t>
        </is>
      </c>
      <c r="V13" s="177" t="inlineStr">
        <is>
          <t xml:space="preserve">Ế</t>
        </is>
      </c>
      <c r="W13" s="177" t="inlineStr">
        <is>
          <t xml:space="preserve">Ề</t>
        </is>
      </c>
      <c r="X13" s="177" t="inlineStr">
        <is>
          <t xml:space="preserve">Ể</t>
        </is>
      </c>
      <c r="Y13" s="177" t="inlineStr">
        <is>
          <t xml:space="preserve">Ễ</t>
        </is>
      </c>
      <c r="Z13" s="177" t="inlineStr">
        <is>
          <t xml:space="preserve">Ệ</t>
        </is>
      </c>
    </row>
    <row r="14" customFormat="false" ht="12.8" hidden="false" customHeight="false" outlineLevel="0" collapsed="false">
      <c r="B14" s="177" t="str">
        <f aca="false">DEC2HEX(_xlfn.UNICODE(B13))</f>
        <v>C8</v>
      </c>
      <c r="C14" s="177" t="str">
        <f aca="false">DEC2HEX(_xlfn.UNICODE(C13))</f>
        <v>C9</v>
      </c>
      <c r="D14" s="177" t="str">
        <f aca="false">DEC2HEX(_xlfn.UNICODE(D13))</f>
        <v>CA</v>
      </c>
      <c r="E14" s="177" t="str">
        <f aca="false">DEC2HEX(_xlfn.UNICODE(E13))</f>
        <v>CB</v>
      </c>
      <c r="F14" s="177" t="str">
        <f aca="false">DEC2HEX(_xlfn.UNICODE(F13))</f>
        <v>112</v>
      </c>
      <c r="G14" s="177" t="str">
        <f aca="false">DEC2HEX(_xlfn.UNICODE(G13))</f>
        <v>114</v>
      </c>
      <c r="H14" s="177" t="str">
        <f aca="false">DEC2HEX(_xlfn.UNICODE(H13))</f>
        <v>116</v>
      </c>
      <c r="I14" s="177" t="str">
        <f aca="false">DEC2HEX(_xlfn.UNICODE(I13))</f>
        <v>118</v>
      </c>
      <c r="J14" s="177" t="str">
        <f aca="false">DEC2HEX(_xlfn.UNICODE(J13))</f>
        <v>11A</v>
      </c>
      <c r="K14" s="177" t="str">
        <f aca="false">DEC2HEX(_xlfn.UNICODE(K13))</f>
        <v>204</v>
      </c>
      <c r="L14" s="177" t="str">
        <f aca="false">DEC2HEX(_xlfn.UNICODE(L13))</f>
        <v>206</v>
      </c>
      <c r="M14" s="177" t="str">
        <f aca="false">DEC2HEX(_xlfn.UNICODE(M13))</f>
        <v>1EB8</v>
      </c>
      <c r="N14" s="177" t="str">
        <f aca="false">DEC2HEX(_xlfn.UNICODE(N13))</f>
        <v>1EBC</v>
      </c>
      <c r="O14" s="177" t="str">
        <f aca="false">DEC2HEX(_xlfn.UNICODE(O13))</f>
        <v>228</v>
      </c>
      <c r="P14" s="177" t="str">
        <f aca="false">DEC2HEX(_xlfn.UNICODE(P13))</f>
        <v>1E14</v>
      </c>
      <c r="Q14" s="177" t="str">
        <f aca="false">DEC2HEX(_xlfn.UNICODE(Q13))</f>
        <v>1E16</v>
      </c>
      <c r="R14" s="177" t="str">
        <f aca="false">DEC2HEX(_xlfn.UNICODE(R13))</f>
        <v>1E18</v>
      </c>
      <c r="S14" s="177" t="str">
        <f aca="false">DEC2HEX(_xlfn.UNICODE(S13))</f>
        <v>1E1A</v>
      </c>
      <c r="T14" s="177" t="str">
        <f aca="false">DEC2HEX(_xlfn.UNICODE(T13))</f>
        <v>1E1C</v>
      </c>
      <c r="U14" s="177" t="str">
        <f aca="false">DEC2HEX(_xlfn.UNICODE(U13))</f>
        <v>1EBA</v>
      </c>
      <c r="V14" s="177" t="str">
        <f aca="false">DEC2HEX(_xlfn.UNICODE(V13))</f>
        <v>1EBE</v>
      </c>
      <c r="W14" s="177" t="str">
        <f aca="false">DEC2HEX(_xlfn.UNICODE(W13))</f>
        <v>1EC0</v>
      </c>
      <c r="X14" s="177" t="str">
        <f aca="false">DEC2HEX(_xlfn.UNICODE(X13))</f>
        <v>1EC2</v>
      </c>
      <c r="Y14" s="177" t="str">
        <f aca="false">DEC2HEX(_xlfn.UNICODE(Y13))</f>
        <v>1EC4</v>
      </c>
      <c r="Z14" s="177" t="str">
        <f aca="false">DEC2HEX(_xlfn.UNICODE(Z13))</f>
        <v>1EC6</v>
      </c>
      <c r="BN14" s="1" t="n">
        <f aca="false">MIN(HEX2DEC(B14),HEX2DEC(C14),HEX2DEC(D14),HEX2DEC(E14),HEX2DEC(F14),HEX2DEC(G14),HEX2DEC(H14),HEX2DEC(I14),HEX2DEC(J14),HEX2DEC(K14),HEX2DEC(L14),HEX2DEC(M14),HEX2DEC(N14),HEX2DEC(O14),HEX2DEC(P14),HEX2DEC(Q14),HEX2DEC(R14),HEX2DEC(S14),HEX2DEC(T14),HEX2DEC(U14),HEX2DEC(V14),HEX2DEC(W14),HEX2DEC(X14),HEX2DEC(Y14),HEX2DEC(Z14))</f>
        <v>200</v>
      </c>
      <c r="BO14" s="1" t="n">
        <f aca="false">MAX(HEX2DEC(B14),HEX2DEC(C14),HEX2DEC(D14),HEX2DEC(E14),HEX2DEC(F14),HEX2DEC(G14),HEX2DEC(H14),HEX2DEC(I14),HEX2DEC(J14),HEX2DEC(K14))</f>
        <v>7878</v>
      </c>
    </row>
    <row r="15" customFormat="false" ht="12.8" hidden="false" customHeight="false" outlineLevel="0" collapsed="false">
      <c r="A15" s="176" t="s">
        <v>1148</v>
      </c>
      <c r="B15" s="177" t="s">
        <v>1455</v>
      </c>
      <c r="C15" s="177" t="s">
        <v>1456</v>
      </c>
      <c r="D15" s="177" t="s">
        <v>1457</v>
      </c>
      <c r="E15" s="177" t="s">
        <v>1458</v>
      </c>
      <c r="F15" s="177" t="s">
        <v>1459</v>
      </c>
      <c r="G15" s="177" t="s">
        <v>1460</v>
      </c>
      <c r="H15" s="177" t="s">
        <v>1461</v>
      </c>
      <c r="I15" s="177" t="s">
        <v>1462</v>
      </c>
      <c r="J15" s="177" t="s">
        <v>1463</v>
      </c>
      <c r="K15" s="177" t="inlineStr">
        <is>
          <t xml:space="preserve">ȅ</t>
        </is>
      </c>
      <c r="L15" s="177" t="inlineStr">
        <is>
          <t xml:space="preserve">ȇ</t>
        </is>
      </c>
      <c r="M15" s="177" t="inlineStr">
        <is>
          <t xml:space="preserve">ẹ</t>
        </is>
      </c>
      <c r="N15" s="177" t="inlineStr">
        <is>
          <t xml:space="preserve">ẽ</t>
        </is>
      </c>
      <c r="O15" s="177" t="inlineStr">
        <is>
          <t xml:space="preserve">ȩ</t>
        </is>
      </c>
      <c r="P15" s="177" t="inlineStr">
        <is>
          <t xml:space="preserve">ḕ</t>
        </is>
      </c>
      <c r="Q15" s="177" t="inlineStr">
        <is>
          <t xml:space="preserve">ḗ</t>
        </is>
      </c>
      <c r="R15" s="177" t="inlineStr">
        <is>
          <t xml:space="preserve">ḙ</t>
        </is>
      </c>
      <c r="S15" s="177" t="inlineStr">
        <is>
          <t xml:space="preserve">ḛ</t>
        </is>
      </c>
      <c r="T15" s="177" t="inlineStr">
        <is>
          <t xml:space="preserve">ḝ</t>
        </is>
      </c>
      <c r="U15" s="177" t="inlineStr">
        <is>
          <t xml:space="preserve">ẻ</t>
        </is>
      </c>
      <c r="V15" s="177" t="inlineStr">
        <is>
          <t xml:space="preserve">ế</t>
        </is>
      </c>
      <c r="W15" s="177" t="inlineStr">
        <is>
          <t xml:space="preserve">ề</t>
        </is>
      </c>
      <c r="X15" s="177" t="inlineStr">
        <is>
          <t xml:space="preserve">ể</t>
        </is>
      </c>
      <c r="Y15" s="177" t="inlineStr">
        <is>
          <t xml:space="preserve">ễ</t>
        </is>
      </c>
      <c r="Z15" s="177" t="inlineStr">
        <is>
          <t xml:space="preserve">ệ</t>
        </is>
      </c>
    </row>
    <row r="16" customFormat="false" ht="12.8" hidden="false" customHeight="false" outlineLevel="0" collapsed="false">
      <c r="B16" s="177" t="str">
        <f aca="false">DEC2HEX(_xlfn.UNICODE(B15))</f>
        <v>E8</v>
      </c>
      <c r="C16" s="177" t="str">
        <f aca="false">DEC2HEX(_xlfn.UNICODE(C15))</f>
        <v>E9</v>
      </c>
      <c r="D16" s="177" t="str">
        <f aca="false">DEC2HEX(_xlfn.UNICODE(D15))</f>
        <v>EA</v>
      </c>
      <c r="E16" s="177" t="str">
        <f aca="false">DEC2HEX(_xlfn.UNICODE(E15))</f>
        <v>EB</v>
      </c>
      <c r="F16" s="177" t="str">
        <f aca="false">DEC2HEX(_xlfn.UNICODE(F15))</f>
        <v>113</v>
      </c>
      <c r="G16" s="177" t="str">
        <f aca="false">DEC2HEX(_xlfn.UNICODE(G15))</f>
        <v>115</v>
      </c>
      <c r="H16" s="177" t="str">
        <f aca="false">DEC2HEX(_xlfn.UNICODE(H15))</f>
        <v>117</v>
      </c>
      <c r="I16" s="177" t="str">
        <f aca="false">DEC2HEX(_xlfn.UNICODE(I15))</f>
        <v>119</v>
      </c>
      <c r="J16" s="177" t="str">
        <f aca="false">DEC2HEX(_xlfn.UNICODE(J15))</f>
        <v>11B</v>
      </c>
      <c r="K16" s="177" t="str">
        <f aca="false">DEC2HEX(_xlfn.UNICODE(K15))</f>
        <v>205</v>
      </c>
      <c r="L16" s="177" t="str">
        <f aca="false">DEC2HEX(_xlfn.UNICODE(L15))</f>
        <v>207</v>
      </c>
      <c r="M16" s="177" t="str">
        <f aca="false">DEC2HEX(_xlfn.UNICODE(M15))</f>
        <v>1EB9</v>
      </c>
      <c r="N16" s="177" t="str">
        <f aca="false">DEC2HEX(_xlfn.UNICODE(N15))</f>
        <v>1EBD</v>
      </c>
      <c r="O16" s="177" t="str">
        <f aca="false">DEC2HEX(_xlfn.UNICODE(O15))</f>
        <v>229</v>
      </c>
      <c r="P16" s="177" t="str">
        <f aca="false">DEC2HEX(_xlfn.UNICODE(P15))</f>
        <v>1E15</v>
      </c>
      <c r="Q16" s="177" t="str">
        <f aca="false">DEC2HEX(_xlfn.UNICODE(Q15))</f>
        <v>1E17</v>
      </c>
      <c r="R16" s="177" t="str">
        <f aca="false">DEC2HEX(_xlfn.UNICODE(R15))</f>
        <v>1E19</v>
      </c>
      <c r="S16" s="177" t="str">
        <f aca="false">DEC2HEX(_xlfn.UNICODE(S15))</f>
        <v>1E1B</v>
      </c>
      <c r="T16" s="177" t="str">
        <f aca="false">DEC2HEX(_xlfn.UNICODE(T15))</f>
        <v>1E1D</v>
      </c>
      <c r="U16" s="177" t="str">
        <f aca="false">DEC2HEX(_xlfn.UNICODE(U15))</f>
        <v>1EBB</v>
      </c>
      <c r="V16" s="177" t="str">
        <f aca="false">DEC2HEX(_xlfn.UNICODE(V15))</f>
        <v>1EBF</v>
      </c>
      <c r="W16" s="177" t="str">
        <f aca="false">DEC2HEX(_xlfn.UNICODE(W15))</f>
        <v>1EC1</v>
      </c>
      <c r="X16" s="177" t="str">
        <f aca="false">DEC2HEX(_xlfn.UNICODE(X15))</f>
        <v>1EC3</v>
      </c>
      <c r="Y16" s="177" t="str">
        <f aca="false">DEC2HEX(_xlfn.UNICODE(Y15))</f>
        <v>1EC5</v>
      </c>
      <c r="Z16" s="177" t="str">
        <f aca="false">DEC2HEX(_xlfn.UNICODE(Z15))</f>
        <v>1EC7</v>
      </c>
      <c r="BN16" s="1" t="n">
        <f aca="false">MIN(HEX2DEC(B16),HEX2DEC(C16),HEX2DEC(D16),HEX2DEC(E16),HEX2DEC(F16),HEX2DEC(G16),HEX2DEC(H16),HEX2DEC(I16),HEX2DEC(J16),HEX2DEC(K16),HEX2DEC(L16),HEX2DEC(M16),HEX2DEC(N16),HEX2DEC(O16),HEX2DEC(P16),HEX2DEC(Q16),HEX2DEC(R16),HEX2DEC(S16),HEX2DEC(T16),HEX2DEC(U16),HEX2DEC(V16),HEX2DEC(W16),HEX2DEC(X16),HEX2DEC(Y16),HEX2DEC(Z16))</f>
        <v>232</v>
      </c>
      <c r="BO16" s="1" t="n">
        <f aca="false">MAX(HEX2DEC(B16),HEX2DEC(C16),HEX2DEC(D16),HEX2DEC(E16),HEX2DEC(F16),HEX2DEC(G16),HEX2DEC(H16),HEX2DEC(I16),HEX2DEC(J16),HEX2DEC(K16))</f>
        <v>7879</v>
      </c>
    </row>
    <row r="17" customFormat="false" ht="12.8" hidden="false" customHeight="false" outlineLevel="0" collapsed="false">
      <c r="A17" s="176" t="s">
        <v>1157</v>
      </c>
      <c r="B17" s="177" t="s">
        <v>1464</v>
      </c>
      <c r="C17" s="177" t="s">
        <v>1465</v>
      </c>
      <c r="D17" s="177" t="s">
        <v>1466</v>
      </c>
      <c r="E17" s="177" t="s">
        <v>1467</v>
      </c>
      <c r="F17" s="177" t="inlineStr">
        <is>
          <t xml:space="preserve">Ǧ</t>
        </is>
      </c>
      <c r="G17" s="177" t="inlineStr">
        <is>
          <t xml:space="preserve">Ǵ</t>
        </is>
      </c>
      <c r="H17" s="177" t="inlineStr">
        <is>
          <t xml:space="preserve">Ɠ</t>
        </is>
      </c>
      <c r="I17" s="177" t="inlineStr">
        <is>
          <t xml:space="preserve">Ḡ</t>
        </is>
      </c>
    </row>
    <row r="18" customFormat="false" ht="12.8" hidden="false" customHeight="false" outlineLevel="0" collapsed="false">
      <c r="B18" s="177" t="str">
        <f aca="false">DEC2HEX(_xlfn.UNICODE(B17))</f>
        <v>11C</v>
      </c>
      <c r="C18" s="177" t="str">
        <f aca="false">DEC2HEX(_xlfn.UNICODE(C17))</f>
        <v>11E</v>
      </c>
      <c r="D18" s="177" t="str">
        <f aca="false">DEC2HEX(_xlfn.UNICODE(D17))</f>
        <v>120</v>
      </c>
      <c r="E18" s="177" t="str">
        <f aca="false">DEC2HEX(_xlfn.UNICODE(E17))</f>
        <v>122</v>
      </c>
      <c r="F18" s="177" t="str">
        <f aca="false">DEC2HEX(_xlfn.UNICODE(F17))</f>
        <v>1E6</v>
      </c>
      <c r="G18" s="177" t="str">
        <f aca="false">DEC2HEX(_xlfn.UNICODE(G17))</f>
        <v>1F4</v>
      </c>
      <c r="H18" s="177" t="str">
        <f aca="false">DEC2HEX(_xlfn.UNICODE(H17))</f>
        <v>193</v>
      </c>
      <c r="I18" s="177" t="str">
        <f aca="false">DEC2HEX(_xlfn.UNICODE(I17))</f>
        <v>1E20</v>
      </c>
      <c r="BN18" s="1" t="n">
        <f aca="false">MIN(HEX2DEC(B18),HEX2DEC(C18),HEX2DEC(D18),HEX2DEC(E18),HEX2DEC(F18),HEX2DEC(G18),HEX2DEC(H18),HEX2DEC(I18))</f>
        <v>284</v>
      </c>
      <c r="BO18" s="1" t="n">
        <f aca="false">MAX(HEX2DEC(B18),HEX2DEC(C18),HEX2DEC(D18),HEX2DEC(E18),HEX2DEC(F18),HEX2DEC(G18),HEX2DEC(H18),HEX2DEC(I18),HEX2DEC(J18),HEX2DEC(K18))</f>
        <v>7712</v>
      </c>
    </row>
    <row r="19" customFormat="false" ht="12.8" hidden="false" customHeight="false" outlineLevel="0" collapsed="false">
      <c r="A19" s="176" t="s">
        <v>1156</v>
      </c>
      <c r="B19" s="177" t="s">
        <v>1468</v>
      </c>
      <c r="C19" s="177" t="s">
        <v>1469</v>
      </c>
      <c r="D19" s="177" t="s">
        <v>1470</v>
      </c>
      <c r="E19" s="177" t="s">
        <v>1471</v>
      </c>
      <c r="F19" s="177" t="inlineStr">
        <is>
          <t xml:space="preserve">ǧ</t>
        </is>
      </c>
      <c r="G19" s="177" t="inlineStr">
        <is>
          <t xml:space="preserve">ǵ</t>
        </is>
      </c>
      <c r="H19" s="177" t="inlineStr">
        <is>
          <t xml:space="preserve">ɠ</t>
        </is>
      </c>
      <c r="I19" s="177" t="inlineStr">
        <is>
          <t xml:space="preserve">ḡ</t>
        </is>
      </c>
    </row>
    <row r="20" customFormat="false" ht="12.8" hidden="false" customHeight="false" outlineLevel="0" collapsed="false">
      <c r="B20" s="177" t="str">
        <f aca="false">DEC2HEX(_xlfn.UNICODE(B19))</f>
        <v>11D</v>
      </c>
      <c r="C20" s="177" t="str">
        <f aca="false">DEC2HEX(_xlfn.UNICODE(C19))</f>
        <v>11F</v>
      </c>
      <c r="D20" s="177" t="str">
        <f aca="false">DEC2HEX(_xlfn.UNICODE(D19))</f>
        <v>121</v>
      </c>
      <c r="E20" s="177" t="str">
        <f aca="false">DEC2HEX(_xlfn.UNICODE(E19))</f>
        <v>123</v>
      </c>
      <c r="F20" s="177" t="str">
        <f aca="false">DEC2HEX(_xlfn.UNICODE(F19))</f>
        <v>1E7</v>
      </c>
      <c r="G20" s="177" t="str">
        <f aca="false">DEC2HEX(_xlfn.UNICODE(G19))</f>
        <v>1F5</v>
      </c>
      <c r="H20" s="177" t="str">
        <f aca="false">DEC2HEX(_xlfn.UNICODE(H19))</f>
        <v>260</v>
      </c>
      <c r="I20" s="177" t="str">
        <f aca="false">DEC2HEX(_xlfn.UNICODE(I19))</f>
        <v>1E21</v>
      </c>
      <c r="BN20" s="1" t="n">
        <f aca="false">MIN(HEX2DEC(B20),HEX2DEC(C20),HEX2DEC(D20),HEX2DEC(E20),HEX2DEC(F20),HEX2DEC(G20),HEX2DEC(H20),HEX2DEC(I20))</f>
        <v>285</v>
      </c>
      <c r="BO20" s="1" t="n">
        <f aca="false">MAX(HEX2DEC(B20),HEX2DEC(C20),HEX2DEC(D20),HEX2DEC(E20),HEX2DEC(F20),HEX2DEC(G20),HEX2DEC(H20),HEX2DEC(I20),HEX2DEC(J20),HEX2DEC(K20))</f>
        <v>7713</v>
      </c>
    </row>
    <row r="21" customFormat="false" ht="12.8" hidden="false" customHeight="false" outlineLevel="0" collapsed="false">
      <c r="A21" s="176" t="s">
        <v>1160</v>
      </c>
      <c r="B21" s="177" t="s">
        <v>1472</v>
      </c>
      <c r="C21" s="177" t="s">
        <v>1473</v>
      </c>
      <c r="D21" s="177" t="inlineStr">
        <is>
          <t xml:space="preserve">Ȟ</t>
        </is>
      </c>
      <c r="E21" s="177" t="inlineStr">
        <is>
          <t xml:space="preserve">Ḣ</t>
        </is>
      </c>
      <c r="F21" s="177" t="inlineStr">
        <is>
          <t xml:space="preserve">Ḥ</t>
        </is>
      </c>
      <c r="G21" s="177" t="inlineStr">
        <is>
          <t xml:space="preserve">Ḧ</t>
        </is>
      </c>
      <c r="H21" s="177" t="inlineStr">
        <is>
          <t xml:space="preserve">Ḩ</t>
        </is>
      </c>
      <c r="I21" s="177" t="inlineStr">
        <is>
          <t xml:space="preserve">Ḫ</t>
        </is>
      </c>
      <c r="R21" s="177"/>
    </row>
    <row r="22" customFormat="false" ht="12.8" hidden="false" customHeight="false" outlineLevel="0" collapsed="false">
      <c r="B22" s="177" t="str">
        <f aca="false">DEC2HEX(_xlfn.UNICODE(B21))</f>
        <v>124</v>
      </c>
      <c r="C22" s="177" t="str">
        <f aca="false">DEC2HEX(_xlfn.UNICODE(C21))</f>
        <v>126</v>
      </c>
      <c r="D22" s="177" t="str">
        <f aca="false">DEC2HEX(_xlfn.UNICODE(D21))</f>
        <v>21E</v>
      </c>
      <c r="E22" s="177" t="str">
        <f aca="false">DEC2HEX(_xlfn.UNICODE(E21))</f>
        <v>1E22</v>
      </c>
      <c r="F22" s="177" t="str">
        <f aca="false">DEC2HEX(_xlfn.UNICODE(F21))</f>
        <v>1E24</v>
      </c>
      <c r="G22" s="177" t="str">
        <f aca="false">DEC2HEX(_xlfn.UNICODE(G21))</f>
        <v>1E26</v>
      </c>
      <c r="H22" s="177" t="str">
        <f aca="false">DEC2HEX(_xlfn.UNICODE(H21))</f>
        <v>1E28</v>
      </c>
      <c r="I22" s="177" t="str">
        <f aca="false">DEC2HEX(_xlfn.UNICODE(I21))</f>
        <v>1E2A</v>
      </c>
      <c r="R22" s="177"/>
      <c r="BN22" s="1" t="n">
        <f aca="false">MIN(HEX2DEC(B22),HEX2DEC(C22),HEX2DEC(D22),HEX2DEC(E22),HEX2DEC(F22),HEX2DEC(G22),HEX2DEC(H22),HEX2DEC(I22))</f>
        <v>292</v>
      </c>
      <c r="BO22" s="1" t="n">
        <f aca="false">MAX(HEX2DEC(B22),HEX2DEC(C22),HEX2DEC(D22),HEX2DEC(E22),HEX2DEC(F22),HEX2DEC(G22),HEX2DEC(H22),HEX2DEC(I22),HEX2DEC(J22),HEX2DEC(K22))</f>
        <v>7722</v>
      </c>
    </row>
    <row r="23" customFormat="false" ht="12.8" hidden="false" customHeight="false" outlineLevel="0" collapsed="false">
      <c r="A23" s="176" t="s">
        <v>1159</v>
      </c>
      <c r="B23" s="177" t="s">
        <v>1474</v>
      </c>
      <c r="C23" s="177" t="s">
        <v>1475</v>
      </c>
      <c r="D23" s="177" t="inlineStr">
        <is>
          <t xml:space="preserve">ȟ</t>
        </is>
      </c>
      <c r="E23" s="177" t="inlineStr">
        <is>
          <t xml:space="preserve">ḣ</t>
        </is>
      </c>
      <c r="F23" s="177" t="inlineStr">
        <is>
          <t xml:space="preserve">ḥ</t>
        </is>
      </c>
      <c r="G23" s="177" t="inlineStr">
        <is>
          <t xml:space="preserve">ḧ</t>
        </is>
      </c>
      <c r="H23" s="177" t="inlineStr">
        <is>
          <t xml:space="preserve">ḩ</t>
        </is>
      </c>
      <c r="I23" s="177" t="inlineStr">
        <is>
          <t xml:space="preserve">ḫ</t>
        </is>
      </c>
      <c r="J23" s="177" t="inlineStr">
        <is>
          <t xml:space="preserve">ẖ</t>
        </is>
      </c>
    </row>
    <row r="24" customFormat="false" ht="12.8" hidden="false" customHeight="false" outlineLevel="0" collapsed="false">
      <c r="B24" s="177" t="str">
        <f aca="false">DEC2HEX(_xlfn.UNICODE(B23))</f>
        <v>125</v>
      </c>
      <c r="C24" s="177" t="str">
        <f aca="false">DEC2HEX(_xlfn.UNICODE(C23))</f>
        <v>127</v>
      </c>
      <c r="D24" s="177" t="str">
        <f aca="false">DEC2HEX(_xlfn.UNICODE(D23))</f>
        <v>21F</v>
      </c>
      <c r="E24" s="177" t="str">
        <f aca="false">DEC2HEX(_xlfn.UNICODE(E23))</f>
        <v>1E23</v>
      </c>
      <c r="F24" s="177" t="str">
        <f aca="false">DEC2HEX(_xlfn.UNICODE(F23))</f>
        <v>1E25</v>
      </c>
      <c r="G24" s="177" t="str">
        <f aca="false">DEC2HEX(_xlfn.UNICODE(G23))</f>
        <v>1E27</v>
      </c>
      <c r="H24" s="177" t="str">
        <f aca="false">DEC2HEX(_xlfn.UNICODE(H23))</f>
        <v>1E29</v>
      </c>
      <c r="I24" s="177" t="str">
        <f aca="false">DEC2HEX(_xlfn.UNICODE(I23))</f>
        <v>1E2B</v>
      </c>
      <c r="J24" s="177" t="str">
        <f aca="false">DEC2HEX(_xlfn.UNICODE(J23))</f>
        <v>1E96</v>
      </c>
      <c r="BN24" s="1" t="n">
        <f aca="false">MIN(HEX2DEC(B24),HEX2DEC(C24),HEX2DEC(D24),HEX2DEC(E24),HEX2DEC(F24),HEX2DEC(G24),HEX2DEC(H24),HEX2DEC(I24),HEX2DEC(J24))</f>
        <v>293</v>
      </c>
      <c r="BO24" s="1" t="n">
        <f aca="false">MAX(HEX2DEC(B24),HEX2DEC(C24),HEX2DEC(D24),HEX2DEC(E24),HEX2DEC(F24),HEX2DEC(G24),HEX2DEC(H24),HEX2DEC(I24),HEX2DEC(J24),HEX2DEC(K24))</f>
        <v>7830</v>
      </c>
    </row>
    <row r="25" customFormat="false" ht="12.8" hidden="false" customHeight="false" outlineLevel="0" collapsed="false">
      <c r="A25" s="176" t="s">
        <v>1163</v>
      </c>
      <c r="B25" s="177" t="s">
        <v>1476</v>
      </c>
      <c r="C25" s="177" t="s">
        <v>1477</v>
      </c>
      <c r="D25" s="177" t="s">
        <v>1478</v>
      </c>
      <c r="E25" s="177" t="s">
        <v>1479</v>
      </c>
      <c r="F25" s="177" t="s">
        <v>1480</v>
      </c>
      <c r="G25" s="177" t="s">
        <v>1481</v>
      </c>
      <c r="H25" s="177" t="s">
        <v>1482</v>
      </c>
      <c r="I25" s="177" t="s">
        <v>1483</v>
      </c>
      <c r="J25" s="177" t="s">
        <v>1484</v>
      </c>
      <c r="K25" s="177" t="s">
        <v>1485</v>
      </c>
      <c r="L25" s="177" t="inlineStr">
        <is>
          <t xml:space="preserve">Ȉ</t>
        </is>
      </c>
      <c r="M25" s="177" t="inlineStr">
        <is>
          <t xml:space="preserve">Ȋ</t>
        </is>
      </c>
      <c r="N25" s="177" t="inlineStr">
        <is>
          <t xml:space="preserve">Ǐ</t>
        </is>
      </c>
      <c r="O25" s="177" t="inlineStr">
        <is>
          <t xml:space="preserve">Ḭ</t>
        </is>
      </c>
      <c r="P25" s="177" t="inlineStr">
        <is>
          <t xml:space="preserve">Ḯ</t>
        </is>
      </c>
      <c r="Q25" s="177" t="inlineStr">
        <is>
          <t xml:space="preserve">Ỉ</t>
        </is>
      </c>
      <c r="R25" s="177" t="inlineStr">
        <is>
          <t xml:space="preserve">Ị</t>
        </is>
      </c>
    </row>
    <row r="26" customFormat="false" ht="12.8" hidden="false" customHeight="false" outlineLevel="0" collapsed="false">
      <c r="B26" s="177" t="str">
        <f aca="false">DEC2HEX(_xlfn.UNICODE(B25))</f>
        <v>CC</v>
      </c>
      <c r="C26" s="177" t="str">
        <f aca="false">DEC2HEX(_xlfn.UNICODE(C25))</f>
        <v>CD</v>
      </c>
      <c r="D26" s="177" t="str">
        <f aca="false">DEC2HEX(_xlfn.UNICODE(D25))</f>
        <v>CE</v>
      </c>
      <c r="E26" s="177" t="str">
        <f aca="false">DEC2HEX(_xlfn.UNICODE(E25))</f>
        <v>CF</v>
      </c>
      <c r="F26" s="177" t="str">
        <f aca="false">DEC2HEX(_xlfn.UNICODE(F25))</f>
        <v>128</v>
      </c>
      <c r="G26" s="177" t="str">
        <f aca="false">DEC2HEX(_xlfn.UNICODE(G25))</f>
        <v>12A</v>
      </c>
      <c r="H26" s="177" t="str">
        <f aca="false">DEC2HEX(_xlfn.UNICODE(H25))</f>
        <v>12C</v>
      </c>
      <c r="I26" s="177" t="str">
        <f aca="false">DEC2HEX(_xlfn.UNICODE(I25))</f>
        <v>12E</v>
      </c>
      <c r="J26" s="177" t="str">
        <f aca="false">DEC2HEX(_xlfn.UNICODE(J25))</f>
        <v>130</v>
      </c>
      <c r="K26" s="177" t="str">
        <f aca="false">DEC2HEX(_xlfn.UNICODE(K25))</f>
        <v>132</v>
      </c>
      <c r="L26" s="177" t="str">
        <f aca="false">DEC2HEX(_xlfn.UNICODE(L25))</f>
        <v>208</v>
      </c>
      <c r="M26" s="177" t="str">
        <f aca="false">DEC2HEX(_xlfn.UNICODE(M25))</f>
        <v>20A</v>
      </c>
      <c r="N26" s="177" t="str">
        <f aca="false">DEC2HEX(_xlfn.UNICODE(N25))</f>
        <v>1CF</v>
      </c>
      <c r="O26" s="177" t="str">
        <f aca="false">DEC2HEX(_xlfn.UNICODE(O25))</f>
        <v>1E2C</v>
      </c>
      <c r="P26" s="177" t="str">
        <f aca="false">DEC2HEX(_xlfn.UNICODE(P25))</f>
        <v>1E2E</v>
      </c>
      <c r="Q26" s="177" t="str">
        <f aca="false">DEC2HEX(_xlfn.UNICODE(Q25))</f>
        <v>1EC8</v>
      </c>
      <c r="R26" s="177" t="str">
        <f aca="false">DEC2HEX(_xlfn.UNICODE(R25))</f>
        <v>1ECA</v>
      </c>
      <c r="BN26" s="1" t="n">
        <f aca="false">MIN(HEX2DEC(B26),HEX2DEC(C26),HEX2DEC(D26),HEX2DEC(E26),HEX2DEC(F26),HEX2DEC(G26),HEX2DEC(H26),HEX2DEC(I26),HEX2DEC(J26),HEX2DEC(K26),HEX2DEC(L26),HEX2DEC(M26),HEX2DEC(N26),HEX2DEC(O26),HEX2DEC(P26),HEX2DEC(Q26),HEX2DEC(R26))</f>
        <v>204</v>
      </c>
      <c r="BO26" s="1" t="n">
        <f aca="false">MAX(HEX2DEC(B26),HEX2DEC(C26),HEX2DEC(D26),HEX2DEC(E26),HEX2DEC(F26),HEX2DEC(G26),HEX2DEC(H26),HEX2DEC(I26),HEX2DEC(J26),HEX2DEC(K26))</f>
        <v>7882</v>
      </c>
    </row>
    <row r="27" customFormat="false" ht="12.8" hidden="false" customHeight="false" outlineLevel="0" collapsed="false">
      <c r="A27" s="176" t="s">
        <v>1162</v>
      </c>
      <c r="B27" s="177" t="s">
        <v>1486</v>
      </c>
      <c r="C27" s="177" t="s">
        <v>1487</v>
      </c>
      <c r="D27" s="177" t="s">
        <v>1488</v>
      </c>
      <c r="E27" s="177" t="s">
        <v>1489</v>
      </c>
      <c r="F27" s="177" t="s">
        <v>1490</v>
      </c>
      <c r="G27" s="177" t="s">
        <v>1491</v>
      </c>
      <c r="H27" s="177" t="s">
        <v>1492</v>
      </c>
      <c r="I27" s="177" t="s">
        <v>1493</v>
      </c>
      <c r="J27" s="177" t="s">
        <v>1494</v>
      </c>
      <c r="K27" s="177" t="s">
        <v>1495</v>
      </c>
      <c r="L27" s="177" t="inlineStr">
        <is>
          <t xml:space="preserve">ȉ</t>
        </is>
      </c>
      <c r="M27" s="177" t="inlineStr">
        <is>
          <t xml:space="preserve">ȋ</t>
        </is>
      </c>
      <c r="N27" s="177" t="inlineStr">
        <is>
          <t xml:space="preserve">ǐ</t>
        </is>
      </c>
      <c r="O27" s="177" t="inlineStr">
        <is>
          <t xml:space="preserve">ḭ</t>
        </is>
      </c>
      <c r="P27" s="177" t="inlineStr">
        <is>
          <t xml:space="preserve">ḯ</t>
        </is>
      </c>
      <c r="Q27" s="177" t="inlineStr">
        <is>
          <t xml:space="preserve">ỉ</t>
        </is>
      </c>
      <c r="R27" s="177" t="inlineStr">
        <is>
          <t xml:space="preserve">ị</t>
        </is>
      </c>
    </row>
    <row r="28" customFormat="false" ht="12.8" hidden="false" customHeight="false" outlineLevel="0" collapsed="false">
      <c r="B28" s="177" t="str">
        <f aca="false">DEC2HEX(_xlfn.UNICODE(B27))</f>
        <v>EC</v>
      </c>
      <c r="C28" s="177" t="str">
        <f aca="false">DEC2HEX(_xlfn.UNICODE(C27))</f>
        <v>ED</v>
      </c>
      <c r="D28" s="177" t="str">
        <f aca="false">DEC2HEX(_xlfn.UNICODE(D27))</f>
        <v>EE</v>
      </c>
      <c r="E28" s="177" t="str">
        <f aca="false">DEC2HEX(_xlfn.UNICODE(E27))</f>
        <v>EF</v>
      </c>
      <c r="F28" s="177" t="str">
        <f aca="false">DEC2HEX(_xlfn.UNICODE(F27))</f>
        <v>129</v>
      </c>
      <c r="G28" s="177" t="str">
        <f aca="false">DEC2HEX(_xlfn.UNICODE(G27))</f>
        <v>12B</v>
      </c>
      <c r="H28" s="177" t="str">
        <f aca="false">DEC2HEX(_xlfn.UNICODE(H27))</f>
        <v>12D</v>
      </c>
      <c r="I28" s="177" t="str">
        <f aca="false">DEC2HEX(_xlfn.UNICODE(I27))</f>
        <v>12F</v>
      </c>
      <c r="J28" s="177" t="str">
        <f aca="false">DEC2HEX(_xlfn.UNICODE(J27))</f>
        <v>131</v>
      </c>
      <c r="K28" s="177" t="str">
        <f aca="false">DEC2HEX(_xlfn.UNICODE(K27))</f>
        <v>133</v>
      </c>
      <c r="L28" s="177" t="str">
        <f aca="false">DEC2HEX(_xlfn.UNICODE(L27))</f>
        <v>209</v>
      </c>
      <c r="M28" s="177" t="str">
        <f aca="false">DEC2HEX(_xlfn.UNICODE(M27))</f>
        <v>20B</v>
      </c>
      <c r="N28" s="177" t="str">
        <f aca="false">DEC2HEX(_xlfn.UNICODE(N27))</f>
        <v>1D0</v>
      </c>
      <c r="O28" s="177" t="str">
        <f aca="false">DEC2HEX(_xlfn.UNICODE(O27))</f>
        <v>1E2D</v>
      </c>
      <c r="P28" s="177" t="str">
        <f aca="false">DEC2HEX(_xlfn.UNICODE(P27))</f>
        <v>1E2F</v>
      </c>
      <c r="Q28" s="177" t="str">
        <f aca="false">DEC2HEX(_xlfn.UNICODE(Q27))</f>
        <v>1EC9</v>
      </c>
      <c r="R28" s="177" t="str">
        <f aca="false">DEC2HEX(_xlfn.UNICODE(R27))</f>
        <v>1ECB</v>
      </c>
      <c r="BN28" s="1" t="n">
        <f aca="false">MIN(HEX2DEC(B28),HEX2DEC(C28),HEX2DEC(D28),HEX2DEC(E28),HEX2DEC(F28),HEX2DEC(G28),HEX2DEC(H28),HEX2DEC(I28),HEX2DEC(J28),HEX2DEC(K28),HEX2DEC(L28),HEX2DEC(M28),HEX2DEC(N28),HEX2DEC(O28),HEX2DEC(P28),HEX2DEC(Q28),HEX2DEC(R28))</f>
        <v>236</v>
      </c>
      <c r="BO28" s="1" t="n">
        <f aca="false">MAX(HEX2DEC(B28),HEX2DEC(C28),HEX2DEC(D28),HEX2DEC(E28),HEX2DEC(F28),HEX2DEC(G28),HEX2DEC(H28),HEX2DEC(I28),HEX2DEC(J28),HEX2DEC(K28))</f>
        <v>7883</v>
      </c>
    </row>
    <row r="29" customFormat="false" ht="12.8" hidden="false" customHeight="false" outlineLevel="0" collapsed="false">
      <c r="A29" s="176" t="s">
        <v>1166</v>
      </c>
      <c r="B29" s="177" t="s">
        <v>1496</v>
      </c>
    </row>
    <row r="30" customFormat="false" ht="12.8" hidden="false" customHeight="false" outlineLevel="0" collapsed="false">
      <c r="B30" s="177" t="str">
        <f aca="false">DEC2HEX(_xlfn.UNICODE(B29))</f>
        <v>134</v>
      </c>
      <c r="BN30" s="1" t="n">
        <f aca="false">MIN(HEX2DEC(B30))</f>
        <v>308</v>
      </c>
      <c r="BO30" s="1" t="n">
        <f aca="false">MAX(HEX2DEC(B30),HEX2DEC(C30),HEX2DEC(D30),HEX2DEC(E30),HEX2DEC(F30),HEX2DEC(G30),HEX2DEC(H30),HEX2DEC(I30),HEX2DEC(J30),HEX2DEC(K30))</f>
        <v>308</v>
      </c>
    </row>
    <row r="31" customFormat="false" ht="12.8" hidden="false" customHeight="false" outlineLevel="0" collapsed="false">
      <c r="A31" s="176" t="s">
        <v>1165</v>
      </c>
      <c r="B31" s="177" t="s">
        <v>1497</v>
      </c>
      <c r="C31" s="177" t="inlineStr">
        <is>
          <t xml:space="preserve">ǰ</t>
        </is>
      </c>
    </row>
    <row r="32" customFormat="false" ht="12.8" hidden="false" customHeight="false" outlineLevel="0" collapsed="false">
      <c r="B32" s="177" t="str">
        <f aca="false">DEC2HEX(_xlfn.UNICODE(B31))</f>
        <v>135</v>
      </c>
      <c r="C32" s="177" t="str">
        <f aca="false">DEC2HEX(_xlfn.UNICODE(C31))</f>
        <v>1F0</v>
      </c>
      <c r="BN32" s="1" t="n">
        <f aca="false">MIN(HEX2DEC(B32),HEX2DEC(C32))</f>
        <v>309</v>
      </c>
      <c r="BO32" s="1" t="n">
        <f aca="false">MAX(HEX2DEC(B32),HEX2DEC(C32),HEX2DEC(D32),HEX2DEC(E32),HEX2DEC(F32),HEX2DEC(G32),HEX2DEC(H32),HEX2DEC(I32),HEX2DEC(J32),HEX2DEC(K32))</f>
        <v>496</v>
      </c>
    </row>
    <row r="33" customFormat="false" ht="12.8" hidden="false" customHeight="false" outlineLevel="0" collapsed="false">
      <c r="A33" s="176" t="s">
        <v>1169</v>
      </c>
      <c r="B33" s="177" t="s">
        <v>1498</v>
      </c>
      <c r="C33" s="177" t="inlineStr">
        <is>
          <t xml:space="preserve">Ǩ</t>
        </is>
      </c>
      <c r="D33" s="177" t="inlineStr">
        <is>
          <t xml:space="preserve">Ƙ</t>
        </is>
      </c>
      <c r="E33" s="177" t="inlineStr">
        <is>
          <t xml:space="preserve">Ḱ</t>
        </is>
      </c>
      <c r="F33" s="177" t="inlineStr">
        <is>
          <t xml:space="preserve">Ḳ</t>
        </is>
      </c>
      <c r="G33" s="177" t="inlineStr">
        <is>
          <t xml:space="preserve">Ḵ</t>
        </is>
      </c>
    </row>
    <row r="34" customFormat="false" ht="12.8" hidden="false" customHeight="false" outlineLevel="0" collapsed="false">
      <c r="B34" s="177" t="str">
        <f aca="false">DEC2HEX(_xlfn.UNICODE(B33))</f>
        <v>136</v>
      </c>
      <c r="C34" s="177" t="str">
        <f aca="false">DEC2HEX(_xlfn.UNICODE(C33))</f>
        <v>1E8</v>
      </c>
      <c r="D34" s="177" t="str">
        <f aca="false">DEC2HEX(_xlfn.UNICODE(D33))</f>
        <v>198</v>
      </c>
      <c r="E34" s="177" t="str">
        <f aca="false">DEC2HEX(_xlfn.UNICODE(E33))</f>
        <v>1E30</v>
      </c>
      <c r="F34" s="177" t="str">
        <f aca="false">DEC2HEX(_xlfn.UNICODE(F33))</f>
        <v>1E32</v>
      </c>
      <c r="G34" s="177" t="str">
        <f aca="false">DEC2HEX(_xlfn.UNICODE(G33))</f>
        <v>1E34</v>
      </c>
      <c r="BN34" s="1" t="n">
        <f aca="false">MIN(HEX2DEC(B34),HEX2DEC(C34),HEX2DEC(D34),HEX2DEC(E34),HEX2DEC(F34),HEX2DEC(G34))</f>
        <v>310</v>
      </c>
      <c r="BO34" s="1" t="n">
        <f aca="false">MAX(HEX2DEC(B34),HEX2DEC(C34),HEX2DEC(D34),HEX2DEC(E34),HEX2DEC(F34),HEX2DEC(G34),HEX2DEC(H34),HEX2DEC(I34),HEX2DEC(J34),HEX2DEC(K34))</f>
        <v>7732</v>
      </c>
    </row>
    <row r="35" customFormat="false" ht="12.8" hidden="false" customHeight="false" outlineLevel="0" collapsed="false">
      <c r="A35" s="176" t="s">
        <v>1168</v>
      </c>
      <c r="B35" s="177" t="s">
        <v>1499</v>
      </c>
      <c r="C35" s="177" t="s">
        <v>1500</v>
      </c>
      <c r="D35" s="177" t="inlineStr">
        <is>
          <t xml:space="preserve">ǩ</t>
        </is>
      </c>
      <c r="E35" s="177" t="inlineStr">
        <is>
          <t xml:space="preserve">ƙ</t>
        </is>
      </c>
      <c r="F35" s="177" t="inlineStr">
        <is>
          <t xml:space="preserve">ḱ</t>
        </is>
      </c>
      <c r="G35" s="177" t="inlineStr">
        <is>
          <t xml:space="preserve">ḳ</t>
        </is>
      </c>
      <c r="H35" s="177" t="inlineStr">
        <is>
          <t xml:space="preserve">ḵ</t>
        </is>
      </c>
    </row>
    <row r="36" customFormat="false" ht="12.8" hidden="false" customHeight="false" outlineLevel="0" collapsed="false">
      <c r="B36" s="177" t="str">
        <f aca="false">DEC2HEX(_xlfn.UNICODE(B35))</f>
        <v>137</v>
      </c>
      <c r="C36" s="177" t="str">
        <f aca="false">DEC2HEX(_xlfn.UNICODE(C35))</f>
        <v>138</v>
      </c>
      <c r="D36" s="177" t="str">
        <f aca="false">DEC2HEX(_xlfn.UNICODE(D35))</f>
        <v>1E9</v>
      </c>
      <c r="E36" s="177" t="str">
        <f aca="false">DEC2HEX(_xlfn.UNICODE(E35))</f>
        <v>199</v>
      </c>
      <c r="F36" s="177" t="str">
        <f aca="false">DEC2HEX(_xlfn.UNICODE(F35))</f>
        <v>1E31</v>
      </c>
      <c r="G36" s="177" t="str">
        <f aca="false">DEC2HEX(_xlfn.UNICODE(G35))</f>
        <v>1E33</v>
      </c>
      <c r="H36" s="177" t="str">
        <f aca="false">DEC2HEX(_xlfn.UNICODE(H35))</f>
        <v>1E35</v>
      </c>
      <c r="BN36" s="1" t="n">
        <f aca="false">MIN(HEX2DEC(B36),HEX2DEC(C36),HEX2DEC(D36),HEX2DEC(E36),HEX2DEC(F36),HEX2DEC(G36),HEX2DEC(H36))</f>
        <v>311</v>
      </c>
      <c r="BO36" s="1" t="n">
        <f aca="false">MAX(HEX2DEC(B36),HEX2DEC(C36),HEX2DEC(D36),HEX2DEC(E36),HEX2DEC(F36),HEX2DEC(G36),HEX2DEC(H36),HEX2DEC(I36),HEX2DEC(J36),HEX2DEC(K36))</f>
        <v>7733</v>
      </c>
    </row>
    <row r="37" customFormat="false" ht="12.8" hidden="false" customHeight="false" outlineLevel="0" collapsed="false">
      <c r="A37" s="176" t="s">
        <v>940</v>
      </c>
      <c r="B37" s="177" t="s">
        <v>1501</v>
      </c>
      <c r="C37" s="177" t="s">
        <v>1502</v>
      </c>
      <c r="D37" s="177" t="s">
        <v>1503</v>
      </c>
      <c r="E37" s="177" t="s">
        <v>1504</v>
      </c>
      <c r="F37" s="177" t="s">
        <v>1505</v>
      </c>
      <c r="G37" s="177" t="inlineStr">
        <is>
          <t xml:space="preserve">Ḷ</t>
        </is>
      </c>
      <c r="H37" s="177" t="inlineStr">
        <is>
          <t xml:space="preserve">Ḹ</t>
        </is>
      </c>
      <c r="I37" s="177" t="inlineStr">
        <is>
          <t xml:space="preserve">Ḻ</t>
        </is>
      </c>
      <c r="J37" s="177" t="inlineStr">
        <is>
          <t xml:space="preserve">Ḽ</t>
        </is>
      </c>
    </row>
    <row r="38" customFormat="false" ht="12.8" hidden="false" customHeight="false" outlineLevel="0" collapsed="false">
      <c r="B38" s="177" t="str">
        <f aca="false">DEC2HEX(_xlfn.UNICODE(B37))</f>
        <v>139</v>
      </c>
      <c r="C38" s="177" t="str">
        <f aca="false">DEC2HEX(_xlfn.UNICODE(C37))</f>
        <v>13B</v>
      </c>
      <c r="D38" s="177" t="str">
        <f aca="false">DEC2HEX(_xlfn.UNICODE(D37))</f>
        <v>13D</v>
      </c>
      <c r="E38" s="177" t="str">
        <f aca="false">DEC2HEX(_xlfn.UNICODE(E37))</f>
        <v>13F</v>
      </c>
      <c r="F38" s="177" t="str">
        <f aca="false">DEC2HEX(_xlfn.UNICODE(F37))</f>
        <v>141</v>
      </c>
      <c r="G38" s="177" t="str">
        <f aca="false">DEC2HEX(_xlfn.UNICODE(G37))</f>
        <v>1E36</v>
      </c>
      <c r="H38" s="177" t="str">
        <f aca="false">DEC2HEX(_xlfn.UNICODE(H37))</f>
        <v>1E38</v>
      </c>
      <c r="I38" s="177" t="str">
        <f aca="false">DEC2HEX(_xlfn.UNICODE(I37))</f>
        <v>1E3A</v>
      </c>
      <c r="J38" s="177" t="str">
        <f aca="false">DEC2HEX(_xlfn.UNICODE(J37))</f>
        <v>1E3C</v>
      </c>
      <c r="BN38" s="1" t="n">
        <f aca="false">MIN(HEX2DEC(B38),HEX2DEC(C38),HEX2DEC(D38),HEX2DEC(E38),HEX2DEC(F38),HEX2DEC(G38),HEX2DEC(H38),HEX2DEC(I38),HEX2DEC(J38))</f>
        <v>313</v>
      </c>
      <c r="BO38" s="1" t="n">
        <f aca="false">MAX(HEX2DEC(B38),HEX2DEC(C38),HEX2DEC(D38),HEX2DEC(E38),HEX2DEC(F38),HEX2DEC(G38),HEX2DEC(H38),HEX2DEC(I38),HEX2DEC(J38),HEX2DEC(K38))</f>
        <v>7740</v>
      </c>
    </row>
    <row r="39" customFormat="false" ht="12.8" hidden="false" customHeight="false" outlineLevel="0" collapsed="false">
      <c r="A39" s="176" t="s">
        <v>1172</v>
      </c>
      <c r="B39" s="177" t="s">
        <v>1506</v>
      </c>
      <c r="C39" s="177" t="s">
        <v>1507</v>
      </c>
      <c r="D39" s="177" t="s">
        <v>1508</v>
      </c>
      <c r="E39" s="177" t="s">
        <v>1509</v>
      </c>
      <c r="F39" s="177" t="s">
        <v>1510</v>
      </c>
      <c r="G39" s="177" t="inlineStr">
        <is>
          <t xml:space="preserve">ḷ</t>
        </is>
      </c>
      <c r="H39" s="177" t="inlineStr">
        <is>
          <t xml:space="preserve">ḹ</t>
        </is>
      </c>
      <c r="I39" s="177" t="inlineStr">
        <is>
          <t xml:space="preserve">ḻ</t>
        </is>
      </c>
      <c r="J39" s="177" t="inlineStr">
        <is>
          <t xml:space="preserve">ḽ</t>
        </is>
      </c>
    </row>
    <row r="40" customFormat="false" ht="12.8" hidden="false" customHeight="false" outlineLevel="0" collapsed="false">
      <c r="B40" s="177" t="str">
        <f aca="false">DEC2HEX(_xlfn.UNICODE(B39))</f>
        <v>13A</v>
      </c>
      <c r="C40" s="177" t="str">
        <f aca="false">DEC2HEX(_xlfn.UNICODE(C39))</f>
        <v>13C</v>
      </c>
      <c r="D40" s="177" t="str">
        <f aca="false">DEC2HEX(_xlfn.UNICODE(D39))</f>
        <v>13E</v>
      </c>
      <c r="E40" s="177" t="str">
        <f aca="false">DEC2HEX(_xlfn.UNICODE(E39))</f>
        <v>140</v>
      </c>
      <c r="F40" s="177" t="str">
        <f aca="false">DEC2HEX(_xlfn.UNICODE(F39))</f>
        <v>142</v>
      </c>
      <c r="G40" s="177" t="str">
        <f aca="false">DEC2HEX(_xlfn.UNICODE(G39))</f>
        <v>1E37</v>
      </c>
      <c r="H40" s="177" t="str">
        <f aca="false">DEC2HEX(_xlfn.UNICODE(H39))</f>
        <v>1E39</v>
      </c>
      <c r="I40" s="177" t="str">
        <f aca="false">DEC2HEX(_xlfn.UNICODE(I39))</f>
        <v>1E3B</v>
      </c>
      <c r="J40" s="177" t="str">
        <f aca="false">DEC2HEX(_xlfn.UNICODE(J39))</f>
        <v>1E3D</v>
      </c>
      <c r="BN40" s="1" t="n">
        <f aca="false">MIN(HEX2DEC(B40),HEX2DEC(C40),HEX2DEC(D40),HEX2DEC(E40),HEX2DEC(F40),HEX2DEC(G40),HEX2DEC(H40),HEX2DEC(I40),HEX2DEC(J40))</f>
        <v>314</v>
      </c>
      <c r="BO40" s="1" t="n">
        <f aca="false">MAX(HEX2DEC(B40),HEX2DEC(C40),HEX2DEC(D40),HEX2DEC(E40),HEX2DEC(F40),HEX2DEC(G40),HEX2DEC(H40),HEX2DEC(I40),HEX2DEC(J40),HEX2DEC(K40))</f>
        <v>7741</v>
      </c>
    </row>
    <row r="41" customFormat="false" ht="12.8" hidden="false" customHeight="false" outlineLevel="0" collapsed="false">
      <c r="A41" s="176" t="s">
        <v>1184</v>
      </c>
      <c r="B41" s="177" t="s">
        <v>1511</v>
      </c>
      <c r="C41" s="177" t="s">
        <v>1512</v>
      </c>
      <c r="D41" s="177" t="s">
        <v>1513</v>
      </c>
      <c r="E41" s="177" t="s">
        <v>1514</v>
      </c>
      <c r="F41" s="177" t="s">
        <v>1515</v>
      </c>
      <c r="G41" s="177" t="inlineStr">
        <is>
          <t xml:space="preserve">Ǹ</t>
        </is>
      </c>
      <c r="H41" s="177" t="inlineStr">
        <is>
          <t xml:space="preserve">Ɲ</t>
        </is>
      </c>
      <c r="I41" s="177" t="inlineStr">
        <is>
          <t xml:space="preserve">Ṅ</t>
        </is>
      </c>
      <c r="J41" s="177" t="inlineStr">
        <is>
          <t xml:space="preserve">Ṇ</t>
        </is>
      </c>
      <c r="K41" s="177" t="inlineStr">
        <is>
          <t xml:space="preserve">Ṉ</t>
        </is>
      </c>
      <c r="L41" s="177" t="inlineStr">
        <is>
          <t xml:space="preserve">Ṋ</t>
        </is>
      </c>
    </row>
    <row r="42" customFormat="false" ht="12.8" hidden="false" customHeight="false" outlineLevel="0" collapsed="false">
      <c r="B42" s="177" t="str">
        <f aca="false">DEC2HEX(_xlfn.UNICODE(B41))</f>
        <v>D1</v>
      </c>
      <c r="C42" s="177" t="str">
        <f aca="false">DEC2HEX(_xlfn.UNICODE(C41))</f>
        <v>143</v>
      </c>
      <c r="D42" s="177" t="str">
        <f aca="false">DEC2HEX(_xlfn.UNICODE(D41))</f>
        <v>145</v>
      </c>
      <c r="E42" s="177" t="str">
        <f aca="false">DEC2HEX(_xlfn.UNICODE(E41))</f>
        <v>147</v>
      </c>
      <c r="F42" s="177" t="str">
        <f aca="false">DEC2HEX(_xlfn.UNICODE(F41))</f>
        <v>14A</v>
      </c>
      <c r="G42" s="177" t="str">
        <f aca="false">DEC2HEX(_xlfn.UNICODE(G41))</f>
        <v>1F8</v>
      </c>
      <c r="H42" s="177" t="str">
        <f aca="false">DEC2HEX(_xlfn.UNICODE(H41))</f>
        <v>19D</v>
      </c>
      <c r="I42" s="177" t="str">
        <f aca="false">DEC2HEX(_xlfn.UNICODE(I41))</f>
        <v>1E44</v>
      </c>
      <c r="J42" s="177" t="str">
        <f aca="false">DEC2HEX(_xlfn.UNICODE(J41))</f>
        <v>1E46</v>
      </c>
      <c r="K42" s="177" t="str">
        <f aca="false">DEC2HEX(_xlfn.UNICODE(K41))</f>
        <v>1E48</v>
      </c>
      <c r="L42" s="177" t="str">
        <f aca="false">DEC2HEX(_xlfn.UNICODE(L41))</f>
        <v>1E4A</v>
      </c>
      <c r="BN42" s="1" t="n">
        <f aca="false">MIN(HEX2DEC(B42),HEX2DEC(C42),HEX2DEC(D42),HEX2DEC(E42),HEX2DEC(F42),HEX2DEC(G42),HEX2DEC(H42),HEX2DEC(I42),HEX2DEC(J42),HEX2DEC(K42),HEX2DEC(L42))</f>
        <v>209</v>
      </c>
      <c r="BO42" s="1" t="n">
        <f aca="false">MAX(HEX2DEC(B42),HEX2DEC(C42),HEX2DEC(D42),HEX2DEC(E42),HEX2DEC(F42),HEX2DEC(G42),HEX2DEC(H42),HEX2DEC(I42),HEX2DEC(J42),HEX2DEC(K42))</f>
        <v>7754</v>
      </c>
    </row>
    <row r="43" customFormat="false" ht="12.8" hidden="false" customHeight="false" outlineLevel="0" collapsed="false">
      <c r="A43" s="176" t="s">
        <v>1183</v>
      </c>
      <c r="B43" s="177" t="s">
        <v>1516</v>
      </c>
      <c r="C43" s="177" t="s">
        <v>1517</v>
      </c>
      <c r="D43" s="177" t="s">
        <v>1518</v>
      </c>
      <c r="E43" s="177" t="s">
        <v>1519</v>
      </c>
      <c r="F43" s="177" t="s">
        <v>1520</v>
      </c>
      <c r="G43" s="177" t="s">
        <v>1521</v>
      </c>
      <c r="H43" s="177" t="inlineStr">
        <is>
          <t xml:space="preserve">ǹ</t>
        </is>
      </c>
      <c r="I43" s="177" t="inlineStr">
        <is>
          <t xml:space="preserve">ɲ</t>
        </is>
      </c>
      <c r="J43" s="177" t="inlineStr">
        <is>
          <t xml:space="preserve">ṅ</t>
        </is>
      </c>
      <c r="K43" s="177" t="inlineStr">
        <is>
          <t xml:space="preserve">ṇ</t>
        </is>
      </c>
      <c r="L43" s="177" t="inlineStr">
        <is>
          <t xml:space="preserve">ṉ</t>
        </is>
      </c>
      <c r="M43" s="177" t="inlineStr">
        <is>
          <t xml:space="preserve">ṋ</t>
        </is>
      </c>
    </row>
    <row r="44" customFormat="false" ht="12.8" hidden="false" customHeight="false" outlineLevel="0" collapsed="false">
      <c r="B44" s="177" t="str">
        <f aca="false">DEC2HEX(_xlfn.UNICODE(B43))</f>
        <v>F1</v>
      </c>
      <c r="C44" s="177" t="str">
        <f aca="false">DEC2HEX(_xlfn.UNICODE(C43))</f>
        <v>144</v>
      </c>
      <c r="D44" s="177" t="str">
        <f aca="false">DEC2HEX(_xlfn.UNICODE(D43))</f>
        <v>146</v>
      </c>
      <c r="E44" s="177" t="str">
        <f aca="false">DEC2HEX(_xlfn.UNICODE(E43))</f>
        <v>148</v>
      </c>
      <c r="F44" s="177" t="str">
        <f aca="false">DEC2HEX(_xlfn.UNICODE(F43))</f>
        <v>14B</v>
      </c>
      <c r="G44" s="177" t="str">
        <f aca="false">DEC2HEX(_xlfn.UNICODE(G43))</f>
        <v>149</v>
      </c>
      <c r="H44" s="177" t="str">
        <f aca="false">DEC2HEX(_xlfn.UNICODE(H43))</f>
        <v>1F9</v>
      </c>
      <c r="I44" s="177" t="str">
        <f aca="false">DEC2HEX(_xlfn.UNICODE(I43))</f>
        <v>272</v>
      </c>
      <c r="J44" s="177" t="str">
        <f aca="false">DEC2HEX(_xlfn.UNICODE(J43))</f>
        <v>1E45</v>
      </c>
      <c r="K44" s="177" t="str">
        <f aca="false">DEC2HEX(_xlfn.UNICODE(K43))</f>
        <v>1E47</v>
      </c>
      <c r="L44" s="177" t="str">
        <f aca="false">DEC2HEX(_xlfn.UNICODE(L43))</f>
        <v>1E49</v>
      </c>
      <c r="M44" s="177" t="str">
        <f aca="false">DEC2HEX(_xlfn.UNICODE(M43))</f>
        <v>1E4B</v>
      </c>
      <c r="BN44" s="1" t="n">
        <f aca="false">MIN(HEX2DEC(B44),HEX2DEC(C44),HEX2DEC(D44),HEX2DEC(E44),HEX2DEC(F44),HEX2DEC(G44),HEX2DEC(H44),HEX2DEC(I44),HEX2DEC(J44),HEX2DEC(K44),HEX2DEC(L44),HEX2DEC(M44))</f>
        <v>241</v>
      </c>
      <c r="BO44" s="1" t="n">
        <f aca="false">MAX(HEX2DEC(B44),HEX2DEC(C44),HEX2DEC(D44),HEX2DEC(E44),HEX2DEC(F44),HEX2DEC(G44),HEX2DEC(H44),HEX2DEC(I44),HEX2DEC(J44),HEX2DEC(K44))</f>
        <v>7755</v>
      </c>
    </row>
    <row r="45" customFormat="false" ht="12.8" hidden="false" customHeight="false" outlineLevel="0" collapsed="false">
      <c r="A45" s="176" t="s">
        <v>1188</v>
      </c>
      <c r="B45" s="177" t="s">
        <v>1522</v>
      </c>
      <c r="C45" s="177" t="s">
        <v>1523</v>
      </c>
      <c r="D45" s="177" t="s">
        <v>1524</v>
      </c>
      <c r="E45" s="177" t="s">
        <v>1525</v>
      </c>
      <c r="F45" s="177" t="s">
        <v>1526</v>
      </c>
      <c r="G45" s="177" t="s">
        <v>1527</v>
      </c>
      <c r="H45" s="177" t="s">
        <v>1528</v>
      </c>
      <c r="I45" s="177" t="s">
        <v>1529</v>
      </c>
      <c r="J45" s="177" t="s">
        <v>1530</v>
      </c>
      <c r="K45" s="177" t="s">
        <v>1531</v>
      </c>
      <c r="L45" s="177" t="inlineStr">
        <is>
          <t xml:space="preserve">Ȍ</t>
        </is>
      </c>
      <c r="M45" s="177" t="inlineStr">
        <is>
          <t xml:space="preserve">Ȏ</t>
        </is>
      </c>
      <c r="N45" s="177" t="inlineStr">
        <is>
          <t xml:space="preserve">Ǫ</t>
        </is>
      </c>
      <c r="O45" s="177" t="inlineStr">
        <is>
          <t xml:space="preserve">Ọ</t>
        </is>
      </c>
      <c r="P45" s="177" t="inlineStr">
        <is>
          <t xml:space="preserve">Ơ</t>
        </is>
      </c>
      <c r="Q45" s="177" t="inlineStr">
        <is>
          <t xml:space="preserve">Ǒ</t>
        </is>
      </c>
      <c r="R45" s="177" t="inlineStr">
        <is>
          <t xml:space="preserve">Ǭ</t>
        </is>
      </c>
      <c r="S45" s="177" t="inlineStr">
        <is>
          <t xml:space="preserve">Ȫ</t>
        </is>
      </c>
      <c r="T45" s="177" t="inlineStr">
        <is>
          <t xml:space="preserve">Ȭ</t>
        </is>
      </c>
      <c r="U45" s="177" t="inlineStr">
        <is>
          <t xml:space="preserve">Ȯ</t>
        </is>
      </c>
      <c r="V45" s="177" t="inlineStr">
        <is>
          <t xml:space="preserve">Ȱ</t>
        </is>
      </c>
      <c r="W45" s="177" t="inlineStr">
        <is>
          <t xml:space="preserve">Ṍ</t>
        </is>
      </c>
      <c r="X45" s="177" t="inlineStr">
        <is>
          <t xml:space="preserve">Ṏ</t>
        </is>
      </c>
      <c r="Y45" s="177" t="inlineStr">
        <is>
          <t xml:space="preserve">Ṑ</t>
        </is>
      </c>
      <c r="Z45" s="177" t="inlineStr">
        <is>
          <t xml:space="preserve">Ṓ</t>
        </is>
      </c>
      <c r="AA45" s="177" t="inlineStr">
        <is>
          <t xml:space="preserve">Ỏ</t>
        </is>
      </c>
      <c r="AB45" s="177" t="inlineStr">
        <is>
          <t xml:space="preserve">Ố</t>
        </is>
      </c>
      <c r="AC45" s="177" t="inlineStr">
        <is>
          <t xml:space="preserve">Ồ</t>
        </is>
      </c>
      <c r="AD45" s="177" t="inlineStr">
        <is>
          <t xml:space="preserve">Ổ</t>
        </is>
      </c>
      <c r="AE45" s="177" t="inlineStr">
        <is>
          <t xml:space="preserve">Ỗ</t>
        </is>
      </c>
      <c r="AF45" s="177" t="inlineStr">
        <is>
          <t xml:space="preserve">Ộ</t>
        </is>
      </c>
      <c r="AG45" s="177" t="inlineStr">
        <is>
          <t xml:space="preserve">Ớ</t>
        </is>
      </c>
      <c r="AH45" s="177" t="inlineStr">
        <is>
          <t xml:space="preserve">Ờ</t>
        </is>
      </c>
      <c r="AI45" s="177" t="inlineStr">
        <is>
          <t xml:space="preserve">Ở</t>
        </is>
      </c>
      <c r="AJ45" s="177" t="inlineStr">
        <is>
          <t xml:space="preserve">Ỡ</t>
        </is>
      </c>
      <c r="AK45" s="177" t="inlineStr">
        <is>
          <t xml:space="preserve">Ợ</t>
        </is>
      </c>
    </row>
    <row r="46" customFormat="false" ht="12.8" hidden="false" customHeight="false" outlineLevel="0" collapsed="false">
      <c r="B46" s="177" t="str">
        <f aca="false">DEC2HEX(_xlfn.UNICODE(B45))</f>
        <v>D2</v>
      </c>
      <c r="C46" s="177" t="str">
        <f aca="false">DEC2HEX(_xlfn.UNICODE(C45))</f>
        <v>D3</v>
      </c>
      <c r="D46" s="177" t="str">
        <f aca="false">DEC2HEX(_xlfn.UNICODE(D45))</f>
        <v>D4</v>
      </c>
      <c r="E46" s="177" t="str">
        <f aca="false">DEC2HEX(_xlfn.UNICODE(E45))</f>
        <v>D5</v>
      </c>
      <c r="F46" s="177" t="str">
        <f aca="false">DEC2HEX(_xlfn.UNICODE(F45))</f>
        <v>D6</v>
      </c>
      <c r="G46" s="177" t="str">
        <f aca="false">DEC2HEX(_xlfn.UNICODE(G45))</f>
        <v>14C</v>
      </c>
      <c r="H46" s="177" t="str">
        <f aca="false">DEC2HEX(_xlfn.UNICODE(H45))</f>
        <v>14E</v>
      </c>
      <c r="I46" s="177" t="str">
        <f aca="false">DEC2HEX(_xlfn.UNICODE(I45))</f>
        <v>150</v>
      </c>
      <c r="J46" s="177" t="str">
        <f aca="false">DEC2HEX(_xlfn.UNICODE(J45))</f>
        <v>152</v>
      </c>
      <c r="K46" s="177" t="str">
        <f aca="false">DEC2HEX(_xlfn.UNICODE(K45))</f>
        <v>D8</v>
      </c>
      <c r="L46" s="177" t="str">
        <f aca="false">DEC2HEX(_xlfn.UNICODE(L45))</f>
        <v>20C</v>
      </c>
      <c r="M46" s="177" t="str">
        <f aca="false">DEC2HEX(_xlfn.UNICODE(M45))</f>
        <v>20E</v>
      </c>
      <c r="N46" s="177" t="str">
        <f aca="false">DEC2HEX(_xlfn.UNICODE(N45))</f>
        <v>1EA</v>
      </c>
      <c r="O46" s="177" t="str">
        <f aca="false">DEC2HEX(_xlfn.UNICODE(O45))</f>
        <v>1ECC</v>
      </c>
      <c r="P46" s="177" t="str">
        <f aca="false">DEC2HEX(_xlfn.UNICODE(P45))</f>
        <v>1A0</v>
      </c>
      <c r="Q46" s="177" t="str">
        <f aca="false">DEC2HEX(_xlfn.UNICODE(Q45))</f>
        <v>1D1</v>
      </c>
      <c r="R46" s="177" t="str">
        <f aca="false">DEC2HEX(_xlfn.UNICODE(R45))</f>
        <v>1EC</v>
      </c>
      <c r="S46" s="177" t="str">
        <f aca="false">DEC2HEX(_xlfn.UNICODE(S45))</f>
        <v>22A</v>
      </c>
      <c r="T46" s="177" t="str">
        <f aca="false">DEC2HEX(_xlfn.UNICODE(T45))</f>
        <v>22C</v>
      </c>
      <c r="U46" s="177" t="str">
        <f aca="false">DEC2HEX(_xlfn.UNICODE(U45))</f>
        <v>22E</v>
      </c>
      <c r="V46" s="177" t="str">
        <f aca="false">DEC2HEX(_xlfn.UNICODE(V45))</f>
        <v>230</v>
      </c>
      <c r="W46" s="177" t="str">
        <f aca="false">DEC2HEX(_xlfn.UNICODE(W45))</f>
        <v>1E4C</v>
      </c>
      <c r="X46" s="177" t="str">
        <f aca="false">DEC2HEX(_xlfn.UNICODE(X45))</f>
        <v>1E4E</v>
      </c>
      <c r="Y46" s="177" t="str">
        <f aca="false">DEC2HEX(_xlfn.UNICODE(Y45))</f>
        <v>1E50</v>
      </c>
      <c r="Z46" s="177" t="str">
        <f aca="false">DEC2HEX(_xlfn.UNICODE(Z45))</f>
        <v>1E52</v>
      </c>
      <c r="AA46" s="177" t="str">
        <f aca="false">DEC2HEX(_xlfn.UNICODE(AA45))</f>
        <v>1ECE</v>
      </c>
      <c r="AB46" s="177" t="str">
        <f aca="false">DEC2HEX(_xlfn.UNICODE(AB45))</f>
        <v>1ED0</v>
      </c>
      <c r="AC46" s="177" t="str">
        <f aca="false">DEC2HEX(_xlfn.UNICODE(AC45))</f>
        <v>1ED2</v>
      </c>
      <c r="AD46" s="177" t="str">
        <f aca="false">DEC2HEX(_xlfn.UNICODE(AD45))</f>
        <v>1ED4</v>
      </c>
      <c r="AE46" s="177" t="str">
        <f aca="false">DEC2HEX(_xlfn.UNICODE(AE45))</f>
        <v>1ED6</v>
      </c>
      <c r="AF46" s="177" t="str">
        <f aca="false">DEC2HEX(_xlfn.UNICODE(AF45))</f>
        <v>1ED8</v>
      </c>
      <c r="AG46" s="177" t="str">
        <f aca="false">DEC2HEX(_xlfn.UNICODE(AG45))</f>
        <v>1EDA</v>
      </c>
      <c r="AH46" s="177" t="str">
        <f aca="false">DEC2HEX(_xlfn.UNICODE(AH45))</f>
        <v>1EDC</v>
      </c>
      <c r="AI46" s="177" t="str">
        <f aca="false">DEC2HEX(_xlfn.UNICODE(AI45))</f>
        <v>1EDE</v>
      </c>
      <c r="AJ46" s="177" t="str">
        <f aca="false">DEC2HEX(_xlfn.UNICODE(AJ45))</f>
        <v>1EE0</v>
      </c>
      <c r="AK46" s="177" t="str">
        <f aca="false">DEC2HEX(_xlfn.UNICODE(AK45))</f>
        <v>1EE2</v>
      </c>
      <c r="BN46" s="1" t="n">
        <f aca="false">MIN(HEX2DEC(B46),HEX2DEC(C46),HEX2DEC(D46),HEX2DEC(E46),HEX2DEC(F46),HEX2DEC(G46),HEX2DEC(H46),HEX2DEC(I46),HEX2DEC(J46),HEX2DEC(K46),HEX2DEC(L46),HEX2DEC(M46),HEX2DEC(N46),HEX2DEC(O46),HEX2DEC(P46),HEX2DEC(Q46),HEX2DEC(R46),HEX2DEC(S46),HEX2DEC(T46),HEX2DEC(U46),HEX2DEC(V46),HEX2DEC(W46),HEX2DEC(X46),HEX2DEC(Y46),HEX2DEC(Z46),HEX2DEC(AA46),HEX2DEC(AB46),HEX2DEC(AC46),HEX2DEC(AD46),HEX2DEC(AE46),HEX2DEC(AF46),HEX2DEC(AG46),HEX2DEC(AH46),HEX2DEC(AI46),HEX2DEC(AJ46),HEX2DEC(AK46))</f>
        <v>210</v>
      </c>
      <c r="BO46" s="1" t="n">
        <f aca="false">MAX(HEX2DEC(B46),HEX2DEC(C46),HEX2DEC(D46),HEX2DEC(E46),HEX2DEC(F46),HEX2DEC(G46),HEX2DEC(H46),HEX2DEC(I46),HEX2DEC(J46),HEX2DEC(K46))</f>
        <v>7906</v>
      </c>
    </row>
    <row r="47" customFormat="false" ht="12.8" hidden="false" customHeight="false" outlineLevel="0" collapsed="false">
      <c r="A47" s="176" t="s">
        <v>1187</v>
      </c>
      <c r="B47" s="177" t="s">
        <v>1532</v>
      </c>
      <c r="C47" s="177" t="s">
        <v>1533</v>
      </c>
      <c r="D47" s="177" t="s">
        <v>1534</v>
      </c>
      <c r="E47" s="177" t="s">
        <v>1535</v>
      </c>
      <c r="F47" s="177" t="s">
        <v>1536</v>
      </c>
      <c r="G47" s="177" t="s">
        <v>1537</v>
      </c>
      <c r="H47" s="177" t="s">
        <v>1538</v>
      </c>
      <c r="I47" s="177" t="s">
        <v>1539</v>
      </c>
      <c r="J47" s="177" t="s">
        <v>1540</v>
      </c>
      <c r="K47" s="177" t="s">
        <v>1541</v>
      </c>
      <c r="L47" s="177" t="inlineStr">
        <is>
          <t xml:space="preserve">ȍ</t>
        </is>
      </c>
      <c r="M47" s="177" t="inlineStr">
        <is>
          <t xml:space="preserve">ȏ</t>
        </is>
      </c>
      <c r="N47" s="177" t="inlineStr">
        <is>
          <t xml:space="preserve">ǫ</t>
        </is>
      </c>
      <c r="O47" s="177" t="inlineStr">
        <is>
          <t xml:space="preserve">ọ</t>
        </is>
      </c>
      <c r="P47" s="177" t="inlineStr">
        <is>
          <t xml:space="preserve">ơ</t>
        </is>
      </c>
      <c r="Q47" s="177" t="inlineStr">
        <is>
          <t xml:space="preserve">ǒ</t>
        </is>
      </c>
      <c r="R47" s="177" t="inlineStr">
        <is>
          <t xml:space="preserve">ǭ</t>
        </is>
      </c>
      <c r="S47" s="177" t="inlineStr">
        <is>
          <t xml:space="preserve">ȫ</t>
        </is>
      </c>
      <c r="T47" s="177" t="inlineStr">
        <is>
          <t xml:space="preserve">ȭ</t>
        </is>
      </c>
      <c r="U47" s="177" t="inlineStr">
        <is>
          <t xml:space="preserve">ȯ</t>
        </is>
      </c>
      <c r="V47" s="177" t="inlineStr">
        <is>
          <t xml:space="preserve">ȱ</t>
        </is>
      </c>
      <c r="W47" s="177" t="inlineStr">
        <is>
          <t xml:space="preserve">ṍ</t>
        </is>
      </c>
      <c r="X47" s="177" t="inlineStr">
        <is>
          <t xml:space="preserve">ṏ</t>
        </is>
      </c>
      <c r="Y47" s="177" t="inlineStr">
        <is>
          <t xml:space="preserve">ṑ</t>
        </is>
      </c>
      <c r="Z47" s="177" t="inlineStr">
        <is>
          <t xml:space="preserve">ṓ</t>
        </is>
      </c>
      <c r="AA47" s="177" t="inlineStr">
        <is>
          <t xml:space="preserve">ỏ</t>
        </is>
      </c>
      <c r="AB47" s="177" t="inlineStr">
        <is>
          <t xml:space="preserve">ố</t>
        </is>
      </c>
      <c r="AC47" s="177" t="inlineStr">
        <is>
          <t xml:space="preserve">ồ</t>
        </is>
      </c>
      <c r="AD47" s="177" t="inlineStr">
        <is>
          <t xml:space="preserve">ổ</t>
        </is>
      </c>
      <c r="AE47" s="177" t="inlineStr">
        <is>
          <t xml:space="preserve">ỗ</t>
        </is>
      </c>
      <c r="AF47" s="177" t="inlineStr">
        <is>
          <t xml:space="preserve">ộ</t>
        </is>
      </c>
      <c r="AG47" s="177" t="inlineStr">
        <is>
          <t xml:space="preserve">ớ</t>
        </is>
      </c>
      <c r="AH47" s="177" t="inlineStr">
        <is>
          <t xml:space="preserve">ờ</t>
        </is>
      </c>
      <c r="AI47" s="177" t="inlineStr">
        <is>
          <t xml:space="preserve">ở</t>
        </is>
      </c>
      <c r="AJ47" s="177" t="inlineStr">
        <is>
          <t xml:space="preserve">ỡ</t>
        </is>
      </c>
      <c r="AK47" s="177" t="inlineStr">
        <is>
          <t xml:space="preserve">ợ</t>
        </is>
      </c>
    </row>
    <row r="48" customFormat="false" ht="12.8" hidden="false" customHeight="false" outlineLevel="0" collapsed="false">
      <c r="B48" s="177" t="str">
        <f aca="false">DEC2HEX(_xlfn.UNICODE(B47))</f>
        <v>F2</v>
      </c>
      <c r="C48" s="177" t="str">
        <f aca="false">DEC2HEX(_xlfn.UNICODE(C47))</f>
        <v>F3</v>
      </c>
      <c r="D48" s="177" t="str">
        <f aca="false">DEC2HEX(_xlfn.UNICODE(D47))</f>
        <v>F4</v>
      </c>
      <c r="E48" s="177" t="str">
        <f aca="false">DEC2HEX(_xlfn.UNICODE(E47))</f>
        <v>F5</v>
      </c>
      <c r="F48" s="177" t="str">
        <f aca="false">DEC2HEX(_xlfn.UNICODE(F47))</f>
        <v>F6</v>
      </c>
      <c r="G48" s="177" t="str">
        <f aca="false">DEC2HEX(_xlfn.UNICODE(G47))</f>
        <v>14D</v>
      </c>
      <c r="H48" s="177" t="str">
        <f aca="false">DEC2HEX(_xlfn.UNICODE(H47))</f>
        <v>14F</v>
      </c>
      <c r="I48" s="177" t="str">
        <f aca="false">DEC2HEX(_xlfn.UNICODE(I47))</f>
        <v>151</v>
      </c>
      <c r="J48" s="177" t="str">
        <f aca="false">DEC2HEX(_xlfn.UNICODE(J47))</f>
        <v>153</v>
      </c>
      <c r="K48" s="177" t="str">
        <f aca="false">DEC2HEX(_xlfn.UNICODE(K47))</f>
        <v>F8</v>
      </c>
      <c r="L48" s="177" t="str">
        <f aca="false">DEC2HEX(_xlfn.UNICODE(L47))</f>
        <v>20D</v>
      </c>
      <c r="M48" s="177" t="str">
        <f aca="false">DEC2HEX(_xlfn.UNICODE(M47))</f>
        <v>20F</v>
      </c>
      <c r="N48" s="177" t="str">
        <f aca="false">DEC2HEX(_xlfn.UNICODE(N47))</f>
        <v>1EB</v>
      </c>
      <c r="O48" s="177" t="str">
        <f aca="false">DEC2HEX(_xlfn.UNICODE(O47))</f>
        <v>1ECD</v>
      </c>
      <c r="P48" s="177" t="str">
        <f aca="false">DEC2HEX(_xlfn.UNICODE(P47))</f>
        <v>1A1</v>
      </c>
      <c r="Q48" s="177" t="str">
        <f aca="false">DEC2HEX(_xlfn.UNICODE(Q47))</f>
        <v>1D2</v>
      </c>
      <c r="R48" s="177" t="str">
        <f aca="false">DEC2HEX(_xlfn.UNICODE(R47))</f>
        <v>1ED</v>
      </c>
      <c r="S48" s="177" t="str">
        <f aca="false">DEC2HEX(_xlfn.UNICODE(S47))</f>
        <v>22B</v>
      </c>
      <c r="T48" s="177" t="str">
        <f aca="false">DEC2HEX(_xlfn.UNICODE(T47))</f>
        <v>22D</v>
      </c>
      <c r="U48" s="177" t="str">
        <f aca="false">DEC2HEX(_xlfn.UNICODE(U47))</f>
        <v>22F</v>
      </c>
      <c r="V48" s="177" t="str">
        <f aca="false">DEC2HEX(_xlfn.UNICODE(V47))</f>
        <v>231</v>
      </c>
      <c r="W48" s="177" t="str">
        <f aca="false">DEC2HEX(_xlfn.UNICODE(W47))</f>
        <v>1E4D</v>
      </c>
      <c r="X48" s="177" t="str">
        <f aca="false">DEC2HEX(_xlfn.UNICODE(X47))</f>
        <v>1E4F</v>
      </c>
      <c r="Y48" s="177" t="str">
        <f aca="false">DEC2HEX(_xlfn.UNICODE(Y47))</f>
        <v>1E51</v>
      </c>
      <c r="Z48" s="177" t="str">
        <f aca="false">DEC2HEX(_xlfn.UNICODE(Z47))</f>
        <v>1E53</v>
      </c>
      <c r="AA48" s="177" t="str">
        <f aca="false">DEC2HEX(_xlfn.UNICODE(AA47))</f>
        <v>1ECF</v>
      </c>
      <c r="AB48" s="177" t="str">
        <f aca="false">DEC2HEX(_xlfn.UNICODE(AB47))</f>
        <v>1ED1</v>
      </c>
      <c r="AC48" s="177" t="str">
        <f aca="false">DEC2HEX(_xlfn.UNICODE(AC47))</f>
        <v>1ED3</v>
      </c>
      <c r="AD48" s="177" t="str">
        <f aca="false">DEC2HEX(_xlfn.UNICODE(AD47))</f>
        <v>1ED5</v>
      </c>
      <c r="AE48" s="177" t="str">
        <f aca="false">DEC2HEX(_xlfn.UNICODE(AE47))</f>
        <v>1ED7</v>
      </c>
      <c r="AF48" s="177" t="str">
        <f aca="false">DEC2HEX(_xlfn.UNICODE(AF47))</f>
        <v>1ED9</v>
      </c>
      <c r="AG48" s="177" t="str">
        <f aca="false">DEC2HEX(_xlfn.UNICODE(AG47))</f>
        <v>1EDB</v>
      </c>
      <c r="AH48" s="177" t="str">
        <f aca="false">DEC2HEX(_xlfn.UNICODE(AH47))</f>
        <v>1EDD</v>
      </c>
      <c r="AI48" s="177" t="str">
        <f aca="false">DEC2HEX(_xlfn.UNICODE(AI47))</f>
        <v>1EDF</v>
      </c>
      <c r="AJ48" s="177" t="str">
        <f aca="false">DEC2HEX(_xlfn.UNICODE(AJ47))</f>
        <v>1EE1</v>
      </c>
      <c r="AK48" s="177" t="str">
        <f aca="false">DEC2HEX(_xlfn.UNICODE(AK47))</f>
        <v>1EE3</v>
      </c>
      <c r="BN48" s="1" t="n">
        <f aca="false">MIN(HEX2DEC(B48),HEX2DEC(C48),HEX2DEC(D48),HEX2DEC(E48),HEX2DEC(F48),HEX2DEC(G48),HEX2DEC(H48),HEX2DEC(I48),HEX2DEC(J48),HEX2DEC(K48),HEX2DEC(L48),HEX2DEC(M48),HEX2DEC(N48),HEX2DEC(O48),HEX2DEC(P48),HEX2DEC(Q48),HEX2DEC(R48),HEX2DEC(S48),HEX2DEC(T48),HEX2DEC(U48),HEX2DEC(V48),HEX2DEC(W48),HEX2DEC(X48),HEX2DEC(Y48),HEX2DEC(Z48),HEX2DEC(AA48),HEX2DEC(AB48),HEX2DEC(AC48),HEX2DEC(AD48),HEX2DEC(AE48),HEX2DEC(AF48),HEX2DEC(AG48),HEX2DEC(AH48),HEX2DEC(AI48),HEX2DEC(AJ48),HEX2DEC(AK48))</f>
        <v>242</v>
      </c>
      <c r="BO48" s="1" t="n">
        <f aca="false">MAX(HEX2DEC(B48),HEX2DEC(C48),HEX2DEC(D48),HEX2DEC(E48),HEX2DEC(F48),HEX2DEC(G48),HEX2DEC(H48),HEX2DEC(I48),HEX2DEC(J48),HEX2DEC(K48))</f>
        <v>7907</v>
      </c>
    </row>
    <row r="49" customFormat="false" ht="12.8" hidden="false" customHeight="false" outlineLevel="0" collapsed="false">
      <c r="A49" s="176" t="s">
        <v>1202</v>
      </c>
      <c r="B49" s="177" t="s">
        <v>1542</v>
      </c>
      <c r="C49" s="177" t="s">
        <v>1543</v>
      </c>
      <c r="D49" s="177" t="s">
        <v>1544</v>
      </c>
      <c r="E49" s="177" t="inlineStr">
        <is>
          <t xml:space="preserve">Ȑ</t>
        </is>
      </c>
      <c r="F49" s="177" t="inlineStr">
        <is>
          <t xml:space="preserve">Ȓ</t>
        </is>
      </c>
      <c r="G49" s="177" t="inlineStr">
        <is>
          <t xml:space="preserve">Ṙ</t>
        </is>
      </c>
      <c r="H49" s="177" t="inlineStr">
        <is>
          <t xml:space="preserve">Ṛ</t>
        </is>
      </c>
      <c r="I49" s="177" t="inlineStr">
        <is>
          <t xml:space="preserve">Ṝ</t>
        </is>
      </c>
      <c r="J49" s="177" t="inlineStr">
        <is>
          <t xml:space="preserve">Ṟ</t>
        </is>
      </c>
    </row>
    <row r="50" customFormat="false" ht="12.8" hidden="false" customHeight="false" outlineLevel="0" collapsed="false">
      <c r="B50" s="177" t="str">
        <f aca="false">DEC2HEX(_xlfn.UNICODE(B49))</f>
        <v>154</v>
      </c>
      <c r="C50" s="177" t="str">
        <f aca="false">DEC2HEX(_xlfn.UNICODE(C49))</f>
        <v>156</v>
      </c>
      <c r="D50" s="177" t="str">
        <f aca="false">DEC2HEX(_xlfn.UNICODE(D49))</f>
        <v>158</v>
      </c>
      <c r="E50" s="177" t="str">
        <f aca="false">DEC2HEX(_xlfn.UNICODE(E49))</f>
        <v>210</v>
      </c>
      <c r="F50" s="177" t="str">
        <f aca="false">DEC2HEX(_xlfn.UNICODE(F49))</f>
        <v>212</v>
      </c>
      <c r="G50" s="177" t="str">
        <f aca="false">DEC2HEX(_xlfn.UNICODE(G49))</f>
        <v>1E58</v>
      </c>
      <c r="H50" s="177" t="str">
        <f aca="false">DEC2HEX(_xlfn.UNICODE(H49))</f>
        <v>1E5A</v>
      </c>
      <c r="I50" s="177" t="str">
        <f aca="false">DEC2HEX(_xlfn.UNICODE(I49))</f>
        <v>1E5C</v>
      </c>
      <c r="J50" s="177" t="str">
        <f aca="false">DEC2HEX(_xlfn.UNICODE(J49))</f>
        <v>1E5E</v>
      </c>
      <c r="BN50" s="1" t="n">
        <f aca="false">MIN(HEX2DEC(B50),HEX2DEC(C50),HEX2DEC(D50),HEX2DEC(E50),HEX2DEC(F50),HEX2DEC(G50),HEX2DEC(H50),HEX2DEC(I50),HEX2DEC(J50))</f>
        <v>340</v>
      </c>
      <c r="BO50" s="1" t="n">
        <f aca="false">MAX(HEX2DEC(B50),HEX2DEC(C50),HEX2DEC(D50),HEX2DEC(E50),HEX2DEC(F50),HEX2DEC(G50),HEX2DEC(H50),HEX2DEC(I50),HEX2DEC(J50),HEX2DEC(K50))</f>
        <v>7774</v>
      </c>
    </row>
    <row r="51" customFormat="false" ht="12.8" hidden="false" customHeight="false" outlineLevel="0" collapsed="false">
      <c r="A51" s="176" t="s">
        <v>1201</v>
      </c>
      <c r="B51" s="177" t="s">
        <v>1545</v>
      </c>
      <c r="C51" s="177" t="s">
        <v>1546</v>
      </c>
      <c r="D51" s="177" t="s">
        <v>1547</v>
      </c>
      <c r="E51" s="177" t="inlineStr">
        <is>
          <t xml:space="preserve">ȑ</t>
        </is>
      </c>
      <c r="F51" s="177" t="inlineStr">
        <is>
          <t xml:space="preserve">ȓ</t>
        </is>
      </c>
      <c r="G51" s="177" t="inlineStr">
        <is>
          <t xml:space="preserve">ṙ</t>
        </is>
      </c>
      <c r="H51" s="177" t="inlineStr">
        <is>
          <t xml:space="preserve">ṛ</t>
        </is>
      </c>
      <c r="I51" s="177" t="inlineStr">
        <is>
          <t xml:space="preserve">ṝ</t>
        </is>
      </c>
      <c r="J51" s="177" t="inlineStr">
        <is>
          <t xml:space="preserve">ṟ</t>
        </is>
      </c>
    </row>
    <row r="52" customFormat="false" ht="12.8" hidden="false" customHeight="false" outlineLevel="0" collapsed="false">
      <c r="B52" s="177" t="str">
        <f aca="false">DEC2HEX(_xlfn.UNICODE(B51))</f>
        <v>155</v>
      </c>
      <c r="C52" s="177" t="str">
        <f aca="false">DEC2HEX(_xlfn.UNICODE(C51))</f>
        <v>157</v>
      </c>
      <c r="D52" s="177" t="str">
        <f aca="false">DEC2HEX(_xlfn.UNICODE(D51))</f>
        <v>159</v>
      </c>
      <c r="E52" s="177" t="str">
        <f aca="false">DEC2HEX(_xlfn.UNICODE(E51))</f>
        <v>211</v>
      </c>
      <c r="F52" s="177" t="str">
        <f aca="false">DEC2HEX(_xlfn.UNICODE(F51))</f>
        <v>213</v>
      </c>
      <c r="G52" s="177" t="str">
        <f aca="false">DEC2HEX(_xlfn.UNICODE(G51))</f>
        <v>1E59</v>
      </c>
      <c r="H52" s="177" t="str">
        <f aca="false">DEC2HEX(_xlfn.UNICODE(H51))</f>
        <v>1E5B</v>
      </c>
      <c r="I52" s="177" t="str">
        <f aca="false">DEC2HEX(_xlfn.UNICODE(I51))</f>
        <v>1E5D</v>
      </c>
      <c r="J52" s="177" t="str">
        <f aca="false">DEC2HEX(_xlfn.UNICODE(J51))</f>
        <v>1E5F</v>
      </c>
      <c r="BN52" s="1" t="n">
        <f aca="false">MIN(HEX2DEC(B52),HEX2DEC(C52),HEX2DEC(D52),HEX2DEC(E52),HEX2DEC(F52),HEX2DEC(G52),HEX2DEC(H52),HEX2DEC(I52),HEX2DEC(J52))</f>
        <v>341</v>
      </c>
      <c r="BO52" s="1" t="n">
        <f aca="false">MAX(HEX2DEC(B52),HEX2DEC(C52),HEX2DEC(D52),HEX2DEC(E52),HEX2DEC(F52),HEX2DEC(G52),HEX2DEC(H52),HEX2DEC(I52),HEX2DEC(J52),HEX2DEC(K52))</f>
        <v>7775</v>
      </c>
    </row>
    <row r="53" customFormat="false" ht="12.8" hidden="false" customHeight="false" outlineLevel="0" collapsed="false">
      <c r="A53" s="176" t="s">
        <v>1206</v>
      </c>
      <c r="B53" s="177" t="s">
        <v>1548</v>
      </c>
      <c r="C53" s="177" t="s">
        <v>1549</v>
      </c>
      <c r="D53" s="177" t="s">
        <v>1550</v>
      </c>
      <c r="E53" s="177" t="s">
        <v>1551</v>
      </c>
      <c r="F53" s="177" t="s">
        <v>1552</v>
      </c>
      <c r="G53" s="177" t="inlineStr">
        <is>
          <t xml:space="preserve">Ș</t>
        </is>
      </c>
      <c r="H53" s="177" t="inlineStr">
        <is>
          <t xml:space="preserve">Ṣ</t>
        </is>
      </c>
      <c r="I53" s="177" t="inlineStr">
        <is>
          <t xml:space="preserve">Ṡ</t>
        </is>
      </c>
      <c r="J53" s="177" t="inlineStr">
        <is>
          <t xml:space="preserve">Ṥ</t>
        </is>
      </c>
      <c r="K53" s="177" t="inlineStr">
        <is>
          <t xml:space="preserve">Ṧ</t>
        </is>
      </c>
      <c r="L53" s="177" t="inlineStr">
        <is>
          <t xml:space="preserve">Ṩ</t>
        </is>
      </c>
    </row>
    <row r="54" customFormat="false" ht="12.8" hidden="false" customHeight="false" outlineLevel="0" collapsed="false">
      <c r="B54" s="178" t="str">
        <f aca="false">DEC2HEX(_xlfn.UNICODE(B53))</f>
        <v>1E9E</v>
      </c>
      <c r="C54" s="177" t="str">
        <f aca="false">DEC2HEX(_xlfn.UNICODE(C53))</f>
        <v>15A</v>
      </c>
      <c r="D54" s="177" t="str">
        <f aca="false">DEC2HEX(_xlfn.UNICODE(D53))</f>
        <v>15C</v>
      </c>
      <c r="E54" s="177" t="str">
        <f aca="false">DEC2HEX(_xlfn.UNICODE(E53))</f>
        <v>15E</v>
      </c>
      <c r="F54" s="177" t="str">
        <f aca="false">DEC2HEX(_xlfn.UNICODE(F53))</f>
        <v>160</v>
      </c>
      <c r="G54" s="177" t="str">
        <f aca="false">DEC2HEX(_xlfn.UNICODE(G53))</f>
        <v>218</v>
      </c>
      <c r="H54" s="177" t="str">
        <f aca="false">DEC2HEX(_xlfn.UNICODE(H53))</f>
        <v>1E62</v>
      </c>
      <c r="I54" s="177" t="str">
        <f aca="false">DEC2HEX(_xlfn.UNICODE(I53))</f>
        <v>1E60</v>
      </c>
      <c r="J54" s="177" t="str">
        <f aca="false">DEC2HEX(_xlfn.UNICODE(J53))</f>
        <v>1E64</v>
      </c>
      <c r="K54" s="177" t="str">
        <f aca="false">DEC2HEX(_xlfn.UNICODE(K53))</f>
        <v>1E66</v>
      </c>
      <c r="L54" s="177" t="str">
        <f aca="false">DEC2HEX(_xlfn.UNICODE(L53))</f>
        <v>1E68</v>
      </c>
      <c r="BN54" s="1" t="n">
        <f aca="false">MIN(HEX2DEC(B54),HEX2DEC(C54),HEX2DEC(D54),HEX2DEC(E54),HEX2DEC(F54),HEX2DEC(G54),HEX2DEC(H54),HEX2DEC(I54),HEX2DEC(J54),HEX2DEC(K54),HEX2DEC(L54))</f>
        <v>346</v>
      </c>
      <c r="BO54" s="1" t="n">
        <f aca="false">MAX(HEX2DEC(C54),HEX2DEC(D54),HEX2DEC(E54),HEX2DEC(F54),HEX2DEC(G54),HEX2DEC(H54),HEX2DEC(I54),HEX2DEC(J54),HEX2DEC(K54))</f>
        <v>7784</v>
      </c>
    </row>
    <row r="55" customFormat="false" ht="12.8" hidden="false" customHeight="false" outlineLevel="0" collapsed="false">
      <c r="A55" s="176" t="s">
        <v>1205</v>
      </c>
      <c r="B55" s="177" t="s">
        <v>1553</v>
      </c>
      <c r="C55" s="177" t="s">
        <v>1554</v>
      </c>
      <c r="D55" s="177" t="s">
        <v>1555</v>
      </c>
      <c r="E55" s="177" t="s">
        <v>1556</v>
      </c>
      <c r="F55" s="177" t="s">
        <v>1557</v>
      </c>
      <c r="G55" s="177" t="inlineStr">
        <is>
          <t xml:space="preserve">ș</t>
        </is>
      </c>
      <c r="H55" s="177" t="inlineStr">
        <is>
          <t xml:space="preserve">ṣ</t>
        </is>
      </c>
      <c r="I55" s="177" t="inlineStr">
        <is>
          <t xml:space="preserve">ṡ</t>
        </is>
      </c>
      <c r="J55" s="177" t="inlineStr">
        <is>
          <t xml:space="preserve">ṥ</t>
        </is>
      </c>
      <c r="K55" s="177" t="inlineStr">
        <is>
          <t xml:space="preserve">ṧ</t>
        </is>
      </c>
      <c r="L55" s="177" t="inlineStr">
        <is>
          <t xml:space="preserve">ṩ</t>
        </is>
      </c>
    </row>
    <row r="56" customFormat="false" ht="12.8" hidden="false" customHeight="false" outlineLevel="0" collapsed="false">
      <c r="B56" s="177" t="str">
        <f aca="false">DEC2HEX(_xlfn.UNICODE(B55))</f>
        <v>DF</v>
      </c>
      <c r="C56" s="177" t="str">
        <f aca="false">DEC2HEX(_xlfn.UNICODE(C55))</f>
        <v>15B</v>
      </c>
      <c r="D56" s="177" t="str">
        <f aca="false">DEC2HEX(_xlfn.UNICODE(D55))</f>
        <v>15D</v>
      </c>
      <c r="E56" s="177" t="str">
        <f aca="false">DEC2HEX(_xlfn.UNICODE(E55))</f>
        <v>15F</v>
      </c>
      <c r="F56" s="177" t="str">
        <f aca="false">DEC2HEX(_xlfn.UNICODE(F55))</f>
        <v>161</v>
      </c>
      <c r="G56" s="177" t="str">
        <f aca="false">DEC2HEX(_xlfn.UNICODE(G55))</f>
        <v>219</v>
      </c>
      <c r="H56" s="177" t="str">
        <f aca="false">DEC2HEX(_xlfn.UNICODE(H55))</f>
        <v>1E63</v>
      </c>
      <c r="I56" s="177" t="str">
        <f aca="false">DEC2HEX(_xlfn.UNICODE(I55))</f>
        <v>1E61</v>
      </c>
      <c r="J56" s="177" t="str">
        <f aca="false">DEC2HEX(_xlfn.UNICODE(J55))</f>
        <v>1E65</v>
      </c>
      <c r="K56" s="177" t="str">
        <f aca="false">DEC2HEX(_xlfn.UNICODE(K55))</f>
        <v>1E67</v>
      </c>
      <c r="L56" s="177" t="str">
        <f aca="false">DEC2HEX(_xlfn.UNICODE(L55))</f>
        <v>1E69</v>
      </c>
      <c r="BN56" s="1" t="n">
        <f aca="false">MIN(HEX2DEC(B56),HEX2DEC(C56),HEX2DEC(D56),HEX2DEC(E56),HEX2DEC(F56),HEX2DEC(G56),HEX2DEC(H56),HEX2DEC(I56),HEX2DEC(J56),HEX2DEC(K56),HEX2DEC(L56))</f>
        <v>223</v>
      </c>
      <c r="BO56" s="1" t="n">
        <f aca="false">MAX(HEX2DEC(B56),HEX2DEC(C56),HEX2DEC(D56),HEX2DEC(E56),HEX2DEC(F56),HEX2DEC(G56),HEX2DEC(H56),HEX2DEC(I56),HEX2DEC(J56),HEX2DEC(K56))</f>
        <v>7785</v>
      </c>
    </row>
    <row r="57" customFormat="false" ht="12.8" hidden="false" customHeight="false" outlineLevel="0" collapsed="false">
      <c r="A57" s="176" t="s">
        <v>943</v>
      </c>
      <c r="B57" s="177" t="s">
        <v>1558</v>
      </c>
      <c r="C57" s="177" t="s">
        <v>1559</v>
      </c>
      <c r="D57" s="177" t="s">
        <v>1560</v>
      </c>
      <c r="E57" s="177" t="s">
        <v>1561</v>
      </c>
      <c r="F57" s="177" t="inlineStr">
        <is>
          <t xml:space="preserve">Ț</t>
        </is>
      </c>
      <c r="G57" s="177" t="inlineStr">
        <is>
          <t xml:space="preserve">Ṫ</t>
        </is>
      </c>
      <c r="H57" s="177" t="inlineStr">
        <is>
          <t xml:space="preserve">Ƭ</t>
        </is>
      </c>
      <c r="I57" s="177" t="inlineStr">
        <is>
          <t xml:space="preserve">Ʈ</t>
        </is>
      </c>
      <c r="J57" s="177" t="inlineStr">
        <is>
          <t xml:space="preserve">Ṭ</t>
        </is>
      </c>
      <c r="K57" s="177" t="inlineStr">
        <is>
          <t xml:space="preserve">Ṯ</t>
        </is>
      </c>
      <c r="L57" s="177" t="inlineStr">
        <is>
          <t xml:space="preserve">Ṱ</t>
        </is>
      </c>
    </row>
    <row r="58" customFormat="false" ht="12.8" hidden="false" customHeight="false" outlineLevel="0" collapsed="false">
      <c r="B58" s="177" t="str">
        <f aca="false">DEC2HEX(_xlfn.UNICODE(B57))</f>
        <v>DE</v>
      </c>
      <c r="C58" s="177" t="str">
        <f aca="false">DEC2HEX(_xlfn.UNICODE(C57))</f>
        <v>162</v>
      </c>
      <c r="D58" s="177" t="str">
        <f aca="false">DEC2HEX(_xlfn.UNICODE(D57))</f>
        <v>164</v>
      </c>
      <c r="E58" s="177" t="str">
        <f aca="false">DEC2HEX(_xlfn.UNICODE(E57))</f>
        <v>166</v>
      </c>
      <c r="F58" s="177" t="str">
        <f aca="false">DEC2HEX(_xlfn.UNICODE(F57))</f>
        <v>21A</v>
      </c>
      <c r="G58" s="177" t="str">
        <f aca="false">DEC2HEX(_xlfn.UNICODE(G57))</f>
        <v>1E6A</v>
      </c>
      <c r="H58" s="177" t="str">
        <f aca="false">DEC2HEX(_xlfn.UNICODE(H57))</f>
        <v>1AC</v>
      </c>
      <c r="I58" s="177" t="str">
        <f aca="false">DEC2HEX(_xlfn.UNICODE(I57))</f>
        <v>1AE</v>
      </c>
      <c r="J58" s="177" t="str">
        <f aca="false">DEC2HEX(_xlfn.UNICODE(J57))</f>
        <v>1E6C</v>
      </c>
      <c r="K58" s="177" t="str">
        <f aca="false">DEC2HEX(_xlfn.UNICODE(K57))</f>
        <v>1E6E</v>
      </c>
      <c r="L58" s="177" t="str">
        <f aca="false">DEC2HEX(_xlfn.UNICODE(L57))</f>
        <v>1E70</v>
      </c>
      <c r="BN58" s="1" t="n">
        <f aca="false">MIN(HEX2DEC(B58),HEX2DEC(C58),HEX2DEC(D58),HEX2DEC(E58),HEX2DEC(F58),HEX2DEC(G58),HEX2DEC(H58),HEX2DEC(I58),HEX2DEC(J58),HEX2DEC(K58),HEX2DEC(L58))</f>
        <v>222</v>
      </c>
      <c r="BO58" s="1" t="n">
        <f aca="false">MAX(HEX2DEC(B58),HEX2DEC(C58),HEX2DEC(D58),HEX2DEC(E58),HEX2DEC(F58),HEX2DEC(G58),HEX2DEC(H58),HEX2DEC(I58),HEX2DEC(J58),HEX2DEC(K58))</f>
        <v>7792</v>
      </c>
    </row>
    <row r="59" customFormat="false" ht="12.8" hidden="false" customHeight="false" outlineLevel="0" collapsed="false">
      <c r="A59" s="176" t="s">
        <v>1209</v>
      </c>
      <c r="B59" s="177" t="s">
        <v>1562</v>
      </c>
      <c r="C59" s="177" t="s">
        <v>1563</v>
      </c>
      <c r="D59" s="177" t="s">
        <v>1564</v>
      </c>
      <c r="E59" s="177" t="s">
        <v>1565</v>
      </c>
      <c r="F59" s="177" t="inlineStr">
        <is>
          <t xml:space="preserve">ț</t>
        </is>
      </c>
      <c r="G59" s="177" t="inlineStr">
        <is>
          <t xml:space="preserve">ṫ</t>
        </is>
      </c>
      <c r="H59" s="177" t="inlineStr">
        <is>
          <t xml:space="preserve">ƭ</t>
        </is>
      </c>
      <c r="I59" s="177" t="inlineStr">
        <is>
          <t xml:space="preserve">ʈ</t>
        </is>
      </c>
      <c r="J59" s="177" t="inlineStr">
        <is>
          <t xml:space="preserve">ṭ</t>
        </is>
      </c>
      <c r="K59" s="177" t="inlineStr">
        <is>
          <t xml:space="preserve">ṯ</t>
        </is>
      </c>
      <c r="L59" s="177" t="inlineStr">
        <is>
          <t xml:space="preserve">ṱ</t>
        </is>
      </c>
      <c r="M59" s="177" t="inlineStr">
        <is>
          <t xml:space="preserve">ẗ</t>
        </is>
      </c>
    </row>
    <row r="60" customFormat="false" ht="12.8" hidden="false" customHeight="false" outlineLevel="0" collapsed="false">
      <c r="B60" s="177" t="str">
        <f aca="false">DEC2HEX(_xlfn.UNICODE(B59))</f>
        <v>FE</v>
      </c>
      <c r="C60" s="177" t="str">
        <f aca="false">DEC2HEX(_xlfn.UNICODE(C59))</f>
        <v>163</v>
      </c>
      <c r="D60" s="177" t="str">
        <f aca="false">DEC2HEX(_xlfn.UNICODE(D59))</f>
        <v>165</v>
      </c>
      <c r="E60" s="177" t="str">
        <f aca="false">DEC2HEX(_xlfn.UNICODE(E59))</f>
        <v>167</v>
      </c>
      <c r="F60" s="177" t="str">
        <f aca="false">DEC2HEX(_xlfn.UNICODE(F59))</f>
        <v>21B</v>
      </c>
      <c r="G60" s="177" t="str">
        <f aca="false">DEC2HEX(_xlfn.UNICODE(G59))</f>
        <v>1E6B</v>
      </c>
      <c r="H60" s="177" t="str">
        <f aca="false">DEC2HEX(_xlfn.UNICODE(H59))</f>
        <v>1AD</v>
      </c>
      <c r="I60" s="177" t="str">
        <f aca="false">DEC2HEX(_xlfn.UNICODE(I59))</f>
        <v>288</v>
      </c>
      <c r="J60" s="177" t="str">
        <f aca="false">DEC2HEX(_xlfn.UNICODE(J59))</f>
        <v>1E6D</v>
      </c>
      <c r="K60" s="177" t="str">
        <f aca="false">DEC2HEX(_xlfn.UNICODE(K59))</f>
        <v>1E6F</v>
      </c>
      <c r="L60" s="177" t="str">
        <f aca="false">DEC2HEX(_xlfn.UNICODE(L59))</f>
        <v>1E71</v>
      </c>
      <c r="M60" s="177" t="str">
        <f aca="false">DEC2HEX(_xlfn.UNICODE(M59))</f>
        <v>1E97</v>
      </c>
      <c r="BN60" s="1" t="n">
        <f aca="false">MIN(HEX2DEC(B60),HEX2DEC(C60),HEX2DEC(D60),HEX2DEC(E60),HEX2DEC(F60),HEX2DEC(G60),HEX2DEC(H60),HEX2DEC(I60),HEX2DEC(J60),HEX2DEC(K60),HEX2DEC(L60),HEX2DEC(M60))</f>
        <v>254</v>
      </c>
      <c r="BO60" s="1" t="n">
        <f aca="false">MAX(HEX2DEC(B60),HEX2DEC(C60),HEX2DEC(D60),HEX2DEC(E60),HEX2DEC(F60),HEX2DEC(G60),HEX2DEC(H60),HEX2DEC(I60),HEX2DEC(J60),HEX2DEC(K60))</f>
        <v>7831</v>
      </c>
    </row>
    <row r="61" customFormat="false" ht="12.8" hidden="false" customHeight="false" outlineLevel="0" collapsed="false">
      <c r="A61" s="176" t="s">
        <v>1212</v>
      </c>
      <c r="B61" s="177" t="s">
        <v>1566</v>
      </c>
      <c r="C61" s="177" t="s">
        <v>1567</v>
      </c>
      <c r="D61" s="177" t="s">
        <v>1568</v>
      </c>
      <c r="E61" s="177" t="s">
        <v>1569</v>
      </c>
      <c r="F61" s="177" t="s">
        <v>1570</v>
      </c>
      <c r="G61" s="177" t="s">
        <v>1571</v>
      </c>
      <c r="H61" s="177" t="s">
        <v>1572</v>
      </c>
      <c r="I61" s="177" t="s">
        <v>1573</v>
      </c>
      <c r="J61" s="177" t="s">
        <v>1574</v>
      </c>
      <c r="K61" s="177" t="s">
        <v>1575</v>
      </c>
      <c r="L61" s="177" t="inlineStr">
        <is>
          <t xml:space="preserve">Ȕ</t>
        </is>
      </c>
      <c r="M61" s="177" t="inlineStr">
        <is>
          <t xml:space="preserve">Ȗ</t>
        </is>
      </c>
      <c r="N61" s="177" t="inlineStr">
        <is>
          <t xml:space="preserve">Ư</t>
        </is>
      </c>
      <c r="O61" s="177" t="inlineStr">
        <is>
          <t xml:space="preserve">Ǔ</t>
        </is>
      </c>
      <c r="P61" s="177" t="inlineStr">
        <is>
          <t xml:space="preserve">Ǖ</t>
        </is>
      </c>
      <c r="Q61" s="177" t="inlineStr">
        <is>
          <t xml:space="preserve">Ǘ</t>
        </is>
      </c>
      <c r="R61" s="177" t="inlineStr">
        <is>
          <t xml:space="preserve">Ǚ</t>
        </is>
      </c>
      <c r="S61" s="177" t="inlineStr">
        <is>
          <t xml:space="preserve">Ǜ</t>
        </is>
      </c>
      <c r="T61" s="177" t="inlineStr">
        <is>
          <t xml:space="preserve">Ṳ</t>
        </is>
      </c>
      <c r="U61" s="177" t="inlineStr">
        <is>
          <t xml:space="preserve">Ṵ</t>
        </is>
      </c>
      <c r="V61" s="177" t="inlineStr">
        <is>
          <t xml:space="preserve">Ṷ</t>
        </is>
      </c>
      <c r="W61" s="177" t="inlineStr">
        <is>
          <t xml:space="preserve">Ṹ</t>
        </is>
      </c>
      <c r="X61" s="177" t="inlineStr">
        <is>
          <t xml:space="preserve">Ṻ</t>
        </is>
      </c>
      <c r="Y61" s="177" t="inlineStr">
        <is>
          <t xml:space="preserve">Ụ</t>
        </is>
      </c>
      <c r="Z61" s="177" t="inlineStr">
        <is>
          <t xml:space="preserve">Ủ</t>
        </is>
      </c>
      <c r="AA61" s="177" t="inlineStr">
        <is>
          <t xml:space="preserve">Ứ</t>
        </is>
      </c>
      <c r="AB61" s="177" t="inlineStr">
        <is>
          <t xml:space="preserve">Ừ</t>
        </is>
      </c>
      <c r="AC61" s="177" t="inlineStr">
        <is>
          <t xml:space="preserve">Ử</t>
        </is>
      </c>
      <c r="AD61" s="177" t="inlineStr">
        <is>
          <t xml:space="preserve">Ữ</t>
        </is>
      </c>
      <c r="AE61" s="177" t="inlineStr">
        <is>
          <t xml:space="preserve">Ự</t>
        </is>
      </c>
    </row>
    <row r="62" customFormat="false" ht="12.8" hidden="false" customHeight="false" outlineLevel="0" collapsed="false">
      <c r="B62" s="177" t="str">
        <f aca="false">DEC2HEX(_xlfn.UNICODE(B61))</f>
        <v>D9</v>
      </c>
      <c r="C62" s="177" t="str">
        <f aca="false">DEC2HEX(_xlfn.UNICODE(C61))</f>
        <v>DA</v>
      </c>
      <c r="D62" s="177" t="str">
        <f aca="false">DEC2HEX(_xlfn.UNICODE(D61))</f>
        <v>DB</v>
      </c>
      <c r="E62" s="177" t="str">
        <f aca="false">DEC2HEX(_xlfn.UNICODE(E61))</f>
        <v>DC</v>
      </c>
      <c r="F62" s="177" t="str">
        <f aca="false">DEC2HEX(_xlfn.UNICODE(F61))</f>
        <v>168</v>
      </c>
      <c r="G62" s="177" t="str">
        <f aca="false">DEC2HEX(_xlfn.UNICODE(G61))</f>
        <v>16A</v>
      </c>
      <c r="H62" s="177" t="str">
        <f aca="false">DEC2HEX(_xlfn.UNICODE(H61))</f>
        <v>16C</v>
      </c>
      <c r="I62" s="177" t="str">
        <f aca="false">DEC2HEX(_xlfn.UNICODE(I61))</f>
        <v>16E</v>
      </c>
      <c r="J62" s="177" t="str">
        <f aca="false">DEC2HEX(_xlfn.UNICODE(J61))</f>
        <v>170</v>
      </c>
      <c r="K62" s="177" t="str">
        <f aca="false">DEC2HEX(_xlfn.UNICODE(K61))</f>
        <v>172</v>
      </c>
      <c r="L62" s="177" t="str">
        <f aca="false">DEC2HEX(_xlfn.UNICODE(L61))</f>
        <v>214</v>
      </c>
      <c r="M62" s="177" t="str">
        <f aca="false">DEC2HEX(_xlfn.UNICODE(M61))</f>
        <v>216</v>
      </c>
      <c r="N62" s="177" t="str">
        <f aca="false">DEC2HEX(_xlfn.UNICODE(N61))</f>
        <v>1AF</v>
      </c>
      <c r="O62" s="177" t="str">
        <f aca="false">DEC2HEX(_xlfn.UNICODE(O61))</f>
        <v>1D3</v>
      </c>
      <c r="P62" s="177" t="str">
        <f aca="false">DEC2HEX(_xlfn.UNICODE(P61))</f>
        <v>1D5</v>
      </c>
      <c r="Q62" s="177" t="str">
        <f aca="false">DEC2HEX(_xlfn.UNICODE(Q61))</f>
        <v>1D7</v>
      </c>
      <c r="R62" s="177" t="str">
        <f aca="false">DEC2HEX(_xlfn.UNICODE(R61))</f>
        <v>1D9</v>
      </c>
      <c r="S62" s="177" t="str">
        <f aca="false">DEC2HEX(_xlfn.UNICODE(S61))</f>
        <v>1DB</v>
      </c>
      <c r="T62" s="177" t="str">
        <f aca="false">DEC2HEX(_xlfn.UNICODE(T61))</f>
        <v>1E72</v>
      </c>
      <c r="U62" s="177" t="str">
        <f aca="false">DEC2HEX(_xlfn.UNICODE(U61))</f>
        <v>1E74</v>
      </c>
      <c r="V62" s="177" t="str">
        <f aca="false">DEC2HEX(_xlfn.UNICODE(V61))</f>
        <v>1E76</v>
      </c>
      <c r="W62" s="177" t="str">
        <f aca="false">DEC2HEX(_xlfn.UNICODE(W61))</f>
        <v>1E78</v>
      </c>
      <c r="X62" s="177" t="str">
        <f aca="false">DEC2HEX(_xlfn.UNICODE(X61))</f>
        <v>1E7A</v>
      </c>
      <c r="Y62" s="177" t="str">
        <f aca="false">DEC2HEX(_xlfn.UNICODE(Y61))</f>
        <v>1EE4</v>
      </c>
      <c r="Z62" s="177" t="str">
        <f aca="false">DEC2HEX(_xlfn.UNICODE(Z61))</f>
        <v>1EE6</v>
      </c>
      <c r="AA62" s="177" t="str">
        <f aca="false">DEC2HEX(_xlfn.UNICODE(AA61))</f>
        <v>1EE8</v>
      </c>
      <c r="AB62" s="177" t="str">
        <f aca="false">DEC2HEX(_xlfn.UNICODE(AB61))</f>
        <v>1EEA</v>
      </c>
      <c r="AC62" s="177" t="str">
        <f aca="false">DEC2HEX(_xlfn.UNICODE(AC61))</f>
        <v>1EEC</v>
      </c>
      <c r="AD62" s="177" t="str">
        <f aca="false">DEC2HEX(_xlfn.UNICODE(AD61))</f>
        <v>1EEE</v>
      </c>
      <c r="AE62" s="177" t="str">
        <f aca="false">DEC2HEX(_xlfn.UNICODE(AE61))</f>
        <v>1EF0</v>
      </c>
      <c r="BN62" s="1" t="n">
        <f aca="false">MIN(HEX2DEC(B62),HEX2DEC(C62),HEX2DEC(D62),HEX2DEC(E62),HEX2DEC(F62),HEX2DEC(G62),HEX2DEC(H62),HEX2DEC(I62),HEX2DEC(J62),HEX2DEC(K62),HEX2DEC(L62),HEX2DEC(M62),HEX2DEC(N62),HEX2DEC(O62),HEX2DEC(P62),HEX2DEC(Q62),HEX2DEC(R62),HEX2DEC(S62),HEX2DEC(T62),HEX2DEC(U62),HEX2DEC(V62),HEX2DEC(W62),HEX2DEC(X62),HEX2DEC(Y62),HEX2DEC(Z62),HEX2DEC(AA62),HEX2DEC(AB62),HEX2DEC(AC62),HEX2DEC(AD62),HEX2DEC(AE62))</f>
        <v>217</v>
      </c>
      <c r="BO62" s="1" t="n">
        <f aca="false">MAX(HEX2DEC(B62),HEX2DEC(C62),HEX2DEC(D62),HEX2DEC(E62),HEX2DEC(F62),HEX2DEC(G62),HEX2DEC(H62),HEX2DEC(I62),HEX2DEC(J62),HEX2DEC(K62))</f>
        <v>7920</v>
      </c>
    </row>
    <row r="63" customFormat="false" ht="12.8" hidden="false" customHeight="false" outlineLevel="0" collapsed="false">
      <c r="A63" s="176" t="s">
        <v>1211</v>
      </c>
      <c r="B63" s="177" t="s">
        <v>1576</v>
      </c>
      <c r="C63" s="177" t="s">
        <v>1577</v>
      </c>
      <c r="D63" s="177" t="s">
        <v>1578</v>
      </c>
      <c r="E63" s="177" t="s">
        <v>1579</v>
      </c>
      <c r="F63" s="177" t="s">
        <v>1580</v>
      </c>
      <c r="G63" s="177" t="s">
        <v>1581</v>
      </c>
      <c r="H63" s="177" t="s">
        <v>1582</v>
      </c>
      <c r="I63" s="177" t="s">
        <v>1583</v>
      </c>
      <c r="J63" s="177" t="s">
        <v>1584</v>
      </c>
      <c r="K63" s="177" t="s">
        <v>1585</v>
      </c>
      <c r="L63" s="177" t="inlineStr">
        <is>
          <t xml:space="preserve">ȕ</t>
        </is>
      </c>
      <c r="M63" s="177" t="inlineStr">
        <is>
          <t xml:space="preserve">ȗ</t>
        </is>
      </c>
      <c r="N63" s="177" t="inlineStr">
        <is>
          <t xml:space="preserve">ư</t>
        </is>
      </c>
      <c r="O63" s="177" t="inlineStr">
        <is>
          <t xml:space="preserve">ǔ</t>
        </is>
      </c>
      <c r="P63" s="177" t="inlineStr">
        <is>
          <t xml:space="preserve">ǖ</t>
        </is>
      </c>
      <c r="Q63" s="177" t="inlineStr">
        <is>
          <t xml:space="preserve">ǘ</t>
        </is>
      </c>
      <c r="R63" s="177" t="inlineStr">
        <is>
          <t xml:space="preserve">ǚ</t>
        </is>
      </c>
      <c r="S63" s="177" t="inlineStr">
        <is>
          <t xml:space="preserve">ǜ</t>
        </is>
      </c>
      <c r="T63" s="177" t="inlineStr">
        <is>
          <t xml:space="preserve">ṳ</t>
        </is>
      </c>
      <c r="U63" s="177" t="inlineStr">
        <is>
          <t xml:space="preserve">ṵ</t>
        </is>
      </c>
      <c r="V63" s="177" t="inlineStr">
        <is>
          <t xml:space="preserve">ṷ</t>
        </is>
      </c>
      <c r="W63" s="177" t="inlineStr">
        <is>
          <t xml:space="preserve">ṹ</t>
        </is>
      </c>
      <c r="X63" s="177" t="inlineStr">
        <is>
          <t xml:space="preserve">ṻ</t>
        </is>
      </c>
      <c r="Y63" s="177" t="inlineStr">
        <is>
          <t xml:space="preserve">ụ</t>
        </is>
      </c>
      <c r="Z63" s="177" t="inlineStr">
        <is>
          <t xml:space="preserve">ủ</t>
        </is>
      </c>
      <c r="AA63" s="177" t="inlineStr">
        <is>
          <t xml:space="preserve">ứ</t>
        </is>
      </c>
      <c r="AB63" s="177" t="inlineStr">
        <is>
          <t xml:space="preserve">ừ</t>
        </is>
      </c>
      <c r="AC63" s="177" t="inlineStr">
        <is>
          <t xml:space="preserve">ử</t>
        </is>
      </c>
      <c r="AD63" s="177" t="inlineStr">
        <is>
          <t xml:space="preserve">ữ</t>
        </is>
      </c>
      <c r="AE63" s="177" t="inlineStr">
        <is>
          <t xml:space="preserve">ự</t>
        </is>
      </c>
    </row>
    <row r="64" customFormat="false" ht="12.8" hidden="false" customHeight="false" outlineLevel="0" collapsed="false">
      <c r="B64" s="177" t="str">
        <f aca="false">DEC2HEX(_xlfn.UNICODE(B63))</f>
        <v>F9</v>
      </c>
      <c r="C64" s="177" t="str">
        <f aca="false">DEC2HEX(_xlfn.UNICODE(C63))</f>
        <v>FA</v>
      </c>
      <c r="D64" s="177" t="str">
        <f aca="false">DEC2HEX(_xlfn.UNICODE(D63))</f>
        <v>FB</v>
      </c>
      <c r="E64" s="177" t="str">
        <f aca="false">DEC2HEX(_xlfn.UNICODE(E63))</f>
        <v>FC</v>
      </c>
      <c r="F64" s="177" t="str">
        <f aca="false">DEC2HEX(_xlfn.UNICODE(F63))</f>
        <v>169</v>
      </c>
      <c r="G64" s="177" t="str">
        <f aca="false">DEC2HEX(_xlfn.UNICODE(G63))</f>
        <v>16B</v>
      </c>
      <c r="H64" s="177" t="str">
        <f aca="false">DEC2HEX(_xlfn.UNICODE(H63))</f>
        <v>16D</v>
      </c>
      <c r="I64" s="177" t="str">
        <f aca="false">DEC2HEX(_xlfn.UNICODE(I63))</f>
        <v>16F</v>
      </c>
      <c r="J64" s="177" t="str">
        <f aca="false">DEC2HEX(_xlfn.UNICODE(J63))</f>
        <v>171</v>
      </c>
      <c r="K64" s="177" t="str">
        <f aca="false">DEC2HEX(_xlfn.UNICODE(K63))</f>
        <v>173</v>
      </c>
      <c r="L64" s="177" t="str">
        <f aca="false">DEC2HEX(_xlfn.UNICODE(L63))</f>
        <v>215</v>
      </c>
      <c r="M64" s="177" t="str">
        <f aca="false">DEC2HEX(_xlfn.UNICODE(M63))</f>
        <v>217</v>
      </c>
      <c r="N64" s="177" t="str">
        <f aca="false">DEC2HEX(_xlfn.UNICODE(N63))</f>
        <v>1B0</v>
      </c>
      <c r="O64" s="177" t="str">
        <f aca="false">DEC2HEX(_xlfn.UNICODE(O63))</f>
        <v>1D4</v>
      </c>
      <c r="P64" s="177" t="str">
        <f aca="false">DEC2HEX(_xlfn.UNICODE(P63))</f>
        <v>1D6</v>
      </c>
      <c r="Q64" s="177" t="str">
        <f aca="false">DEC2HEX(_xlfn.UNICODE(Q63))</f>
        <v>1D8</v>
      </c>
      <c r="R64" s="177" t="str">
        <f aca="false">DEC2HEX(_xlfn.UNICODE(R63))</f>
        <v>1DA</v>
      </c>
      <c r="S64" s="177" t="str">
        <f aca="false">DEC2HEX(_xlfn.UNICODE(S63))</f>
        <v>1DC</v>
      </c>
      <c r="T64" s="177" t="str">
        <f aca="false">DEC2HEX(_xlfn.UNICODE(T63))</f>
        <v>1E73</v>
      </c>
      <c r="U64" s="177" t="str">
        <f aca="false">DEC2HEX(_xlfn.UNICODE(U63))</f>
        <v>1E75</v>
      </c>
      <c r="V64" s="177" t="str">
        <f aca="false">DEC2HEX(_xlfn.UNICODE(V63))</f>
        <v>1E77</v>
      </c>
      <c r="W64" s="177" t="str">
        <f aca="false">DEC2HEX(_xlfn.UNICODE(W63))</f>
        <v>1E79</v>
      </c>
      <c r="X64" s="177" t="str">
        <f aca="false">DEC2HEX(_xlfn.UNICODE(X63))</f>
        <v>1E7B</v>
      </c>
      <c r="Y64" s="177" t="str">
        <f aca="false">DEC2HEX(_xlfn.UNICODE(Y63))</f>
        <v>1EE5</v>
      </c>
      <c r="Z64" s="177" t="str">
        <f aca="false">DEC2HEX(_xlfn.UNICODE(Z63))</f>
        <v>1EE7</v>
      </c>
      <c r="AA64" s="177" t="str">
        <f aca="false">DEC2HEX(_xlfn.UNICODE(AA63))</f>
        <v>1EE9</v>
      </c>
      <c r="AB64" s="177" t="str">
        <f aca="false">DEC2HEX(_xlfn.UNICODE(AB63))</f>
        <v>1EEB</v>
      </c>
      <c r="AC64" s="177" t="str">
        <f aca="false">DEC2HEX(_xlfn.UNICODE(AC63))</f>
        <v>1EED</v>
      </c>
      <c r="AD64" s="177" t="str">
        <f aca="false">DEC2HEX(_xlfn.UNICODE(AD63))</f>
        <v>1EEF</v>
      </c>
      <c r="AE64" s="177" t="str">
        <f aca="false">DEC2HEX(_xlfn.UNICODE(AE63))</f>
        <v>1EF1</v>
      </c>
      <c r="BN64" s="1" t="n">
        <f aca="false">MIN(HEX2DEC(B64),HEX2DEC(C64),HEX2DEC(D64),HEX2DEC(E64),HEX2DEC(F64),HEX2DEC(G64),HEX2DEC(H64),HEX2DEC(I64),HEX2DEC(J64),HEX2DEC(K64),HEX2DEC(L64),HEX2DEC(M64),HEX2DEC(N64),HEX2DEC(O64),HEX2DEC(P64),HEX2DEC(Q64),HEX2DEC(R64),HEX2DEC(S64),HEX2DEC(T64),HEX2DEC(U64),HEX2DEC(V64),HEX2DEC(W64),HEX2DEC(X64),HEX2DEC(Y64),HEX2DEC(Z64),HEX2DEC(AA64),HEX2DEC(AB64),HEX2DEC(AC64),HEX2DEC(AD64),HEX2DEC(AE64))</f>
        <v>249</v>
      </c>
      <c r="BO64" s="1" t="n">
        <f aca="false">MAX(HEX2DEC(B64),HEX2DEC(C64),HEX2DEC(D64),HEX2DEC(E64),HEX2DEC(F64),HEX2DEC(G64),HEX2DEC(H64),HEX2DEC(I64),HEX2DEC(J64),HEX2DEC(K64))</f>
        <v>7921</v>
      </c>
    </row>
    <row r="65" customFormat="false" ht="12.8" hidden="false" customHeight="false" outlineLevel="0" collapsed="false">
      <c r="A65" s="176" t="s">
        <v>1218</v>
      </c>
      <c r="B65" s="177" t="s">
        <v>1586</v>
      </c>
      <c r="C65" s="177" t="inlineStr">
        <is>
          <t xml:space="preserve">Ẁ</t>
        </is>
      </c>
      <c r="D65" s="177" t="inlineStr">
        <is>
          <t xml:space="preserve">Ẃ</t>
        </is>
      </c>
      <c r="E65" s="177" t="inlineStr">
        <is>
          <t xml:space="preserve">Ẅ</t>
        </is>
      </c>
      <c r="F65" s="177" t="inlineStr">
        <is>
          <t xml:space="preserve">Ẇ</t>
        </is>
      </c>
      <c r="G65" s="177" t="inlineStr">
        <is>
          <t xml:space="preserve">Ẉ</t>
        </is>
      </c>
    </row>
    <row r="66" customFormat="false" ht="12.8" hidden="false" customHeight="false" outlineLevel="0" collapsed="false">
      <c r="B66" s="177" t="str">
        <f aca="false">DEC2HEX(_xlfn.UNICODE(B65))</f>
        <v>174</v>
      </c>
      <c r="C66" s="177" t="str">
        <f aca="false">DEC2HEX(_xlfn.UNICODE(C65))</f>
        <v>1E80</v>
      </c>
      <c r="D66" s="177" t="str">
        <f aca="false">DEC2HEX(_xlfn.UNICODE(D65))</f>
        <v>1E82</v>
      </c>
      <c r="E66" s="177" t="str">
        <f aca="false">DEC2HEX(_xlfn.UNICODE(E65))</f>
        <v>1E84</v>
      </c>
      <c r="F66" s="177" t="str">
        <f aca="false">DEC2HEX(_xlfn.UNICODE(F65))</f>
        <v>1E86</v>
      </c>
      <c r="G66" s="177" t="str">
        <f aca="false">DEC2HEX(_xlfn.UNICODE(G65))</f>
        <v>1E88</v>
      </c>
      <c r="BN66" s="1" t="n">
        <f aca="false">MIN(HEX2DEC(B66),HEX2DEC(C66),HEX2DEC(D66),HEX2DEC(E66),HEX2DEC(F66),HEX2DEC(G66))</f>
        <v>372</v>
      </c>
      <c r="BO66" s="1" t="n">
        <f aca="false">MAX(HEX2DEC(B66),HEX2DEC(C66),HEX2DEC(D66),HEX2DEC(E66),HEX2DEC(F66),HEX2DEC(G66),HEX2DEC(H66),HEX2DEC(I66),HEX2DEC(J66),HEX2DEC(K66))</f>
        <v>7816</v>
      </c>
    </row>
    <row r="67" customFormat="false" ht="12.8" hidden="false" customHeight="false" outlineLevel="0" collapsed="false">
      <c r="A67" s="176" t="s">
        <v>1217</v>
      </c>
      <c r="B67" s="177" t="s">
        <v>1587</v>
      </c>
      <c r="C67" s="177" t="inlineStr">
        <is>
          <t xml:space="preserve">ẁ</t>
        </is>
      </c>
      <c r="D67" s="177" t="inlineStr">
        <is>
          <t xml:space="preserve">ẃ</t>
        </is>
      </c>
      <c r="E67" s="177" t="inlineStr">
        <is>
          <t xml:space="preserve">ẅ</t>
        </is>
      </c>
      <c r="F67" s="177" t="inlineStr">
        <is>
          <t xml:space="preserve">ẇ</t>
        </is>
      </c>
      <c r="G67" s="177" t="inlineStr">
        <is>
          <t xml:space="preserve">ẉ</t>
        </is>
      </c>
      <c r="H67" s="177" t="inlineStr">
        <is>
          <t xml:space="preserve">ẘ</t>
        </is>
      </c>
    </row>
    <row r="68" customFormat="false" ht="12.8" hidden="false" customHeight="false" outlineLevel="0" collapsed="false">
      <c r="B68" s="177" t="str">
        <f aca="false">DEC2HEX(_xlfn.UNICODE(B67))</f>
        <v>175</v>
      </c>
      <c r="C68" s="177" t="str">
        <f aca="false">DEC2HEX(_xlfn.UNICODE(C67))</f>
        <v>1E81</v>
      </c>
      <c r="D68" s="177" t="str">
        <f aca="false">DEC2HEX(_xlfn.UNICODE(D67))</f>
        <v>1E83</v>
      </c>
      <c r="E68" s="177" t="str">
        <f aca="false">DEC2HEX(_xlfn.UNICODE(E67))</f>
        <v>1E85</v>
      </c>
      <c r="F68" s="177" t="str">
        <f aca="false">DEC2HEX(_xlfn.UNICODE(F67))</f>
        <v>1E87</v>
      </c>
      <c r="G68" s="177" t="str">
        <f aca="false">DEC2HEX(_xlfn.UNICODE(G67))</f>
        <v>1E89</v>
      </c>
      <c r="H68" s="177" t="str">
        <f aca="false">DEC2HEX(_xlfn.UNICODE(H67))</f>
        <v>1E98</v>
      </c>
      <c r="BN68" s="1" t="n">
        <f aca="false">MIN(HEX2DEC(B68),HEX2DEC(C68),HEX2DEC(D68),HEX2DEC(E68),HEX2DEC(F68),HEX2DEC(G68),HEX2DEC(H68))</f>
        <v>373</v>
      </c>
      <c r="BO68" s="1" t="n">
        <f aca="false">MAX(HEX2DEC(B68),HEX2DEC(C68),HEX2DEC(D68),HEX2DEC(E68),HEX2DEC(F68),HEX2DEC(G68),HEX2DEC(H68),HEX2DEC(I68),HEX2DEC(J68),HEX2DEC(K68))</f>
        <v>7832</v>
      </c>
    </row>
    <row r="69" customFormat="false" ht="12.8" hidden="false" customHeight="false" outlineLevel="0" collapsed="false">
      <c r="A69" s="176" t="s">
        <v>1231</v>
      </c>
      <c r="B69" s="177" t="s">
        <v>1588</v>
      </c>
      <c r="C69" s="177" t="s">
        <v>1589</v>
      </c>
      <c r="D69" s="177" t="s">
        <v>1590</v>
      </c>
      <c r="E69" s="177" t="inlineStr">
        <is>
          <t xml:space="preserve">Ỳ</t>
        </is>
      </c>
      <c r="F69" s="177" t="inlineStr">
        <is>
          <t xml:space="preserve">Ỹ</t>
        </is>
      </c>
      <c r="G69" s="177" t="inlineStr">
        <is>
          <t xml:space="preserve">Ȳ</t>
        </is>
      </c>
      <c r="H69" s="177" t="inlineStr">
        <is>
          <t xml:space="preserve">Ƴ</t>
        </is>
      </c>
      <c r="I69" s="177" t="inlineStr">
        <is>
          <t xml:space="preserve">Ẏ</t>
        </is>
      </c>
      <c r="J69" s="177" t="inlineStr">
        <is>
          <t xml:space="preserve">Ỵ</t>
        </is>
      </c>
      <c r="K69" s="177" t="inlineStr">
        <is>
          <t xml:space="preserve">Ỷ</t>
        </is>
      </c>
    </row>
    <row r="70" customFormat="false" ht="12.8" hidden="false" customHeight="false" outlineLevel="0" collapsed="false">
      <c r="B70" s="177" t="str">
        <f aca="false">DEC2HEX(_xlfn.UNICODE(B69))</f>
        <v>DD</v>
      </c>
      <c r="C70" s="177" t="str">
        <f aca="false">DEC2HEX(_xlfn.UNICODE(C69))</f>
        <v>176</v>
      </c>
      <c r="D70" s="177" t="str">
        <f aca="false">DEC2HEX(_xlfn.UNICODE(D69))</f>
        <v>178</v>
      </c>
      <c r="E70" s="177" t="str">
        <f aca="false">DEC2HEX(_xlfn.UNICODE(E69))</f>
        <v>1EF2</v>
      </c>
      <c r="F70" s="177" t="str">
        <f aca="false">DEC2HEX(_xlfn.UNICODE(F69))</f>
        <v>1EF8</v>
      </c>
      <c r="G70" s="177" t="str">
        <f aca="false">DEC2HEX(_xlfn.UNICODE(G69))</f>
        <v>232</v>
      </c>
      <c r="H70" s="177" t="str">
        <f aca="false">DEC2HEX(_xlfn.UNICODE(H69))</f>
        <v>1B3</v>
      </c>
      <c r="I70" s="177" t="str">
        <f aca="false">DEC2HEX(_xlfn.UNICODE(I69))</f>
        <v>1E8E</v>
      </c>
      <c r="J70" s="177" t="str">
        <f aca="false">DEC2HEX(_xlfn.UNICODE(J69))</f>
        <v>1EF4</v>
      </c>
      <c r="K70" s="177" t="str">
        <f aca="false">DEC2HEX(_xlfn.UNICODE(K69))</f>
        <v>1EF6</v>
      </c>
      <c r="BN70" s="1" t="n">
        <f aca="false">MIN(HEX2DEC(B70),HEX2DEC(C70),HEX2DEC(D70),HEX2DEC(E70),HEX2DEC(F70),HEX2DEC(G70),HEX2DEC(H70),HEX2DEC(I70),HEX2DEC(J70),HEX2DEC(K70))</f>
        <v>221</v>
      </c>
      <c r="BO70" s="1" t="n">
        <f aca="false">MAX(HEX2DEC(B70),HEX2DEC(C70),HEX2DEC(D70),HEX2DEC(E70),HEX2DEC(F70),HEX2DEC(G70),HEX2DEC(H70),HEX2DEC(I70),HEX2DEC(J70),HEX2DEC(K70))</f>
        <v>7928</v>
      </c>
    </row>
    <row r="71" customFormat="false" ht="12.8" hidden="false" customHeight="false" outlineLevel="0" collapsed="false">
      <c r="A71" s="176" t="s">
        <v>1230</v>
      </c>
      <c r="B71" s="177" t="s">
        <v>1591</v>
      </c>
      <c r="C71" s="177" t="s">
        <v>1592</v>
      </c>
      <c r="D71" s="177" t="s">
        <v>1593</v>
      </c>
      <c r="E71" s="177" t="inlineStr">
        <is>
          <t xml:space="preserve">ỳ</t>
        </is>
      </c>
      <c r="F71" s="177" t="inlineStr">
        <is>
          <t xml:space="preserve">ỹ</t>
        </is>
      </c>
      <c r="G71" s="177" t="inlineStr">
        <is>
          <t xml:space="preserve">ȳ</t>
        </is>
      </c>
      <c r="H71" s="177" t="inlineStr">
        <is>
          <t xml:space="preserve">ƴ</t>
        </is>
      </c>
      <c r="I71" s="177" t="inlineStr">
        <is>
          <t xml:space="preserve">ẏ</t>
        </is>
      </c>
      <c r="J71" s="177" t="inlineStr">
        <is>
          <t xml:space="preserve">ỵ</t>
        </is>
      </c>
      <c r="K71" s="177" t="inlineStr">
        <is>
          <t xml:space="preserve">ỷ</t>
        </is>
      </c>
      <c r="L71" s="177" t="inlineStr">
        <is>
          <t xml:space="preserve">ẙ</t>
        </is>
      </c>
    </row>
    <row r="72" customFormat="false" ht="12.8" hidden="false" customHeight="false" outlineLevel="0" collapsed="false">
      <c r="B72" s="177" t="str">
        <f aca="false">DEC2HEX(_xlfn.UNICODE(B71))</f>
        <v>FD</v>
      </c>
      <c r="C72" s="177" t="str">
        <f aca="false">DEC2HEX(_xlfn.UNICODE(C71))</f>
        <v>177</v>
      </c>
      <c r="D72" s="177" t="str">
        <f aca="false">DEC2HEX(_xlfn.UNICODE(D71))</f>
        <v>FF</v>
      </c>
      <c r="E72" s="177" t="str">
        <f aca="false">DEC2HEX(_xlfn.UNICODE(E71))</f>
        <v>1EF3</v>
      </c>
      <c r="F72" s="177" t="str">
        <f aca="false">DEC2HEX(_xlfn.UNICODE(F71))</f>
        <v>1EF9</v>
      </c>
      <c r="G72" s="177" t="str">
        <f aca="false">DEC2HEX(_xlfn.UNICODE(G71))</f>
        <v>233</v>
      </c>
      <c r="H72" s="177" t="str">
        <f aca="false">DEC2HEX(_xlfn.UNICODE(H71))</f>
        <v>1B4</v>
      </c>
      <c r="I72" s="177" t="str">
        <f aca="false">DEC2HEX(_xlfn.UNICODE(I71))</f>
        <v>1E8F</v>
      </c>
      <c r="J72" s="177" t="str">
        <f aca="false">DEC2HEX(_xlfn.UNICODE(J71))</f>
        <v>1EF5</v>
      </c>
      <c r="K72" s="177" t="str">
        <f aca="false">DEC2HEX(_xlfn.UNICODE(K71))</f>
        <v>1EF7</v>
      </c>
      <c r="L72" s="177" t="str">
        <f aca="false">DEC2HEX(_xlfn.UNICODE(L71))</f>
        <v>1E99</v>
      </c>
      <c r="BN72" s="1" t="n">
        <f aca="false">MIN(HEX2DEC(B72),HEX2DEC(C72),HEX2DEC(D72),HEX2DEC(E72),HEX2DEC(F72),HEX2DEC(G72),HEX2DEC(H72),HEX2DEC(I72),HEX2DEC(J72),HEX2DEC(K72),HEX2DEC(L72))</f>
        <v>253</v>
      </c>
      <c r="BO72" s="1" t="n">
        <f aca="false">MAX(HEX2DEC(B72),HEX2DEC(C72),HEX2DEC(D72),HEX2DEC(E72),HEX2DEC(F72),HEX2DEC(G72),HEX2DEC(H72),HEX2DEC(I72),HEX2DEC(J72),HEX2DEC(K72))</f>
        <v>7929</v>
      </c>
    </row>
    <row r="73" customFormat="false" ht="12.8" hidden="false" customHeight="false" outlineLevel="0" collapsed="false">
      <c r="A73" s="176" t="s">
        <v>1220</v>
      </c>
      <c r="B73" s="177" t="s">
        <v>1594</v>
      </c>
      <c r="C73" s="177" t="s">
        <v>1595</v>
      </c>
      <c r="D73" s="177" t="s">
        <v>1596</v>
      </c>
      <c r="E73" s="177" t="inlineStr">
        <is>
          <t xml:space="preserve">Ƶ</t>
        </is>
      </c>
      <c r="F73" s="177" t="inlineStr">
        <is>
          <t xml:space="preserve">Ẑ</t>
        </is>
      </c>
      <c r="G73" s="177" t="inlineStr">
        <is>
          <t xml:space="preserve">Ẓ</t>
        </is>
      </c>
      <c r="H73" s="177" t="inlineStr">
        <is>
          <t xml:space="preserve">Ẕ</t>
        </is>
      </c>
    </row>
    <row r="74" customFormat="false" ht="12.8" hidden="false" customHeight="false" outlineLevel="0" collapsed="false">
      <c r="B74" s="177" t="str">
        <f aca="false">DEC2HEX(_xlfn.UNICODE(B73))</f>
        <v>179</v>
      </c>
      <c r="C74" s="177" t="str">
        <f aca="false">DEC2HEX(_xlfn.UNICODE(C73))</f>
        <v>17B</v>
      </c>
      <c r="D74" s="177" t="str">
        <f aca="false">DEC2HEX(_xlfn.UNICODE(D73))</f>
        <v>17D</v>
      </c>
      <c r="E74" s="177" t="str">
        <f aca="false">DEC2HEX(_xlfn.UNICODE(E73))</f>
        <v>1B5</v>
      </c>
      <c r="F74" s="177" t="str">
        <f aca="false">DEC2HEX(_xlfn.UNICODE(F73))</f>
        <v>1E90</v>
      </c>
      <c r="G74" s="177" t="str">
        <f aca="false">DEC2HEX(_xlfn.UNICODE(G73))</f>
        <v>1E92</v>
      </c>
      <c r="H74" s="177" t="str">
        <f aca="false">DEC2HEX(_xlfn.UNICODE(H73))</f>
        <v>1E94</v>
      </c>
      <c r="BN74" s="1" t="n">
        <f aca="false">MIN(HEX2DEC(B74),HEX2DEC(C74),HEX2DEC(D74),HEX2DEC(E74),HEX2DEC(F74),HEX2DEC(G74),HEX2DEC(H74))</f>
        <v>377</v>
      </c>
      <c r="BO74" s="1" t="n">
        <f aca="false">MAX(HEX2DEC(B74),HEX2DEC(C74),HEX2DEC(D74),HEX2DEC(E74),HEX2DEC(F74),HEX2DEC(G74),HEX2DEC(H74),HEX2DEC(I74),HEX2DEC(J74),HEX2DEC(K74))</f>
        <v>7828</v>
      </c>
    </row>
    <row r="75" customFormat="false" ht="12.8" hidden="false" customHeight="false" outlineLevel="0" collapsed="false">
      <c r="A75" s="176" t="s">
        <v>1219</v>
      </c>
      <c r="B75" s="177" t="s">
        <v>1597</v>
      </c>
      <c r="C75" s="177" t="s">
        <v>1598</v>
      </c>
      <c r="D75" s="177" t="s">
        <v>1599</v>
      </c>
      <c r="E75" s="177" t="inlineStr">
        <is>
          <t xml:space="preserve">ƶ</t>
        </is>
      </c>
      <c r="F75" s="177" t="inlineStr">
        <is>
          <t xml:space="preserve">ẑ</t>
        </is>
      </c>
      <c r="G75" s="177" t="inlineStr">
        <is>
          <t xml:space="preserve">ẓ</t>
        </is>
      </c>
      <c r="H75" s="177" t="inlineStr">
        <is>
          <t xml:space="preserve">ẕ</t>
        </is>
      </c>
    </row>
    <row r="76" customFormat="false" ht="12.8" hidden="false" customHeight="false" outlineLevel="0" collapsed="false">
      <c r="B76" s="177" t="str">
        <f aca="false">DEC2HEX(_xlfn.UNICODE(B75))</f>
        <v>17A</v>
      </c>
      <c r="C76" s="177" t="str">
        <f aca="false">DEC2HEX(_xlfn.UNICODE(C75))</f>
        <v>17C</v>
      </c>
      <c r="D76" s="177" t="str">
        <f aca="false">DEC2HEX(_xlfn.UNICODE(D75))</f>
        <v>17E</v>
      </c>
      <c r="E76" s="177" t="str">
        <f aca="false">DEC2HEX(_xlfn.UNICODE(E75))</f>
        <v>1B6</v>
      </c>
      <c r="F76" s="177" t="str">
        <f aca="false">DEC2HEX(_xlfn.UNICODE(F75))</f>
        <v>1E91</v>
      </c>
      <c r="G76" s="177" t="str">
        <f aca="false">DEC2HEX(_xlfn.UNICODE(G75))</f>
        <v>1E93</v>
      </c>
      <c r="H76" s="177" t="str">
        <f aca="false">DEC2HEX(_xlfn.UNICODE(H75))</f>
        <v>1E95</v>
      </c>
      <c r="BN76" s="1" t="n">
        <f aca="false">MIN(HEX2DEC(B76),HEX2DEC(C76),HEX2DEC(D76),HEX2DEC(E76),HEX2DEC(F76),HEX2DEC(G76),HEX2DEC(H76))</f>
        <v>378</v>
      </c>
      <c r="BO76" s="1" t="n">
        <f aca="false">MAX(HEX2DEC(B76),HEX2DEC(C76),HEX2DEC(D76),HEX2DEC(E76),HEX2DEC(F76),HEX2DEC(G76),HEX2DEC(H76),HEX2DEC(I76),HEX2DEC(J76),HEX2DEC(K76))</f>
        <v>7829</v>
      </c>
    </row>
    <row r="107" customFormat="false" ht="12.8" hidden="false" customHeight="false" outlineLevel="0" collapsed="false">
      <c r="BN107" s="1" t="n">
        <f aca="false">MIN(BN2:BN76)</f>
        <v>192</v>
      </c>
      <c r="BO107" s="1" t="n">
        <f aca="false">MAX(BO2:BO76)</f>
        <v>382</v>
      </c>
    </row>
    <row r="108" customFormat="false" ht="12.8" hidden="false" customHeight="false" outlineLevel="0" collapsed="false">
      <c r="Q108" s="178" t="str">
        <f aca="false">DEC2HEX(_xlfn.UNICODE(B53))</f>
        <v>1E9E</v>
      </c>
      <c r="BN108" s="1" t="str">
        <f aca="false">DEC2HEX(BN107)</f>
        <v>C0</v>
      </c>
      <c r="BO108" s="1" t="str">
        <f aca="false">DEC2HEX(BO107)</f>
        <v>17E</v>
      </c>
    </row>
    <row r="77" customFormat="false" ht="12.8" hidden="false" customHeight="false" outlineLevel="0" collapsed="false">
      <c r="A77" s="176" t="inlineStr">
        <is>
          <t xml:space="preserve">B</t>
        </is>
      </c>
      <c r="B77" s="176" t="inlineStr">
        <is>
          <t xml:space="preserve">Ḃ</t>
        </is>
      </c>
      <c r="C77" s="176" t="inlineStr">
        <is>
          <t xml:space="preserve">Ɓ</t>
        </is>
      </c>
      <c r="D77" s="176" t="inlineStr">
        <is>
          <t xml:space="preserve">Ƃ</t>
        </is>
      </c>
      <c r="E77" s="176" t="inlineStr">
        <is>
          <t xml:space="preserve">Ḅ</t>
        </is>
      </c>
      <c r="F77" s="176" t="inlineStr">
        <is>
          <t xml:space="preserve">Ḇ</t>
        </is>
      </c>
    </row>
    <row r="78" customFormat="false" ht="12.8" hidden="false" customHeight="false" outlineLevel="0" collapsed="false">
      <c r="B78" t="str">
        <f aca="false">DEC2HEX(_xlfn.UNICODE(B77))</f>
        <v>1E02</v>
      </c>
      <c r="C78" t="str">
        <f aca="false">DEC2HEX(_xlfn.UNICODE(C77))</f>
        <v>181</v>
      </c>
      <c r="D78" t="str">
        <f aca="false">DEC2HEX(_xlfn.UNICODE(D77))</f>
        <v>182</v>
      </c>
      <c r="E78" t="str">
        <f aca="false">DEC2HEX(_xlfn.UNICODE(E77))</f>
        <v>1E04</v>
      </c>
      <c r="F78" t="str">
        <f aca="false">DEC2HEX(_xlfn.UNICODE(F77))</f>
        <v>1E06</v>
      </c>
    </row>
    <row r="79" customFormat="false" ht="12.8" hidden="false" customHeight="false" outlineLevel="0" collapsed="false">
      <c r="A79" s="176" t="inlineStr">
        <is>
          <t xml:space="preserve">b</t>
        </is>
      </c>
      <c r="B79" s="176" t="inlineStr">
        <is>
          <t xml:space="preserve">ḃ</t>
        </is>
      </c>
      <c r="C79" s="176" t="inlineStr">
        <is>
          <t xml:space="preserve">ɓ</t>
        </is>
      </c>
      <c r="D79" s="176" t="inlineStr">
        <is>
          <t xml:space="preserve">ƃ</t>
        </is>
      </c>
      <c r="E79" s="176" t="inlineStr">
        <is>
          <t xml:space="preserve">ḅ</t>
        </is>
      </c>
      <c r="F79" s="176" t="inlineStr">
        <is>
          <t xml:space="preserve">ḇ</t>
        </is>
      </c>
    </row>
    <row r="80" customFormat="false" ht="12.8" hidden="false" customHeight="false" outlineLevel="0" collapsed="false">
      <c r="B80" t="str">
        <f aca="false">DEC2HEX(_xlfn.UNICODE(B79))</f>
        <v>1E03</v>
      </c>
      <c r="C80" t="str">
        <f aca="false">DEC2HEX(_xlfn.UNICODE(C79))</f>
        <v>253</v>
      </c>
      <c r="D80" t="str">
        <f aca="false">DEC2HEX(_xlfn.UNICODE(D79))</f>
        <v>183</v>
      </c>
      <c r="E80" t="str">
        <f aca="false">DEC2HEX(_xlfn.UNICODE(E79))</f>
        <v>1E05</v>
      </c>
      <c r="F80" t="str">
        <f aca="false">DEC2HEX(_xlfn.UNICODE(F79))</f>
        <v>1E07</v>
      </c>
    </row>
    <row r="81" customFormat="false" ht="12.8" hidden="false" customHeight="false" outlineLevel="0" collapsed="false">
      <c r="A81" s="176" t="inlineStr">
        <is>
          <t xml:space="preserve">F</t>
        </is>
      </c>
      <c r="B81" s="176" t="inlineStr">
        <is>
          <t xml:space="preserve">Ḟ</t>
        </is>
      </c>
      <c r="C81" s="176" t="inlineStr">
        <is>
          <t xml:space="preserve">Ƒ</t>
        </is>
      </c>
    </row>
    <row r="82" customFormat="false" ht="12.8" hidden="false" customHeight="false" outlineLevel="0" collapsed="false">
      <c r="B82" t="str">
        <f aca="false">DEC2HEX(_xlfn.UNICODE(B81))</f>
        <v>1E1E</v>
      </c>
      <c r="C82" t="str">
        <f aca="false">DEC2HEX(_xlfn.UNICODE(C81))</f>
        <v>191</v>
      </c>
    </row>
    <row r="83" customFormat="false" ht="12.8" hidden="false" customHeight="false" outlineLevel="0" collapsed="false">
      <c r="A83" s="176" t="inlineStr">
        <is>
          <t xml:space="preserve">f</t>
        </is>
      </c>
      <c r="B83" s="176" t="inlineStr">
        <is>
          <t xml:space="preserve">ḟ</t>
        </is>
      </c>
      <c r="C83" s="176" t="inlineStr">
        <is>
          <t xml:space="preserve">ƒ</t>
        </is>
      </c>
    </row>
    <row r="84" customFormat="false" ht="12.8" hidden="false" customHeight="false" outlineLevel="0" collapsed="false">
      <c r="B84" t="str">
        <f aca="false">DEC2HEX(_xlfn.UNICODE(B83))</f>
        <v>1E1F</v>
      </c>
      <c r="C84" t="str">
        <f aca="false">DEC2HEX(_xlfn.UNICODE(C83))</f>
        <v>192</v>
      </c>
    </row>
    <row r="85" customFormat="false" ht="12.8" hidden="false" customHeight="false" outlineLevel="0" collapsed="false">
      <c r="A85" s="176" t="inlineStr">
        <is>
          <t xml:space="preserve">M</t>
        </is>
      </c>
      <c r="B85" s="176" t="inlineStr">
        <is>
          <t xml:space="preserve">Ṁ</t>
        </is>
      </c>
      <c r="C85" s="176" t="inlineStr">
        <is>
          <t xml:space="preserve">Ḿ</t>
        </is>
      </c>
      <c r="D85" s="176" t="inlineStr">
        <is>
          <t xml:space="preserve">Ṃ</t>
        </is>
      </c>
    </row>
    <row r="86" customFormat="false" ht="12.8" hidden="false" customHeight="false" outlineLevel="0" collapsed="false">
      <c r="B86" t="str">
        <f aca="false">DEC2HEX(_xlfn.UNICODE(B85))</f>
        <v>1E40</v>
      </c>
      <c r="C86" t="str">
        <f aca="false">DEC2HEX(_xlfn.UNICODE(C85))</f>
        <v>1E3E</v>
      </c>
      <c r="D86" t="str">
        <f aca="false">DEC2HEX(_xlfn.UNICODE(D85))</f>
        <v>1E42</v>
      </c>
    </row>
    <row r="87" customFormat="false" ht="12.8" hidden="false" customHeight="false" outlineLevel="0" collapsed="false">
      <c r="A87" s="176" t="inlineStr">
        <is>
          <t xml:space="preserve">m</t>
        </is>
      </c>
      <c r="B87" s="176" t="inlineStr">
        <is>
          <t xml:space="preserve">ṁ</t>
        </is>
      </c>
      <c r="C87" s="176" t="inlineStr">
        <is>
          <t xml:space="preserve">ḿ</t>
        </is>
      </c>
      <c r="D87" s="176" t="inlineStr">
        <is>
          <t xml:space="preserve">ṃ</t>
        </is>
      </c>
    </row>
    <row r="88" customFormat="false" ht="12.8" hidden="false" customHeight="false" outlineLevel="0" collapsed="false">
      <c r="B88" t="str">
        <f aca="false">DEC2HEX(_xlfn.UNICODE(B87))</f>
        <v>1E41</v>
      </c>
      <c r="C88" t="str">
        <f aca="false">DEC2HEX(_xlfn.UNICODE(C87))</f>
        <v>1E3F</v>
      </c>
      <c r="D88" t="str">
        <f aca="false">DEC2HEX(_xlfn.UNICODE(D87))</f>
        <v>1E43</v>
      </c>
    </row>
    <row r="89" customFormat="false" ht="12.8" hidden="false" customHeight="false" outlineLevel="0" collapsed="false">
      <c r="A89" s="176" t="inlineStr">
        <is>
          <t xml:space="preserve">P</t>
        </is>
      </c>
      <c r="B89" s="176" t="inlineStr">
        <is>
          <t xml:space="preserve">Ṗ</t>
        </is>
      </c>
      <c r="C89" s="176" t="inlineStr">
        <is>
          <t xml:space="preserve">Ƥ</t>
        </is>
      </c>
      <c r="D89" s="176" t="inlineStr">
        <is>
          <t xml:space="preserve">Ṕ</t>
        </is>
      </c>
    </row>
    <row r="90" customFormat="false" ht="12.8" hidden="false" customHeight="false" outlineLevel="0" collapsed="false">
      <c r="B90" t="str">
        <f aca="false">DEC2HEX(_xlfn.UNICODE(B89))</f>
        <v>1E56</v>
      </c>
      <c r="C90" t="str">
        <f aca="false">DEC2HEX(_xlfn.UNICODE(C89))</f>
        <v>1A4</v>
      </c>
      <c r="D90" t="str">
        <f aca="false">DEC2HEX(_xlfn.UNICODE(D89))</f>
        <v>1E54</v>
      </c>
    </row>
    <row r="91" customFormat="false" ht="12.8" hidden="false" customHeight="false" outlineLevel="0" collapsed="false">
      <c r="A91" s="176" t="inlineStr">
        <is>
          <t xml:space="preserve">p</t>
        </is>
      </c>
      <c r="B91" s="176" t="inlineStr">
        <is>
          <t xml:space="preserve">ṗ</t>
        </is>
      </c>
      <c r="C91" s="176" t="inlineStr">
        <is>
          <t xml:space="preserve">ƥ</t>
        </is>
      </c>
      <c r="D91" s="176" t="inlineStr">
        <is>
          <t xml:space="preserve">ṕ</t>
        </is>
      </c>
    </row>
    <row r="92" customFormat="false" ht="12.8" hidden="false" customHeight="false" outlineLevel="0" collapsed="false">
      <c r="B92" t="str">
        <f aca="false">DEC2HEX(_xlfn.UNICODE(B91))</f>
        <v>1E57</v>
      </c>
      <c r="C92" t="str">
        <f aca="false">DEC2HEX(_xlfn.UNICODE(C91))</f>
        <v>1A5</v>
      </c>
      <c r="D92" t="str">
        <f aca="false">DEC2HEX(_xlfn.UNICODE(D91))</f>
        <v>1E55</v>
      </c>
    </row>
    <row r="93" customFormat="false" ht="12.8" hidden="false" customHeight="false" outlineLevel="0" collapsed="false">
      <c r="A93" s="176" t="inlineStr">
        <is>
          <t xml:space="preserve">V</t>
        </is>
      </c>
      <c r="B93" s="176" t="inlineStr">
        <is>
          <t xml:space="preserve">Ʋ</t>
        </is>
      </c>
      <c r="C93" s="176" t="inlineStr">
        <is>
          <t xml:space="preserve">Ṽ</t>
        </is>
      </c>
      <c r="D93" s="176" t="inlineStr">
        <is>
          <t xml:space="preserve">Ṿ</t>
        </is>
      </c>
    </row>
    <row r="94" customFormat="false" ht="12.8" hidden="false" customHeight="false" outlineLevel="0" collapsed="false">
      <c r="B94" t="str">
        <f aca="false">DEC2HEX(_xlfn.UNICODE(B93))</f>
        <v>1B2</v>
      </c>
      <c r="C94" t="str">
        <f aca="false">DEC2HEX(_xlfn.UNICODE(C93))</f>
        <v>1E7C</v>
      </c>
      <c r="D94" t="str">
        <f aca="false">DEC2HEX(_xlfn.UNICODE(D93))</f>
        <v>1E7E</v>
      </c>
    </row>
    <row r="95" customFormat="false" ht="12.8" hidden="false" customHeight="false" outlineLevel="0" collapsed="false">
      <c r="A95" s="176" t="inlineStr">
        <is>
          <t xml:space="preserve">v</t>
        </is>
      </c>
      <c r="B95" s="176" t="inlineStr">
        <is>
          <t xml:space="preserve">ʋ</t>
        </is>
      </c>
      <c r="C95" s="176" t="inlineStr">
        <is>
          <t xml:space="preserve">ṽ</t>
        </is>
      </c>
      <c r="D95" s="176" t="inlineStr">
        <is>
          <t xml:space="preserve">ṿ</t>
        </is>
      </c>
    </row>
    <row r="96" customFormat="false" ht="12.8" hidden="false" customHeight="false" outlineLevel="0" collapsed="false">
      <c r="B96" t="str">
        <f aca="false">DEC2HEX(_xlfn.UNICODE(B95))</f>
        <v>28B</v>
      </c>
      <c r="C96" t="str">
        <f aca="false">DEC2HEX(_xlfn.UNICODE(C95))</f>
        <v>1E7D</v>
      </c>
      <c r="D96" t="str">
        <f aca="false">DEC2HEX(_xlfn.UNICODE(D95))</f>
        <v>1E7F</v>
      </c>
    </row>
    <row r="97" customFormat="false" ht="12.8" hidden="false" customHeight="false" outlineLevel="0" collapsed="false">
      <c r="A97" s="176" t="inlineStr">
        <is>
          <t xml:space="preserve">X</t>
        </is>
      </c>
      <c r="B97" s="176" t="inlineStr">
        <is>
          <t xml:space="preserve">Ẋ</t>
        </is>
      </c>
      <c r="C97" s="176" t="inlineStr">
        <is>
          <t xml:space="preserve">Ẍ</t>
        </is>
      </c>
    </row>
    <row r="98" customFormat="false" ht="12.8" hidden="false" customHeight="false" outlineLevel="0" collapsed="false">
      <c r="B98" t="str">
        <f aca="false">DEC2HEX(_xlfn.UNICODE(B97))</f>
        <v>1E8A</v>
      </c>
      <c r="C98" t="str">
        <f aca="false">DEC2HEX(_xlfn.UNICODE(C97))</f>
        <v>1E8C</v>
      </c>
    </row>
    <row r="99" customFormat="false" ht="12.8" hidden="false" customHeight="false" outlineLevel="0" collapsed="false">
      <c r="A99" s="176" t="inlineStr">
        <is>
          <t xml:space="preserve">x</t>
        </is>
      </c>
      <c r="B99" s="176" t="inlineStr">
        <is>
          <t xml:space="preserve">ẋ</t>
        </is>
      </c>
      <c r="C99" s="176" t="inlineStr">
        <is>
          <t xml:space="preserve">ẍ</t>
        </is>
      </c>
    </row>
    <row r="100" customFormat="false" ht="12.8" hidden="false" customHeight="false" outlineLevel="0" collapsed="false">
      <c r="B100" t="str">
        <f aca="false">DEC2HEX(_xlfn.UNICODE(B99))</f>
        <v>1E8B</v>
      </c>
      <c r="C100" t="str">
        <f aca="false">DEC2HEX(_xlfn.UNICODE(C99))</f>
        <v>1E8D</v>
      </c>
    </row>
    <row r="101" customFormat="false" ht="12.8" hidden="false" customHeight="false" outlineLevel="0" collapsed="false">
      <c r="A101" s="176" t="inlineStr">
        <is>
          <t xml:space="preserve">Q</t>
        </is>
      </c>
      <c r="B101" s="176" t="inlineStr">
        <is>
          <t xml:space="preserve">Ɋ</t>
        </is>
      </c>
    </row>
    <row r="102" customFormat="false" ht="12.8" hidden="false" customHeight="false" outlineLevel="0" collapsed="false">
      <c r="B102" t="str">
        <f aca="false">DEC2HEX(_xlfn.UNICODE(B101))</f>
        <v>24A</v>
      </c>
    </row>
    <row r="103" customFormat="false" ht="12.8" hidden="false" customHeight="false" outlineLevel="0" collapsed="false">
      <c r="A103" s="176" t="inlineStr">
        <is>
          <t xml:space="preserve">q</t>
        </is>
      </c>
      <c r="B103" s="176" t="inlineStr">
        <is>
          <t xml:space="preserve">ɋ</t>
        </is>
      </c>
    </row>
    <row r="104" customFormat="false" ht="12.8" hidden="false" customHeight="false" outlineLevel="0" collapsed="false">
      <c r="B104" t="str">
        <f aca="false">DEC2HEX(_xlfn.UNICODE(B103))</f>
        <v>24B</v>
      </c>
    </row>
  </sheetData>
  <hyperlinks>
    <hyperlink ref="B1" r:id="rId1" display="À"/>
    <hyperlink ref="C1" r:id="rId2" display="Á"/>
    <hyperlink ref="D1" r:id="rId3" display="Â"/>
    <hyperlink ref="E1" r:id="rId4" display="Ã"/>
    <hyperlink ref="F1" r:id="rId5" display="Ä"/>
    <hyperlink ref="G1" r:id="rId6" display="Å"/>
    <hyperlink ref="H1" r:id="rId7" display="Æ"/>
    <hyperlink ref="I1" r:id="rId8" display="Ā"/>
    <hyperlink ref="J1" r:id="rId9" display="Ă"/>
    <hyperlink ref="K1" r:id="rId10" display="Ą"/>
    <hyperlink ref="B3" r:id="rId11" display="à"/>
    <hyperlink ref="C3" r:id="rId12" display="á"/>
    <hyperlink ref="D3" r:id="rId13" display="â"/>
    <hyperlink ref="E3" r:id="rId14" display="ã"/>
    <hyperlink ref="F3" r:id="rId15" display="ä"/>
    <hyperlink ref="G3" r:id="rId16" display="å"/>
    <hyperlink ref="H3" r:id="rId17" display="æ"/>
    <hyperlink ref="I3" r:id="rId18" display="ā"/>
    <hyperlink ref="J3" r:id="rId19" display="ă"/>
    <hyperlink ref="K3" r:id="rId20" display="ą"/>
    <hyperlink ref="B5" r:id="rId21" display="Ç"/>
    <hyperlink ref="C5" r:id="rId22" display="Ć"/>
    <hyperlink ref="D5" r:id="rId23" display="Ĉ"/>
    <hyperlink ref="E5" r:id="rId24" display="Ċ"/>
    <hyperlink ref="F5" r:id="rId25" display="Č"/>
    <hyperlink ref="B7" r:id="rId26" display="ç"/>
    <hyperlink ref="C7" r:id="rId27" display="ć"/>
    <hyperlink ref="D7" r:id="rId28" display="ĉ"/>
    <hyperlink ref="E7" r:id="rId29" display="ċ"/>
    <hyperlink ref="F7" r:id="rId30" display="č"/>
    <hyperlink ref="B9" r:id="rId31" display="Ð"/>
    <hyperlink ref="C9" r:id="rId32" display="Ď"/>
    <hyperlink ref="D9" r:id="rId33" display="Đ"/>
    <hyperlink ref="B11" r:id="rId34" display="ð"/>
    <hyperlink ref="C11" r:id="rId35" display="ď"/>
    <hyperlink ref="D11" r:id="rId36" display="đ"/>
    <hyperlink ref="B13" r:id="rId37" display="È"/>
    <hyperlink ref="C13" r:id="rId38" display="É"/>
    <hyperlink ref="D13" r:id="rId39" display="Ê"/>
    <hyperlink ref="E13" r:id="rId40" display="Ë"/>
    <hyperlink ref="F13" r:id="rId41" display="Ē"/>
    <hyperlink ref="G13" r:id="rId42" display="Ĕ"/>
    <hyperlink ref="H13" r:id="rId43" display="Ė"/>
    <hyperlink ref="I13" r:id="rId44" display="Ę"/>
    <hyperlink ref="J13" r:id="rId45" display="Ě"/>
    <hyperlink ref="B15" r:id="rId46" display="è"/>
    <hyperlink ref="C15" r:id="rId47" display="é"/>
    <hyperlink ref="D15" r:id="rId48" display="ê"/>
    <hyperlink ref="E15" r:id="rId49" display="ë"/>
    <hyperlink ref="F15" r:id="rId50" display="ē"/>
    <hyperlink ref="G15" r:id="rId51" display="ĕ"/>
    <hyperlink ref="H15" r:id="rId52" display="ė"/>
    <hyperlink ref="I15" r:id="rId53" display="ę"/>
    <hyperlink ref="J15" r:id="rId54" display="ě"/>
    <hyperlink ref="B17" r:id="rId55" display="Ĝ"/>
    <hyperlink ref="C17" r:id="rId56" display="Ğ"/>
    <hyperlink ref="D17" r:id="rId57" display="Ġ"/>
    <hyperlink ref="E17" r:id="rId58" display="Ģ"/>
    <hyperlink ref="B19" r:id="rId59" display="ĝ"/>
    <hyperlink ref="C19" r:id="rId60" display="ğ"/>
    <hyperlink ref="D19" r:id="rId61" display="ġ"/>
    <hyperlink ref="E19" r:id="rId62" display="ģ"/>
    <hyperlink ref="B21" r:id="rId63" display="Ĥ"/>
    <hyperlink ref="C21" r:id="rId64" display="Ħ"/>
    <hyperlink ref="B23" r:id="rId65" display="ĥ"/>
    <hyperlink ref="C23" r:id="rId66" display="ħ"/>
    <hyperlink ref="B25" r:id="rId67" display="Ì"/>
    <hyperlink ref="C25" r:id="rId68" display="Í"/>
    <hyperlink ref="D25" r:id="rId69" display="Î"/>
    <hyperlink ref="E25" r:id="rId70" display="Ï"/>
    <hyperlink ref="F25" r:id="rId71" display="Ĩ"/>
    <hyperlink ref="G25" r:id="rId72" display="Ī"/>
    <hyperlink ref="H25" r:id="rId73" display="Ĭ"/>
    <hyperlink ref="I25" r:id="rId74" display="Į"/>
    <hyperlink ref="J25" r:id="rId75" display="İ"/>
    <hyperlink ref="K25" r:id="rId76" display="Ĳ"/>
    <hyperlink ref="B27" r:id="rId77" display="ì"/>
    <hyperlink ref="C27" r:id="rId78" display="í"/>
    <hyperlink ref="D27" r:id="rId79" display="î"/>
    <hyperlink ref="E27" r:id="rId80" display="ï"/>
    <hyperlink ref="F27" r:id="rId81" display="ĩ"/>
    <hyperlink ref="G27" r:id="rId82" display="ī"/>
    <hyperlink ref="H27" r:id="rId83" display="ĭ"/>
    <hyperlink ref="I27" r:id="rId84" display="į"/>
    <hyperlink ref="J27" r:id="rId85" display="ı"/>
    <hyperlink ref="K27" r:id="rId86" display="ĳ"/>
    <hyperlink ref="B29" r:id="rId87" display="Ĵ"/>
    <hyperlink ref="B31" r:id="rId88" display="ĵ"/>
    <hyperlink ref="B33" r:id="rId89" display="Ķ"/>
    <hyperlink ref="B35" r:id="rId90" display="ķ"/>
    <hyperlink ref="C35" r:id="rId91" display="ĸ"/>
    <hyperlink ref="B37" r:id="rId92" display="Ĺ"/>
    <hyperlink ref="C37" r:id="rId93" display="Ļ"/>
    <hyperlink ref="D37" r:id="rId94" display="Ľ"/>
    <hyperlink ref="E37" r:id="rId95" display="Ŀ"/>
    <hyperlink ref="F37" r:id="rId96" display="Ł"/>
    <hyperlink ref="B39" r:id="rId97" display="ĺ"/>
    <hyperlink ref="C39" r:id="rId98" display="ļ"/>
    <hyperlink ref="D39" r:id="rId99" display="ľ"/>
    <hyperlink ref="E39" r:id="rId100" display="ŀ"/>
    <hyperlink ref="F39" r:id="rId101" display="ł"/>
    <hyperlink ref="B41" r:id="rId102" display="Ñ"/>
    <hyperlink ref="C41" r:id="rId103" display="Ń"/>
    <hyperlink ref="D41" r:id="rId104" display="Ņ"/>
    <hyperlink ref="E41" r:id="rId105" display="Ň"/>
    <hyperlink ref="F41" r:id="rId106" display="Ŋ"/>
    <hyperlink ref="B43" r:id="rId107" display="ñ"/>
    <hyperlink ref="C43" r:id="rId108" display="ń"/>
    <hyperlink ref="D43" r:id="rId109" display="ņ"/>
    <hyperlink ref="E43" r:id="rId110" display="ň"/>
    <hyperlink ref="F43" r:id="rId111" display="ŋ"/>
    <hyperlink ref="G43" r:id="rId112" display="ŉ"/>
    <hyperlink ref="B45" r:id="rId113" display="Ò"/>
    <hyperlink ref="C45" r:id="rId114" display="Ó"/>
    <hyperlink ref="D45" r:id="rId115" display="Ô"/>
    <hyperlink ref="E45" r:id="rId116" display="Õ"/>
    <hyperlink ref="F45" r:id="rId117" display="Ö"/>
    <hyperlink ref="G45" r:id="rId118" display="Ō"/>
    <hyperlink ref="H45" r:id="rId119" display="Ŏ"/>
    <hyperlink ref="I45" r:id="rId120" display="Ő"/>
    <hyperlink ref="J45" r:id="rId121" display="Œ"/>
    <hyperlink ref="K45" r:id="rId122" display="Ø"/>
    <hyperlink ref="B47" r:id="rId123" display="ò"/>
    <hyperlink ref="C47" r:id="rId124" display="ó"/>
    <hyperlink ref="D47" r:id="rId125" display="ô"/>
    <hyperlink ref="E47" r:id="rId126" display="õ"/>
    <hyperlink ref="F47" r:id="rId127" display="ö"/>
    <hyperlink ref="G47" r:id="rId128" display="ō"/>
    <hyperlink ref="H47" r:id="rId129" display="ŏ"/>
    <hyperlink ref="I47" r:id="rId130" display="ő"/>
    <hyperlink ref="J47" r:id="rId131" display="œ"/>
    <hyperlink ref="K47" r:id="rId132" display="ø"/>
    <hyperlink ref="B49" r:id="rId133" display="Ŕ"/>
    <hyperlink ref="C49" r:id="rId134" display="Ŗ"/>
    <hyperlink ref="D49" r:id="rId135" display="Ř"/>
    <hyperlink ref="B51" r:id="rId136" display="ŕ"/>
    <hyperlink ref="C51" r:id="rId137" display="ŗ"/>
    <hyperlink ref="D51" r:id="rId138" display="ř"/>
    <hyperlink ref="B53" r:id="rId139" display="ẞ"/>
    <hyperlink ref="C53" r:id="rId140" display="Ś"/>
    <hyperlink ref="D53" r:id="rId141" display="Ŝ"/>
    <hyperlink ref="E53" r:id="rId142" display="Ş"/>
    <hyperlink ref="F53" r:id="rId143" display="Š"/>
    <hyperlink ref="B55" r:id="rId144" display="ß"/>
    <hyperlink ref="C55" r:id="rId145" display="ś"/>
    <hyperlink ref="D55" r:id="rId146" display="ŝ"/>
    <hyperlink ref="E55" r:id="rId147" display="ş"/>
    <hyperlink ref="F55" r:id="rId148" display="š"/>
    <hyperlink ref="B57" r:id="rId149" display="Þ"/>
    <hyperlink ref="C57" r:id="rId150" display="Ţ"/>
    <hyperlink ref="D57" r:id="rId151" display="Ť"/>
    <hyperlink ref="E57" r:id="rId152" display="Ŧ"/>
    <hyperlink ref="B59" r:id="rId153" display="þ"/>
    <hyperlink ref="C59" r:id="rId154" display="ţ"/>
    <hyperlink ref="D59" r:id="rId155" display="ť"/>
    <hyperlink ref="E59" r:id="rId156" display="ŧ"/>
    <hyperlink ref="B61" r:id="rId157" display="Ù"/>
    <hyperlink ref="C61" r:id="rId158" display="Ú"/>
    <hyperlink ref="D61" r:id="rId159" display="Û"/>
    <hyperlink ref="E61" r:id="rId160" display="Ü"/>
    <hyperlink ref="F61" r:id="rId161" display="Ũ"/>
    <hyperlink ref="G61" r:id="rId162" display="Ū"/>
    <hyperlink ref="H61" r:id="rId163" display="Ŭ"/>
    <hyperlink ref="I61" r:id="rId164" display="Ů"/>
    <hyperlink ref="J61" r:id="rId165" display="Ű"/>
    <hyperlink ref="K61" r:id="rId166" display="Ų"/>
    <hyperlink ref="B63" r:id="rId167" display="ù"/>
    <hyperlink ref="C63" r:id="rId168" display="ú"/>
    <hyperlink ref="D63" r:id="rId169" display="û"/>
    <hyperlink ref="E63" r:id="rId170" display="ü"/>
    <hyperlink ref="F63" r:id="rId171" display="ũ"/>
    <hyperlink ref="G63" r:id="rId172" display="ū"/>
    <hyperlink ref="H63" r:id="rId173" display="ŭ"/>
    <hyperlink ref="I63" r:id="rId174" display="ů"/>
    <hyperlink ref="J63" r:id="rId175" display="ű"/>
    <hyperlink ref="K63" r:id="rId176" display="ų"/>
    <hyperlink ref="B65" r:id="rId177" display="Ŵ"/>
    <hyperlink ref="B67" r:id="rId178" display="ŵ"/>
    <hyperlink ref="B69" r:id="rId179" display="Ý"/>
    <hyperlink ref="C69" r:id="rId180" display="Ŷ"/>
    <hyperlink ref="D69" r:id="rId181" display="Ÿ"/>
    <hyperlink ref="B71" r:id="rId182" display="ý"/>
    <hyperlink ref="C71" r:id="rId183" display="ŷ"/>
    <hyperlink ref="D71" r:id="rId184" display="ÿ"/>
    <hyperlink ref="B73" r:id="rId185" display="Ź"/>
    <hyperlink ref="C73" r:id="rId186" display="Ż"/>
    <hyperlink ref="D73" r:id="rId187" display="Ž"/>
    <hyperlink ref="B75" r:id="rId188" display="ź"/>
    <hyperlink ref="C75" r:id="rId189" display="ż"/>
    <hyperlink ref="D75" r:id="rId190" display="ž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7560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2026-06-05T16:35:06Z</dcterms:modified>
  <cp:revision>282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