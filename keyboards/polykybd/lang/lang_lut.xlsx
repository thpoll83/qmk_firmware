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<sst xmlns="http://schemas.openxmlformats.org/spreadsheetml/2006/main" count="3797" uniqueCount="1600">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</sst>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BN2" s="1" t="n">
        <f aca="false">MIN(HEX2DEC(B2),HEX2DEC(C2),HEX2DEC(D2),HEX2DEC(E2),HEX2DEC(F2),HEX2DEC(G2),HEX2DEC(H2),HEX2DEC(I2),HEX2DEC(J2),HEX2DEC(K2),HEX2DEC(L2),HEX2DEC(M2),HEX2DEC(N2),HEX2DEC(O2),HEX2DEC(P2),HEX2DEC(Q2),HEX2DEC(R2))</f>
        <v>192</v>
      </c>
      <c r="BO2" s="1" t="n">
        <f aca="false">MAX(HEX2DEC(B2),HEX2DEC(C2),HEX2DEC(D2),HEX2DEC(E2),HEX2DEC(F2),HEX2DEC(G2),HEX2DEC(H2),HEX2DEC(I2),HEX2DEC(J2),HEX2DEC(K2))</f>
        <v>550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BN4" s="1" t="n">
        <f aca="false">MIN(HEX2DEC(B4),HEX2DEC(C4),HEX2DEC(D4),HEX2DEC(E4),HEX2DEC(F4),HEX2DEC(G4),HEX2DEC(H4),HEX2DEC(I4),HEX2DEC(J4),HEX2DEC(K4),HEX2DEC(L4),HEX2DEC(M4),HEX2DEC(N4),HEX2DEC(O4),HEX2DEC(P4),HEX2DEC(Q4),HEX2DEC(R4))</f>
        <v>224</v>
      </c>
      <c r="BO4" s="1" t="n">
        <f aca="false">MAX(HEX2DEC(B4),HEX2DEC(C4),HEX2DEC(D4),HEX2DEC(E4),HEX2DEC(F4),HEX2DEC(G4),HEX2DEC(H4),HEX2DEC(I4),HEX2DEC(J4),HEX2DEC(K4))</f>
        <v>551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BN6" s="1" t="n">
        <f aca="false">MIN(HEX2DEC(B6),HEX2DEC(C6),HEX2DEC(D6),HEX2DEC(E6),HEX2DEC(F6))</f>
        <v>199</v>
      </c>
      <c r="B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BN8" s="1" t="n">
        <f aca="false">MIN(HEX2DEC(B8),HEX2DEC(C8),HEX2DEC(D8),HEX2DEC(E8),HEX2DEC(F8))</f>
        <v>231</v>
      </c>
      <c r="B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J10" s="177"/>
      <c r="BN10" s="1" t="n">
        <f aca="false">MIN(HEX2DEC(B10),HEX2DEC(C10),HEX2DEC(D10),HEX2DEC(E10))</f>
        <v>208</v>
      </c>
      <c r="BO10" s="1" t="n">
        <f aca="false">MAX(HEX2DEC(B10),HEX2DEC(C10),HEX2DEC(D10),HEX2DEC(E10),HEX2DEC(F10),HEX2DEC(G10),HEX2DEC(H10),HEX2DEC(I10),HEX2DEC(J10),HEX2DEC(K10))</f>
        <v>7690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G11" s="177"/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G12" s="177"/>
      <c r="BN12" s="1" t="n">
        <f aca="false">MIN(HEX2DEC(B12),HEX2DEC(C12),HEX2DEC(D12),HEX2DEC(E12))</f>
        <v>240</v>
      </c>
      <c r="BN12" s="12"/>
      <c r="BO12" s="1" t="n">
        <f aca="false">MAX(HEX2DEC(B12),HEX2DEC(C12),HEX2DEC(D12),HEX2DEC(E12),HEX2DEC(F12),HEX2DEC(G12),HEX2DEC(H12),HEX2DEC(I12),HEX2DEC(J12),HEX2DEC(K12))</f>
        <v>7691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BN14" s="1" t="n">
        <f aca="false">MIN(HEX2DEC(B14),HEX2DEC(C14),HEX2DEC(D14),HEX2DEC(E14),HEX2DEC(F14),HEX2DEC(G14),HEX2DEC(H14),HEX2DEC(I14),HEX2DEC(J14),HEX2DEC(K14),HEX2DEC(L14),HEX2DEC(M14),HEX2DEC(N14),HEX2DEC(O14))</f>
        <v>200</v>
      </c>
      <c r="BO14" s="1" t="n">
        <f aca="false">MAX(HEX2DEC(B14),HEX2DEC(C14),HEX2DEC(D14),HEX2DEC(E14),HEX2DEC(F14),HEX2DEC(G14),HEX2DEC(H14),HEX2DEC(I14),HEX2DEC(J14),HEX2DEC(K14))</f>
        <v>7868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BN16" s="1" t="n">
        <f aca="false">MIN(HEX2DEC(B16),HEX2DEC(C16),HEX2DEC(D16),HEX2DEC(E16),HEX2DEC(F16),HEX2DEC(G16),HEX2DEC(H16),HEX2DEC(I16),HEX2DEC(J16),HEX2DEC(K16),HEX2DEC(L16),HEX2DEC(M16),HEX2DEC(N16),HEX2DEC(O16))</f>
        <v>232</v>
      </c>
      <c r="BO16" s="1" t="n">
        <f aca="false">MAX(HEX2DEC(B16),HEX2DEC(C16),HEX2DEC(D16),HEX2DEC(E16),HEX2DEC(F16),HEX2DEC(G16),HEX2DEC(H16),HEX2DEC(I16),HEX2DEC(J16),HEX2DEC(K16))</f>
        <v>7869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BN18" s="1" t="n">
        <f aca="false">MIN(HEX2DEC(B18),HEX2DEC(C18),HEX2DEC(D18),HEX2DEC(E18),HEX2DEC(F18),HEX2DEC(G18))</f>
        <v>284</v>
      </c>
      <c r="BO18" s="1" t="n">
        <f aca="false">MAX(HEX2DEC(B18),HEX2DEC(C18),HEX2DEC(D18),HEX2DEC(E18),HEX2DEC(F18),HEX2DEC(G18),HEX2DEC(H18),HEX2DEC(I18),HEX2DEC(J18),HEX2DEC(K18))</f>
        <v>500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BN20" s="1" t="n">
        <f aca="false">MIN(HEX2DEC(B20),HEX2DEC(C20),HEX2DEC(D20),HEX2DEC(E20),HEX2DEC(F20),HEX2DEC(G20))</f>
        <v>285</v>
      </c>
      <c r="BO20" s="1" t="n">
        <f aca="false">MAX(HEX2DEC(B20),HEX2DEC(C20),HEX2DEC(D20),HEX2DEC(E20),HEX2DEC(F20),HEX2DEC(G20),HEX2DEC(H20),HEX2DEC(I20),HEX2DEC(J20),HEX2DEC(K20))</f>
        <v>501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R22" s="177"/>
      <c r="BN22" s="1" t="n">
        <f aca="false">MIN(HEX2DEC(B22),HEX2DEC(C22),HEX2DEC(D22))</f>
        <v>292</v>
      </c>
      <c r="BO22" s="1" t="n">
        <f aca="false">MAX(HEX2DEC(B22),HEX2DEC(C22),HEX2DEC(D22),HEX2DEC(E22),HEX2DEC(F22),HEX2DEC(G22),HEX2DEC(H22),HEX2DEC(I22),HEX2DEC(J22),HEX2DEC(K22))</f>
        <v>542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BN24" s="1" t="n">
        <f aca="false">MIN(HEX2DEC(B24),HEX2DEC(C24),HEX2DEC(D24))</f>
        <v>293</v>
      </c>
      <c r="BO24" s="1" t="n">
        <f aca="false">MAX(HEX2DEC(B24),HEX2DEC(C24),HEX2DEC(D24),HEX2DEC(E24),HEX2DEC(F24),HEX2DEC(G24),HEX2DEC(H24),HEX2DEC(I24),HEX2DEC(J24),HEX2DEC(K24))</f>
        <v>543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BN26" s="1" t="n">
        <f aca="false">MIN(HEX2DEC(B26),HEX2DEC(C26),HEX2DEC(D26),HEX2DEC(E26),HEX2DEC(F26),HEX2DEC(G26),HEX2DEC(H26),HEX2DEC(I26),HEX2DEC(J26),HEX2DEC(K26),HEX2DEC(L26),HEX2DEC(M26),HEX2DEC(N26))</f>
        <v>204</v>
      </c>
      <c r="BO26" s="1" t="n">
        <f aca="false">MAX(HEX2DEC(B26),HEX2DEC(C26),HEX2DEC(D26),HEX2DEC(E26),HEX2DEC(F26),HEX2DEC(G26),HEX2DEC(H26),HEX2DEC(I26),HEX2DEC(J26),HEX2DEC(K26))</f>
        <v>522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BN28" s="1" t="n">
        <f aca="false">MIN(HEX2DEC(B28),HEX2DEC(C28),HEX2DEC(D28),HEX2DEC(E28),HEX2DEC(F28),HEX2DEC(G28),HEX2DEC(H28),HEX2DEC(I28),HEX2DEC(J28),HEX2DEC(K28),HEX2DEC(L28),HEX2DEC(M28),HEX2DEC(N28))</f>
        <v>236</v>
      </c>
      <c r="BO28" s="1" t="n">
        <f aca="false">MAX(HEX2DEC(B28),HEX2DEC(C28),HEX2DEC(D28),HEX2DEC(E28),HEX2DEC(F28),HEX2DEC(G28),HEX2DEC(H28),HEX2DEC(I28),HEX2DEC(J28),HEX2DEC(K28))</f>
        <v>523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BN32" s="1" t="n">
        <f aca="false">MIN(HEX2DEC(B32))</f>
        <v>309</v>
      </c>
      <c r="B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BN34" s="1" t="n">
        <f aca="false">MIN(HEX2DEC(B34),HEX2DEC(C34))</f>
        <v>310</v>
      </c>
      <c r="BO34" s="1" t="n">
        <f aca="false">MAX(HEX2DEC(B34),HEX2DEC(C34),HEX2DEC(D34),HEX2DEC(E34),HEX2DEC(F34),HEX2DEC(G34),HEX2DEC(H34),HEX2DEC(I34),HEX2DEC(J34),HEX2DEC(K34))</f>
        <v>488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BN36" s="1" t="n">
        <f aca="false">MIN(HEX2DEC(B36),HEX2DEC(C36),HEX2DEC(D36))</f>
        <v>311</v>
      </c>
      <c r="BO36" s="1" t="n">
        <f aca="false">MAX(HEX2DEC(B36),HEX2DEC(C36),HEX2DEC(D36),HEX2DEC(E36),HEX2DEC(F36),HEX2DEC(G36),HEX2DEC(H36),HEX2DEC(I36),HEX2DEC(J36),HEX2DEC(K36))</f>
        <v>489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BN38" s="1" t="n">
        <f aca="false">MIN(HEX2DEC(B38),HEX2DEC(C38),HEX2DEC(D38),HEX2DEC(E38),HEX2DEC(F38))</f>
        <v>313</v>
      </c>
      <c r="B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BN40" s="1" t="n">
        <f aca="false">MIN(HEX2DEC(B40),HEX2DEC(C40),HEX2DEC(D40),HEX2DEC(E40),HEX2DEC(F40))</f>
        <v>314</v>
      </c>
      <c r="B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BN42" s="1" t="n">
        <f aca="false">MIN(HEX2DEC(B42),HEX2DEC(C42),HEX2DEC(D42),HEX2DEC(E42),HEX2DEC(F42),HEX2DEC(G42))</f>
        <v>209</v>
      </c>
      <c r="BO42" s="1" t="n">
        <f aca="false">MAX(HEX2DEC(B42),HEX2DEC(C42),HEX2DEC(D42),HEX2DEC(E42),HEX2DEC(F42),HEX2DEC(G42),HEX2DEC(H42),HEX2DEC(I42),HEX2DEC(J42),HEX2DEC(K42))</f>
        <v>504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BN44" s="1" t="n">
        <f aca="false">MIN(HEX2DEC(B44),HEX2DEC(C44),HEX2DEC(D44),HEX2DEC(E44),HEX2DEC(F44),HEX2DEC(G44),HEX2DEC(H44))</f>
        <v>241</v>
      </c>
      <c r="BO44" s="1" t="n">
        <f aca="false">MAX(HEX2DEC(B44),HEX2DEC(C44),HEX2DEC(D44),HEX2DEC(E44),HEX2DEC(F44),HEX2DEC(G44),HEX2DEC(H44),HEX2DEC(I44),HEX2DEC(J44),HEX2DEC(K44))</f>
        <v>505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MIN(HEX2DEC(B46),HEX2DEC(C46),HEX2DEC(D46),HEX2DEC(E46),HEX2DEC(F46),HEX2DEC(G46),HEX2DEC(H46),HEX2DEC(I46),HEX2DEC(J46),HEX2DEC(K46),HEX2DEC(L46),HEX2DEC(M46),HEX2DEC(N46),HEX2DEC(O46),HEX2DEC(P46),HEX2DEC(Q46),HEX2DEC(R46),HEX2DEC(S46),HEX2DEC(T46),HEX2DEC(U46),HEX2DEC(V46))</f>
        <v>210</v>
      </c>
      <c r="BO46" s="1" t="n">
        <f aca="false">MAX(HEX2DEC(B46),HEX2DEC(C46),HEX2DEC(D46),HEX2DEC(E46),HEX2DEC(F46),HEX2DEC(G46),HEX2DEC(H46),HEX2DEC(I46),HEX2DEC(J46),HEX2DEC(K46))</f>
        <v>7884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MIN(HEX2DEC(B48),HEX2DEC(C48),HEX2DEC(D48),HEX2DEC(E48),HEX2DEC(F48),HEX2DEC(G48),HEX2DEC(H48),HEX2DEC(I48),HEX2DEC(J48),HEX2DEC(K48),HEX2DEC(L48),HEX2DEC(M48),HEX2DEC(N48),HEX2DEC(O48),HEX2DEC(P48),HEX2DEC(Q48),HEX2DEC(R48),HEX2DEC(S48),HEX2DEC(T48),HEX2DEC(U48),HEX2DEC(V48))</f>
        <v>242</v>
      </c>
      <c r="BO48" s="1" t="n">
        <f aca="false">MAX(HEX2DEC(B48),HEX2DEC(C48),HEX2DEC(D48),HEX2DEC(E48),HEX2DEC(F48),HEX2DEC(G48),HEX2DEC(H48),HEX2DEC(I48),HEX2DEC(J48),HEX2DEC(K48))</f>
        <v>7885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BN50" s="1" t="n">
        <f aca="false">MIN(HEX2DEC(B50),HEX2DEC(C50),HEX2DEC(D50),HEX2DEC(E50),HEX2DEC(F50))</f>
        <v>340</v>
      </c>
      <c r="BO50" s="1" t="n">
        <f aca="false">MAX(HEX2DEC(B50),HEX2DEC(C50),HEX2DEC(D50),HEX2DEC(E50),HEX2DEC(F50),HEX2DEC(G50),HEX2DEC(H50),HEX2DEC(I50),HEX2DEC(J50),HEX2DEC(K50))</f>
        <v>530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BN52" s="1" t="n">
        <f aca="false">MIN(HEX2DEC(B52),HEX2DEC(C52),HEX2DEC(D52),HEX2DEC(E52),HEX2DEC(F52))</f>
        <v>341</v>
      </c>
      <c r="BO52" s="1" t="n">
        <f aca="false">MAX(HEX2DEC(B52),HEX2DEC(C52),HEX2DEC(D52),HEX2DEC(E52),HEX2DEC(F52),HEX2DEC(G52),HEX2DEC(H52),HEX2DEC(I52),HEX2DEC(J52),HEX2DEC(K52))</f>
        <v>531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BN54" s="1" t="n">
        <f aca="false">MIN(HEX2DEC(B54),HEX2DEC(C54),HEX2DEC(D54),HEX2DEC(E54),HEX2DEC(F54),HEX2DEC(G54),HEX2DEC(H54),HEX2DEC(I54))</f>
        <v>346</v>
      </c>
      <c r="BO54" s="1" t="n">
        <f aca="false">MAX(HEX2DEC(C54),HEX2DEC(D54),HEX2DEC(E54),HEX2DEC(F54),HEX2DEC(G54),HEX2DEC(H54),HEX2DEC(I54),HEX2DEC(J54),HEX2DEC(K54))</f>
        <v>7778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BN56" s="1" t="n">
        <f aca="false">MIN(HEX2DEC(B56),HEX2DEC(C56),HEX2DEC(D56),HEX2DEC(E56),HEX2DEC(F56),HEX2DEC(G56),HEX2DEC(H56),HEX2DEC(I56))</f>
        <v>223</v>
      </c>
      <c r="BO56" s="1" t="n">
        <f aca="false">MAX(HEX2DEC(B56),HEX2DEC(C56),HEX2DEC(D56),HEX2DEC(E56),HEX2DEC(F56),HEX2DEC(G56),HEX2DEC(H56),HEX2DEC(I56),HEX2DEC(J56),HEX2DEC(K56))</f>
        <v>7779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BN58" s="1" t="n">
        <f aca="false">MIN(HEX2DEC(B58),HEX2DEC(C58),HEX2DEC(D58),HEX2DEC(E58),HEX2DEC(F58),HEX2DEC(G58))</f>
        <v>222</v>
      </c>
      <c r="BO58" s="1" t="n">
        <f aca="false">MAX(HEX2DEC(B58),HEX2DEC(C58),HEX2DEC(D58),HEX2DEC(E58),HEX2DEC(F58),HEX2DEC(G58),HEX2DEC(H58),HEX2DEC(I58),HEX2DEC(J58),HEX2DEC(K58))</f>
        <v>7786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BN60" s="1" t="n">
        <f aca="false">MIN(HEX2DEC(B60),HEX2DEC(C60),HEX2DEC(D60),HEX2DEC(E60),HEX2DEC(F60),HEX2DEC(G60))</f>
        <v>254</v>
      </c>
      <c r="BO60" s="1" t="n">
        <f aca="false">MAX(HEX2DEC(B60),HEX2DEC(C60),HEX2DEC(D60),HEX2DEC(E60),HEX2DEC(F60),HEX2DEC(G60),HEX2DEC(H60),HEX2DEC(I60),HEX2DEC(J60),HEX2DEC(K60))</f>
        <v>7787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MIN(HEX2DEC(B62),HEX2DEC(C62),HEX2DEC(D62),HEX2DEC(E62),HEX2DEC(F62),HEX2DEC(G62),HEX2DEC(H62),HEX2DEC(I62),HEX2DEC(J62),HEX2DEC(K62),HEX2DEC(L62),HEX2DEC(M62),HEX2DEC(N62),HEX2DEC(O62),HEX2DEC(P62),HEX2DEC(Q62),HEX2DEC(R62),HEX2DEC(S62))</f>
        <v>217</v>
      </c>
      <c r="BO62" s="1" t="n">
        <f aca="false">MAX(HEX2DEC(B62),HEX2DEC(C62),HEX2DEC(D62),HEX2DEC(E62),HEX2DEC(F62),HEX2DEC(G62),HEX2DEC(H62),HEX2DEC(I62),HEX2DEC(J62),HEX2DEC(K62))</f>
        <v>534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MIN(HEX2DEC(B64),HEX2DEC(C64),HEX2DEC(D64),HEX2DEC(E64),HEX2DEC(F64),HEX2DEC(G64),HEX2DEC(H64),HEX2DEC(I64),HEX2DEC(J64),HEX2DEC(K64),HEX2DEC(L64),HEX2DEC(M64),HEX2DEC(N64),HEX2DEC(O64),HEX2DEC(P64),HEX2DEC(Q64),HEX2DEC(R64),HEX2DEC(S64))</f>
        <v>249</v>
      </c>
      <c r="BO64" s="1" t="n">
        <f aca="false">MAX(HEX2DEC(B64),HEX2DEC(C64),HEX2DEC(D64),HEX2DEC(E64),HEX2DEC(F64),HEX2DEC(G64),HEX2DEC(H64),HEX2DEC(I64),HEX2DEC(J64),HEX2DEC(K64))</f>
        <v>535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BN66" s="1" t="n">
        <f aca="false">MIN(HEX2DEC(B66),HEX2DEC(C66),HEX2DEC(D66),HEX2DEC(E66))</f>
        <v>372</v>
      </c>
      <c r="BO66" s="1" t="n">
        <f aca="false">MAX(HEX2DEC(B66),HEX2DEC(C66),HEX2DEC(D66),HEX2DEC(E66),HEX2DEC(F66),HEX2DEC(G66),HEX2DEC(H66),HEX2DEC(I66),HEX2DEC(J66),HEX2DEC(K66))</f>
        <v>7812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BN68" s="1" t="n">
        <f aca="false">MIN(HEX2DEC(B68),HEX2DEC(C68),HEX2DEC(D68),HEX2DEC(E68))</f>
        <v>373</v>
      </c>
      <c r="BO68" s="1" t="n">
        <f aca="false">MAX(HEX2DEC(B68),HEX2DEC(C68),HEX2DEC(D68),HEX2DEC(E68),HEX2DEC(F68),HEX2DEC(G68),HEX2DEC(H68),HEX2DEC(I68),HEX2DEC(J68),HEX2DEC(K68))</f>
        <v>7813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BN70" s="1" t="n">
        <f aca="false">MIN(HEX2DEC(B70),HEX2DEC(C70),HEX2DEC(D70),HEX2DEC(E70),HEX2DEC(F70),HEX2DEC(G70))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BN72" s="1" t="n">
        <f aca="false">MIN(HEX2DEC(B72),HEX2DEC(C72),HEX2DEC(D72),HEX2DEC(E72),HEX2DEC(F72),HEX2DEC(G72))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BN74" s="1" t="n">
        <f aca="false">MIN(HEX2DEC(B74),HEX2DEC(C74),HEX2DEC(D74))</f>
        <v>377</v>
      </c>
      <c r="B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BN76" s="1" t="n">
        <f aca="false">MIN(HEX2DEC(B76),HEX2DEC(C76),HEX2DEC(D76))</f>
        <v>378</v>
      </c>
      <c r="BO76" s="1" t="n">
        <f aca="false">MAX(HEX2DEC(B76),HEX2DEC(C76),HEX2DEC(D76),HEX2DEC(E76),HEX2DEC(F76),HEX2DEC(G76),HEX2DEC(H76),HEX2DEC(I76),HEX2DEC(J76),HEX2DEC(K76))</f>
        <v>382</v>
      </c>
    </row>
    <row r="95" customFormat="false" ht="12.8" hidden="false" customHeight="false" outlineLevel="0" collapsed="false">
      <c r="BN95" s="1" t="n">
        <f aca="false">MIN(BN2:BN76)</f>
        <v>192</v>
      </c>
      <c r="BO95" s="1" t="n">
        <f aca="false">MAX(BO2:BO76)</f>
        <v>382</v>
      </c>
    </row>
    <row r="96" customFormat="false" ht="12.8" hidden="false" customHeight="false" outlineLevel="0" collapsed="false">
      <c r="Q96" s="178" t="str">
        <f aca="false">DEC2HEX(_xlfn.UNICODE(B53))</f>
        <v>1E9E</v>
      </c>
      <c r="BN96" s="1" t="str">
        <f aca="false">DEC2HEX(BN95)</f>
        <v>C0</v>
      </c>
      <c r="BO96" s="1" t="str">
        <f aca="false">DEC2HEX(BO95)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</row>
    <row r="78" customFormat="false" ht="12.8" hidden="false" customHeight="false" outlineLevel="0" collapsed="false">
      <c r="B78" t="str">
        <f aca="false">DEC2HEX(_xlfn.UNICODE(B77))</f>
        <v>1E02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</row>
    <row r="80" customFormat="false" ht="12.8" hidden="false" customHeight="false" outlineLevel="0" collapsed="false">
      <c r="B80" t="str">
        <f aca="false">DEC2HEX(_xlfn.UNICODE(B79))</f>
        <v>1E03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</row>
    <row r="82" customFormat="false" ht="12.8" hidden="false" customHeight="false" outlineLevel="0" collapsed="false">
      <c r="B82" t="str">
        <f aca="false">DEC2HEX(_xlfn.UNICODE(B81))</f>
        <v>1E1E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</row>
    <row r="84" customFormat="false" ht="12.8" hidden="false" customHeight="false" outlineLevel="0" collapsed="false">
      <c r="B84" t="str">
        <f aca="false">DEC2HEX(_xlfn.UNICODE(B83))</f>
        <v>1E1F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</row>
    <row r="86" customFormat="false" ht="12.8" hidden="false" customHeight="false" outlineLevel="0" collapsed="false">
      <c r="B86" t="str">
        <f aca="false">DEC2HEX(_xlfn.UNICODE(B85))</f>
        <v>1E40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</row>
    <row r="88" customFormat="false" ht="12.8" hidden="false" customHeight="false" outlineLevel="0" collapsed="false">
      <c r="B88" t="str">
        <f aca="false">DEC2HEX(_xlfn.UNICODE(B87))</f>
        <v>1E41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</row>
    <row r="90" customFormat="false" ht="12.8" hidden="false" customHeight="false" outlineLevel="0" collapsed="false">
      <c r="B90" t="str">
        <f aca="false">DEC2HEX(_xlfn.UNICODE(B89))</f>
        <v>1E56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</row>
    <row r="92" customFormat="false" ht="12.8" hidden="false" customHeight="false" outlineLevel="0" collapsed="false">
      <c r="B92" t="str">
        <f aca="false">DEC2HEX(_xlfn.UNICODE(B91))</f>
        <v>1E57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